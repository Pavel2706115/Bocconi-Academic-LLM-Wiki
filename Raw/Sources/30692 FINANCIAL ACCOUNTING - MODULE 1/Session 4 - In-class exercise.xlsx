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def2af4520488a6/BOCCONI/30692 FINANCIAL ACCOUNTING - MODULE 1/"/>
    </mc:Choice>
  </mc:AlternateContent>
  <xr:revisionPtr revIDLastSave="271" documentId="13_ncr:1_{7DD4A410-03F8-7D46-84B9-D0C44ADA6684}" xr6:coauthVersionLast="47" xr6:coauthVersionMax="47" xr10:uidLastSave="{8E5B3B5F-DCBF-47F3-B06D-C1DA49137E5F}"/>
  <bookViews>
    <workbookView xWindow="-108" yWindow="-108" windowWidth="23256" windowHeight="12456" activeTab="2" xr2:uid="{00000000-000D-0000-FFFF-FFFF00000000}"/>
  </bookViews>
  <sheets>
    <sheet name="Exercise" sheetId="4" r:id="rId1"/>
    <sheet name="S4 - Journal entries" sheetId="2" r:id="rId2"/>
    <sheet name="S4 - Opening bal." sheetId="1" r:id="rId3"/>
    <sheet name="S4 - Trial balance" sheetId="3" r:id="rId4"/>
  </sheets>
  <definedNames>
    <definedName name="_xlnm.Print_Area" localSheetId="2">'S4 - Opening bal.'!#REF!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C15" i="3"/>
  <c r="B19" i="1" l="1"/>
  <c r="N2" i="1" s="1"/>
  <c r="B59" i="1"/>
  <c r="B51" i="1"/>
  <c r="E30" i="2"/>
  <c r="D30" i="2"/>
  <c r="J35" i="1"/>
  <c r="J27" i="1"/>
  <c r="J19" i="1"/>
  <c r="J11" i="1"/>
  <c r="B43" i="1"/>
  <c r="B11" i="1"/>
  <c r="B27" i="1"/>
  <c r="B35" i="1"/>
  <c r="N3" i="1" l="1"/>
</calcChain>
</file>

<file path=xl/sharedStrings.xml><?xml version="1.0" encoding="utf-8"?>
<sst xmlns="http://schemas.openxmlformats.org/spreadsheetml/2006/main" count="96" uniqueCount="49">
  <si>
    <t>Debit</t>
  </si>
  <si>
    <t>Credit</t>
  </si>
  <si>
    <t>Asset accounts</t>
  </si>
  <si>
    <t>Equity and liab. accounts</t>
  </si>
  <si>
    <t>Cash</t>
  </si>
  <si>
    <t>Accounts receivable</t>
  </si>
  <si>
    <t>Inventory</t>
  </si>
  <si>
    <t>Store equipment</t>
  </si>
  <si>
    <t>Office equipment</t>
  </si>
  <si>
    <t>Accounts payable</t>
  </si>
  <si>
    <t>Notes payable</t>
  </si>
  <si>
    <t>Common stock</t>
  </si>
  <si>
    <t>Retained earnings</t>
  </si>
  <si>
    <t>Beg. Bal</t>
  </si>
  <si>
    <t/>
  </si>
  <si>
    <t>Cash (+A)</t>
  </si>
  <si>
    <t xml:space="preserve">     Common stock (+SE)</t>
  </si>
  <si>
    <t>(1)</t>
  </si>
  <si>
    <t>(2)</t>
  </si>
  <si>
    <t>Inventory (+A)</t>
  </si>
  <si>
    <t xml:space="preserve">     Accounts payable (+L)</t>
  </si>
  <si>
    <t>(3)</t>
  </si>
  <si>
    <t xml:space="preserve">     Accounts receivable (-A)</t>
  </si>
  <si>
    <t>(4)</t>
  </si>
  <si>
    <t>Accounts payable (-L)</t>
  </si>
  <si>
    <t xml:space="preserve">     Cash (-A)</t>
  </si>
  <si>
    <t>(5)</t>
  </si>
  <si>
    <t xml:space="preserve">     Notes payable (+L)</t>
  </si>
  <si>
    <t>(6)</t>
  </si>
  <si>
    <t xml:space="preserve">    Notes payable (+L)</t>
  </si>
  <si>
    <t>(7)</t>
  </si>
  <si>
    <t>Prepaid rent (+A)</t>
  </si>
  <si>
    <t xml:space="preserve">    Cash (-A)</t>
  </si>
  <si>
    <t>(8)</t>
  </si>
  <si>
    <t>Store equipment (+A)</t>
  </si>
  <si>
    <t>(9)</t>
  </si>
  <si>
    <t xml:space="preserve">    Common stock (+SE)</t>
  </si>
  <si>
    <t>Land (+A)</t>
  </si>
  <si>
    <t>Total</t>
  </si>
  <si>
    <t xml:space="preserve">Greenfield Equipment Inc. sell additional shares of its common stock to new investors. In return, Greenfield receive $25,000 in cash.
Greenfield buy extra merchandise inventory worth $12.000 from a supplier but agrees to pay later.
The customer, Rosso Campo—who had previously been billed—pays $10,000 to Greenfield.
Greenfield settle part of its debt to suppliers by paying $8,000 in cash.
Greenfield buy a van to use for deliveries and pay the entire $18,000 upfront in cash.
Greenfield borrow $30,000 from the bank, receiving cash. 
Greenfield restructure part of its supplier debt by converting $5,000 of accounts payable into a formal note payable.
Greenfield want to open a new store. They pay $12,000 in advance for rent of the store. They will receive the keys to the store next year. Greenfield also buy store equipment worth $2,500, hire a store employee, who will start next year, and plan to sell the extra merchandise previously acquired.     
To acquire a plot of land, the Greenfield issue $20,000 worth of new shares.
</t>
  </si>
  <si>
    <t>Account</t>
  </si>
  <si>
    <t xml:space="preserve">Debit </t>
  </si>
  <si>
    <r>
      <rPr>
        <b/>
        <sz val="11"/>
        <color theme="1"/>
        <rFont val="Calibri"/>
        <family val="2"/>
        <scheme val="minor"/>
      </rPr>
      <t xml:space="preserve">Exercise: </t>
    </r>
    <r>
      <rPr>
        <sz val="11"/>
        <color theme="1"/>
        <rFont val="Calibri"/>
        <family val="2"/>
        <scheme val="minor"/>
      </rPr>
      <t xml:space="preserve">
Please solve the following tasks.
1. Record entries from the journal sheet in T-accounts, which include opening/beginning balances. 
2. Prepare the unadjusted trial balance.</t>
    </r>
  </si>
  <si>
    <t>Prepaid Rent</t>
  </si>
  <si>
    <t>Land</t>
  </si>
  <si>
    <t>Store Equipment</t>
  </si>
  <si>
    <t>Office Equipment</t>
  </si>
  <si>
    <t>Prepaid rent</t>
  </si>
  <si>
    <t>Note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</si>
</sst>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74" formatCode="&quot;$&quot;#,##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54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horizontal="right" vertical="center" wrapText="1" indent="1" readingOrder="1"/>
    </xf>
    <xf numFmtId="3" fontId="3" fillId="2" borderId="5" xfId="0" applyNumberFormat="1" applyFont="1" applyFill="1" applyBorder="1" applyAlignment="1">
      <alignment horizontal="right" vertical="center" wrapText="1" indent="1" readingOrder="1"/>
    </xf>
    <xf numFmtId="0" fontId="4" fillId="2" borderId="0" xfId="0" applyFont="1" applyFill="1" applyAlignment="1">
      <alignment vertical="top" wrapText="1"/>
    </xf>
    <xf numFmtId="3" fontId="3" fillId="2" borderId="7" xfId="0" applyNumberFormat="1" applyFont="1" applyFill="1" applyBorder="1" applyAlignment="1">
      <alignment horizontal="right" vertical="center" wrapText="1" indent="1" readingOrder="1"/>
    </xf>
    <xf numFmtId="3" fontId="3" fillId="2" borderId="0" xfId="0" applyNumberFormat="1" applyFont="1" applyFill="1" applyAlignment="1">
      <alignment horizontal="right" vertical="center" wrapText="1" indent="1" readingOrder="1"/>
    </xf>
    <xf numFmtId="0" fontId="6" fillId="2" borderId="0" xfId="0" applyFont="1" applyFill="1"/>
    <xf numFmtId="3" fontId="4" fillId="2" borderId="4" xfId="0" applyNumberFormat="1" applyFont="1" applyFill="1" applyBorder="1" applyAlignment="1">
      <alignment horizontal="right" vertical="top" wrapText="1" indent="1"/>
    </xf>
    <xf numFmtId="3" fontId="4" fillId="2" borderId="0" xfId="0" applyNumberFormat="1" applyFont="1" applyFill="1" applyAlignment="1">
      <alignment horizontal="right" vertical="top" wrapText="1" indent="1"/>
    </xf>
    <xf numFmtId="3" fontId="3" fillId="2" borderId="12" xfId="0" applyNumberFormat="1" applyFont="1" applyFill="1" applyBorder="1" applyAlignment="1">
      <alignment horizontal="right" vertical="center" wrapText="1" indent="1" readingOrder="1"/>
    </xf>
    <xf numFmtId="3" fontId="3" fillId="2" borderId="11" xfId="0" applyNumberFormat="1" applyFont="1" applyFill="1" applyBorder="1" applyAlignment="1">
      <alignment horizontal="right" vertical="center" wrapText="1" indent="1" readingOrder="1"/>
    </xf>
    <xf numFmtId="3" fontId="0" fillId="0" borderId="0" xfId="0" applyNumberFormat="1"/>
    <xf numFmtId="3" fontId="3" fillId="2" borderId="4" xfId="0" applyNumberFormat="1" applyFont="1" applyFill="1" applyBorder="1" applyAlignment="1">
      <alignment horizontal="left" vertical="center" wrapText="1" readingOrder="1"/>
    </xf>
    <xf numFmtId="3" fontId="4" fillId="2" borderId="6" xfId="0" applyNumberFormat="1" applyFont="1" applyFill="1" applyBorder="1" applyAlignment="1">
      <alignment vertical="top" wrapText="1"/>
    </xf>
    <xf numFmtId="3" fontId="1" fillId="2" borderId="0" xfId="0" applyNumberFormat="1" applyFont="1" applyFill="1"/>
    <xf numFmtId="3" fontId="3" fillId="2" borderId="0" xfId="0" applyNumberFormat="1" applyFont="1" applyFill="1" applyAlignment="1">
      <alignment horizontal="left" vertical="center" wrapText="1" readingOrder="1"/>
    </xf>
    <xf numFmtId="3" fontId="4" fillId="2" borderId="8" xfId="0" applyNumberFormat="1" applyFont="1" applyFill="1" applyBorder="1" applyAlignment="1">
      <alignment vertical="top" wrapText="1"/>
    </xf>
    <xf numFmtId="3" fontId="3" fillId="2" borderId="11" xfId="0" applyNumberFormat="1" applyFont="1" applyFill="1" applyBorder="1" applyAlignment="1">
      <alignment horizontal="left" vertical="center" wrapText="1" readingOrder="1"/>
    </xf>
    <xf numFmtId="3" fontId="4" fillId="2" borderId="13" xfId="0" applyNumberFormat="1" applyFont="1" applyFill="1" applyBorder="1" applyAlignment="1">
      <alignment vertical="top" wrapText="1"/>
    </xf>
    <xf numFmtId="3" fontId="4" fillId="2" borderId="0" xfId="0" applyNumberFormat="1" applyFont="1" applyFill="1" applyAlignment="1">
      <alignment vertical="top" wrapText="1"/>
    </xf>
    <xf numFmtId="3" fontId="2" fillId="2" borderId="1" xfId="0" applyNumberFormat="1" applyFont="1" applyFill="1" applyBorder="1" applyAlignment="1">
      <alignment horizontal="left" vertical="center" wrapText="1" readingOrder="1"/>
    </xf>
    <xf numFmtId="3" fontId="2" fillId="2" borderId="2" xfId="0" applyNumberFormat="1" applyFont="1" applyFill="1" applyBorder="1" applyAlignment="1">
      <alignment vertical="center" wrapText="1" readingOrder="1"/>
    </xf>
    <xf numFmtId="3" fontId="2" fillId="2" borderId="3" xfId="0" applyNumberFormat="1" applyFont="1" applyFill="1" applyBorder="1" applyAlignment="1">
      <alignment horizontal="right" vertical="center" wrapText="1" indent="1" readingOrder="1"/>
    </xf>
    <xf numFmtId="3" fontId="1" fillId="2" borderId="0" xfId="0" quotePrefix="1" applyNumberFormat="1" applyFont="1" applyFill="1"/>
    <xf numFmtId="3" fontId="4" fillId="2" borderId="11" xfId="0" applyNumberFormat="1" applyFont="1" applyFill="1" applyBorder="1" applyAlignment="1">
      <alignment horizontal="right" vertical="top" wrapText="1" indent="1"/>
    </xf>
    <xf numFmtId="0" fontId="0" fillId="0" borderId="0" xfId="0" quotePrefix="1" applyAlignment="1">
      <alignment horizontal="right"/>
    </xf>
    <xf numFmtId="164" fontId="0" fillId="0" borderId="0" xfId="1" applyNumberFormat="1" applyFont="1"/>
    <xf numFmtId="0" fontId="0" fillId="0" borderId="0" xfId="0" applyAlignment="1">
      <alignment horizontal="right"/>
    </xf>
    <xf numFmtId="0" fontId="0" fillId="5" borderId="0" xfId="0" applyFill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3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7" fillId="4" borderId="9" xfId="0" applyFont="1" applyFill="1" applyBorder="1" applyAlignment="1">
      <alignment horizontal="center" vertical="center" wrapText="1" readingOrder="1"/>
    </xf>
    <xf numFmtId="0" fontId="7" fillId="4" borderId="0" xfId="0" applyFont="1" applyFill="1" applyAlignment="1">
      <alignment horizontal="center" vertical="center" wrapText="1" readingOrder="1"/>
    </xf>
    <xf numFmtId="0" fontId="7" fillId="4" borderId="10" xfId="0" applyFont="1" applyFill="1" applyBorder="1" applyAlignment="1">
      <alignment horizontal="center" vertical="center" wrapText="1" readingOrder="1"/>
    </xf>
    <xf numFmtId="0" fontId="7" fillId="3" borderId="9" xfId="0" applyFont="1" applyFill="1" applyBorder="1" applyAlignment="1">
      <alignment horizontal="center" vertical="center" wrapText="1" readingOrder="1"/>
    </xf>
    <xf numFmtId="0" fontId="7" fillId="3" borderId="0" xfId="0" applyFont="1" applyFill="1" applyAlignment="1">
      <alignment horizontal="center" vertical="center" wrapText="1" readingOrder="1"/>
    </xf>
    <xf numFmtId="0" fontId="7" fillId="3" borderId="10" xfId="0" applyFont="1" applyFill="1" applyBorder="1" applyAlignment="1">
      <alignment horizontal="center" vertical="center" wrapText="1" readingOrder="1"/>
    </xf>
    <xf numFmtId="0" fontId="0" fillId="5" borderId="14" xfId="0" applyFill="1" applyBorder="1" applyAlignment="1">
      <alignment vertical="center"/>
    </xf>
    <xf numFmtId="0" fontId="0" fillId="5" borderId="15" xfId="0" applyFill="1" applyBorder="1" applyAlignment="1">
      <alignment vertical="center"/>
    </xf>
    <xf numFmtId="0" fontId="0" fillId="5" borderId="16" xfId="0" applyFill="1" applyBorder="1" applyAlignment="1">
      <alignment vertical="center"/>
    </xf>
    <xf numFmtId="0" fontId="10" fillId="0" borderId="17" xfId="0" applyFont="1" applyBorder="1" applyAlignment="1">
      <alignment vertical="center"/>
    </xf>
    <xf numFmtId="174" fontId="0" fillId="0" borderId="0" xfId="1" applyNumberFormat="1" applyFont="1" applyBorder="1" applyAlignment="1">
      <alignment vertical="center"/>
    </xf>
    <xf numFmtId="174" fontId="0" fillId="0" borderId="18" xfId="1" applyNumberFormat="1" applyFont="1" applyBorder="1" applyAlignment="1">
      <alignment vertical="center"/>
    </xf>
    <xf numFmtId="0" fontId="0" fillId="0" borderId="17" xfId="0" applyBorder="1" applyAlignment="1">
      <alignment vertical="center"/>
    </xf>
    <xf numFmtId="174" fontId="0" fillId="0" borderId="0" xfId="0" applyNumberFormat="1" applyBorder="1" applyAlignment="1">
      <alignment vertical="center"/>
    </xf>
    <xf numFmtId="174" fontId="0" fillId="0" borderId="18" xfId="0" applyNumberFormat="1" applyBorder="1" applyAlignment="1">
      <alignment vertical="center"/>
    </xf>
    <xf numFmtId="0" fontId="10" fillId="0" borderId="19" xfId="0" applyFont="1" applyBorder="1" applyAlignment="1">
      <alignment vertical="center"/>
    </xf>
    <xf numFmtId="174" fontId="0" fillId="0" borderId="20" xfId="0" applyNumberFormat="1" applyBorder="1" applyAlignment="1">
      <alignment vertical="center"/>
    </xf>
    <xf numFmtId="174" fontId="0" fillId="0" borderId="21" xfId="0" applyNumberForma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05F5D-32D3-2E43-A5A9-695BCA66ACD3}">
  <dimension ref="B2:G27"/>
  <sheetViews>
    <sheetView zoomScale="125" workbookViewId="0">
      <selection activeCell="B2" sqref="B2:G27"/>
    </sheetView>
  </sheetViews>
  <sheetFormatPr defaultColWidth="11.5546875" defaultRowHeight="14.4" x14ac:dyDescent="0.3"/>
  <sheetData>
    <row r="2" spans="2:7" x14ac:dyDescent="0.3">
      <c r="B2" s="32" t="s">
        <v>42</v>
      </c>
      <c r="C2" s="33"/>
      <c r="D2" s="33"/>
      <c r="E2" s="33"/>
      <c r="F2" s="33"/>
      <c r="G2" s="33"/>
    </row>
    <row r="3" spans="2:7" x14ac:dyDescent="0.3">
      <c r="B3" s="33"/>
      <c r="C3" s="33"/>
      <c r="D3" s="33"/>
      <c r="E3" s="33"/>
      <c r="F3" s="33"/>
      <c r="G3" s="33"/>
    </row>
    <row r="4" spans="2:7" x14ac:dyDescent="0.3">
      <c r="B4" s="33"/>
      <c r="C4" s="33"/>
      <c r="D4" s="33"/>
      <c r="E4" s="33"/>
      <c r="F4" s="33"/>
      <c r="G4" s="33"/>
    </row>
    <row r="5" spans="2:7" x14ac:dyDescent="0.3">
      <c r="B5" s="33"/>
      <c r="C5" s="33"/>
      <c r="D5" s="33"/>
      <c r="E5" s="33"/>
      <c r="F5" s="33"/>
      <c r="G5" s="33"/>
    </row>
    <row r="6" spans="2:7" x14ac:dyDescent="0.3">
      <c r="B6" s="33"/>
      <c r="C6" s="33"/>
      <c r="D6" s="33"/>
      <c r="E6" s="33"/>
      <c r="F6" s="33"/>
      <c r="G6" s="33"/>
    </row>
    <row r="7" spans="2:7" x14ac:dyDescent="0.3">
      <c r="B7" s="33"/>
      <c r="C7" s="33"/>
      <c r="D7" s="33"/>
      <c r="E7" s="33"/>
      <c r="F7" s="33"/>
      <c r="G7" s="33"/>
    </row>
    <row r="8" spans="2:7" x14ac:dyDescent="0.3">
      <c r="B8" s="33"/>
      <c r="C8" s="33"/>
      <c r="D8" s="33"/>
      <c r="E8" s="33"/>
      <c r="F8" s="33"/>
      <c r="G8" s="33"/>
    </row>
    <row r="9" spans="2:7" x14ac:dyDescent="0.3">
      <c r="B9" s="33"/>
      <c r="C9" s="33"/>
      <c r="D9" s="33"/>
      <c r="E9" s="33"/>
      <c r="F9" s="33"/>
      <c r="G9" s="33"/>
    </row>
    <row r="10" spans="2:7" x14ac:dyDescent="0.3">
      <c r="B10" s="33"/>
      <c r="C10" s="33"/>
      <c r="D10" s="33"/>
      <c r="E10" s="33"/>
      <c r="F10" s="33"/>
      <c r="G10" s="33"/>
    </row>
    <row r="11" spans="2:7" x14ac:dyDescent="0.3">
      <c r="B11" s="33"/>
      <c r="C11" s="33"/>
      <c r="D11" s="33"/>
      <c r="E11" s="33"/>
      <c r="F11" s="33"/>
      <c r="G11" s="33"/>
    </row>
    <row r="12" spans="2:7" x14ac:dyDescent="0.3">
      <c r="B12" s="33"/>
      <c r="C12" s="33"/>
      <c r="D12" s="33"/>
      <c r="E12" s="33"/>
      <c r="F12" s="33"/>
      <c r="G12" s="33"/>
    </row>
    <row r="13" spans="2:7" x14ac:dyDescent="0.3">
      <c r="B13" s="33"/>
      <c r="C13" s="33"/>
      <c r="D13" s="33"/>
      <c r="E13" s="33"/>
      <c r="F13" s="33"/>
      <c r="G13" s="33"/>
    </row>
    <row r="14" spans="2:7" x14ac:dyDescent="0.3">
      <c r="B14" s="33"/>
      <c r="C14" s="33"/>
      <c r="D14" s="33"/>
      <c r="E14" s="33"/>
      <c r="F14" s="33"/>
      <c r="G14" s="33"/>
    </row>
    <row r="15" spans="2:7" x14ac:dyDescent="0.3">
      <c r="B15" s="33"/>
      <c r="C15" s="33"/>
      <c r="D15" s="33"/>
      <c r="E15" s="33"/>
      <c r="F15" s="33"/>
      <c r="G15" s="33"/>
    </row>
    <row r="16" spans="2:7" x14ac:dyDescent="0.3">
      <c r="B16" s="33"/>
      <c r="C16" s="33"/>
      <c r="D16" s="33"/>
      <c r="E16" s="33"/>
      <c r="F16" s="33"/>
      <c r="G16" s="33"/>
    </row>
    <row r="17" spans="2:7" x14ac:dyDescent="0.3">
      <c r="B17" s="33"/>
      <c r="C17" s="33"/>
      <c r="D17" s="33"/>
      <c r="E17" s="33"/>
      <c r="F17" s="33"/>
      <c r="G17" s="33"/>
    </row>
    <row r="18" spans="2:7" x14ac:dyDescent="0.3">
      <c r="B18" s="33"/>
      <c r="C18" s="33"/>
      <c r="D18" s="33"/>
      <c r="E18" s="33"/>
      <c r="F18" s="33"/>
      <c r="G18" s="33"/>
    </row>
    <row r="19" spans="2:7" x14ac:dyDescent="0.3">
      <c r="B19" s="33"/>
      <c r="C19" s="33"/>
      <c r="D19" s="33"/>
      <c r="E19" s="33"/>
      <c r="F19" s="33"/>
      <c r="G19" s="33"/>
    </row>
    <row r="20" spans="2:7" x14ac:dyDescent="0.3">
      <c r="B20" s="33"/>
      <c r="C20" s="33"/>
      <c r="D20" s="33"/>
      <c r="E20" s="33"/>
      <c r="F20" s="33"/>
      <c r="G20" s="33"/>
    </row>
    <row r="21" spans="2:7" x14ac:dyDescent="0.3">
      <c r="B21" s="33"/>
      <c r="C21" s="33"/>
      <c r="D21" s="33"/>
      <c r="E21" s="33"/>
      <c r="F21" s="33"/>
      <c r="G21" s="33"/>
    </row>
    <row r="22" spans="2:7" x14ac:dyDescent="0.3">
      <c r="B22" s="33"/>
      <c r="C22" s="33"/>
      <c r="D22" s="33"/>
      <c r="E22" s="33"/>
      <c r="F22" s="33"/>
      <c r="G22" s="33"/>
    </row>
    <row r="23" spans="2:7" x14ac:dyDescent="0.3">
      <c r="B23" s="33"/>
      <c r="C23" s="33"/>
      <c r="D23" s="33"/>
      <c r="E23" s="33"/>
      <c r="F23" s="33"/>
      <c r="G23" s="33"/>
    </row>
    <row r="24" spans="2:7" x14ac:dyDescent="0.3">
      <c r="B24" s="33"/>
      <c r="C24" s="33"/>
      <c r="D24" s="33"/>
      <c r="E24" s="33"/>
      <c r="F24" s="33"/>
      <c r="G24" s="33"/>
    </row>
    <row r="25" spans="2:7" x14ac:dyDescent="0.3">
      <c r="B25" s="33"/>
      <c r="C25" s="33"/>
      <c r="D25" s="33"/>
      <c r="E25" s="33"/>
      <c r="F25" s="33"/>
      <c r="G25" s="33"/>
    </row>
    <row r="26" spans="2:7" x14ac:dyDescent="0.3">
      <c r="B26" s="33"/>
      <c r="C26" s="33"/>
      <c r="D26" s="33"/>
      <c r="E26" s="33"/>
      <c r="F26" s="33"/>
      <c r="G26" s="33"/>
    </row>
    <row r="27" spans="2:7" x14ac:dyDescent="0.3">
      <c r="B27" s="33"/>
      <c r="C27" s="33"/>
      <c r="D27" s="33"/>
      <c r="E27" s="33"/>
      <c r="F27" s="33"/>
      <c r="G27" s="33"/>
    </row>
  </sheetData>
  <mergeCells count="1">
    <mergeCell ref="B2:G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9FC0-8E0B-2849-8C91-A55EFD363480}">
  <dimension ref="B2:L31"/>
  <sheetViews>
    <sheetView topLeftCell="A12" zoomScale="134" zoomScaleNormal="134" workbookViewId="0">
      <selection activeCell="G3" sqref="G3:L28"/>
    </sheetView>
  </sheetViews>
  <sheetFormatPr defaultColWidth="11.5546875" defaultRowHeight="14.4" x14ac:dyDescent="0.3"/>
  <cols>
    <col min="2" max="2" width="5.33203125" customWidth="1"/>
    <col min="3" max="3" width="29.109375" customWidth="1"/>
    <col min="4" max="5" width="12.109375" bestFit="1" customWidth="1"/>
  </cols>
  <sheetData>
    <row r="2" spans="2:12" x14ac:dyDescent="0.3">
      <c r="B2" s="31"/>
      <c r="C2" s="31"/>
      <c r="D2" s="31" t="s">
        <v>0</v>
      </c>
      <c r="E2" s="31" t="s">
        <v>1</v>
      </c>
    </row>
    <row r="3" spans="2:12" x14ac:dyDescent="0.3">
      <c r="B3" s="28" t="s">
        <v>17</v>
      </c>
      <c r="C3" t="s">
        <v>15</v>
      </c>
      <c r="D3" s="29">
        <v>25000</v>
      </c>
      <c r="E3" s="29"/>
      <c r="G3" s="32" t="s">
        <v>39</v>
      </c>
      <c r="H3" s="33"/>
      <c r="I3" s="33"/>
      <c r="J3" s="33"/>
      <c r="K3" s="33"/>
      <c r="L3" s="33"/>
    </row>
    <row r="4" spans="2:12" x14ac:dyDescent="0.3">
      <c r="B4" s="30"/>
      <c r="C4" t="s">
        <v>16</v>
      </c>
      <c r="D4" s="29"/>
      <c r="E4" s="29">
        <v>25000</v>
      </c>
      <c r="G4" s="33"/>
      <c r="H4" s="33"/>
      <c r="I4" s="33"/>
      <c r="J4" s="33"/>
      <c r="K4" s="33"/>
      <c r="L4" s="33"/>
    </row>
    <row r="5" spans="2:12" x14ac:dyDescent="0.3">
      <c r="B5" s="30"/>
      <c r="D5" s="29"/>
      <c r="E5" s="29"/>
      <c r="G5" s="33"/>
      <c r="H5" s="33"/>
      <c r="I5" s="33"/>
      <c r="J5" s="33"/>
      <c r="K5" s="33"/>
      <c r="L5" s="33"/>
    </row>
    <row r="6" spans="2:12" x14ac:dyDescent="0.3">
      <c r="B6" s="28" t="s">
        <v>18</v>
      </c>
      <c r="C6" t="s">
        <v>19</v>
      </c>
      <c r="D6" s="29">
        <v>12000</v>
      </c>
      <c r="E6" s="29"/>
      <c r="G6" s="33"/>
      <c r="H6" s="33"/>
      <c r="I6" s="33"/>
      <c r="J6" s="33"/>
      <c r="K6" s="33"/>
      <c r="L6" s="33"/>
    </row>
    <row r="7" spans="2:12" x14ac:dyDescent="0.3">
      <c r="B7" s="30"/>
      <c r="C7" t="s">
        <v>20</v>
      </c>
      <c r="D7" s="29"/>
      <c r="E7" s="29">
        <v>12000</v>
      </c>
      <c r="G7" s="33"/>
      <c r="H7" s="33"/>
      <c r="I7" s="33"/>
      <c r="J7" s="33"/>
      <c r="K7" s="33"/>
      <c r="L7" s="33"/>
    </row>
    <row r="8" spans="2:12" x14ac:dyDescent="0.3">
      <c r="B8" s="30"/>
      <c r="D8" s="29"/>
      <c r="E8" s="29"/>
      <c r="G8" s="33"/>
      <c r="H8" s="33"/>
      <c r="I8" s="33"/>
      <c r="J8" s="33"/>
      <c r="K8" s="33"/>
      <c r="L8" s="33"/>
    </row>
    <row r="9" spans="2:12" x14ac:dyDescent="0.3">
      <c r="B9" s="28" t="s">
        <v>21</v>
      </c>
      <c r="C9" t="s">
        <v>15</v>
      </c>
      <c r="D9" s="29">
        <v>10000</v>
      </c>
      <c r="E9" s="29"/>
      <c r="G9" s="33"/>
      <c r="H9" s="33"/>
      <c r="I9" s="33"/>
      <c r="J9" s="33"/>
      <c r="K9" s="33"/>
      <c r="L9" s="33"/>
    </row>
    <row r="10" spans="2:12" x14ac:dyDescent="0.3">
      <c r="B10" s="30"/>
      <c r="C10" t="s">
        <v>22</v>
      </c>
      <c r="D10" s="29"/>
      <c r="E10" s="29">
        <v>10000</v>
      </c>
      <c r="G10" s="33"/>
      <c r="H10" s="33"/>
      <c r="I10" s="33"/>
      <c r="J10" s="33"/>
      <c r="K10" s="33"/>
      <c r="L10" s="33"/>
    </row>
    <row r="11" spans="2:12" x14ac:dyDescent="0.3">
      <c r="B11" s="30"/>
      <c r="D11" s="29"/>
      <c r="E11" s="29"/>
      <c r="G11" s="33"/>
      <c r="H11" s="33"/>
      <c r="I11" s="33"/>
      <c r="J11" s="33"/>
      <c r="K11" s="33"/>
      <c r="L11" s="33"/>
    </row>
    <row r="12" spans="2:12" x14ac:dyDescent="0.3">
      <c r="B12" s="28" t="s">
        <v>23</v>
      </c>
      <c r="C12" t="s">
        <v>24</v>
      </c>
      <c r="D12" s="29">
        <v>8000</v>
      </c>
      <c r="E12" s="29"/>
      <c r="G12" s="33"/>
      <c r="H12" s="33"/>
      <c r="I12" s="33"/>
      <c r="J12" s="33"/>
      <c r="K12" s="33"/>
      <c r="L12" s="33"/>
    </row>
    <row r="13" spans="2:12" x14ac:dyDescent="0.3">
      <c r="B13" s="30"/>
      <c r="C13" t="s">
        <v>25</v>
      </c>
      <c r="D13" s="29"/>
      <c r="E13" s="29">
        <v>8000</v>
      </c>
      <c r="G13" s="33"/>
      <c r="H13" s="33"/>
      <c r="I13" s="33"/>
      <c r="J13" s="33"/>
      <c r="K13" s="33"/>
      <c r="L13" s="33"/>
    </row>
    <row r="14" spans="2:12" x14ac:dyDescent="0.3">
      <c r="B14" s="30"/>
      <c r="D14" s="29"/>
      <c r="E14" s="29"/>
      <c r="G14" s="33"/>
      <c r="H14" s="33"/>
      <c r="I14" s="33"/>
      <c r="J14" s="33"/>
      <c r="K14" s="33"/>
      <c r="L14" s="33"/>
    </row>
    <row r="15" spans="2:12" x14ac:dyDescent="0.3">
      <c r="B15" s="28" t="s">
        <v>26</v>
      </c>
      <c r="C15" t="s">
        <v>15</v>
      </c>
      <c r="D15" s="29">
        <v>30000</v>
      </c>
      <c r="E15" s="29"/>
      <c r="G15" s="33"/>
      <c r="H15" s="33"/>
      <c r="I15" s="33"/>
      <c r="J15" s="33"/>
      <c r="K15" s="33"/>
      <c r="L15" s="33"/>
    </row>
    <row r="16" spans="2:12" x14ac:dyDescent="0.3">
      <c r="B16" s="30"/>
      <c r="C16" t="s">
        <v>27</v>
      </c>
      <c r="D16" s="29"/>
      <c r="E16" s="29">
        <v>30000</v>
      </c>
      <c r="G16" s="33"/>
      <c r="H16" s="33"/>
      <c r="I16" s="33"/>
      <c r="J16" s="33"/>
      <c r="K16" s="33"/>
      <c r="L16" s="33"/>
    </row>
    <row r="17" spans="2:12" x14ac:dyDescent="0.3">
      <c r="B17" s="30"/>
      <c r="D17" s="29"/>
      <c r="E17" s="29"/>
      <c r="G17" s="33"/>
      <c r="H17" s="33"/>
      <c r="I17" s="33"/>
      <c r="J17" s="33"/>
      <c r="K17" s="33"/>
      <c r="L17" s="33"/>
    </row>
    <row r="18" spans="2:12" x14ac:dyDescent="0.3">
      <c r="B18" s="28" t="s">
        <v>28</v>
      </c>
      <c r="C18" t="s">
        <v>24</v>
      </c>
      <c r="D18" s="29">
        <v>5000</v>
      </c>
      <c r="E18" s="29"/>
      <c r="G18" s="33"/>
      <c r="H18" s="33"/>
      <c r="I18" s="33"/>
      <c r="J18" s="33"/>
      <c r="K18" s="33"/>
      <c r="L18" s="33"/>
    </row>
    <row r="19" spans="2:12" x14ac:dyDescent="0.3">
      <c r="B19" s="30"/>
      <c r="C19" t="s">
        <v>29</v>
      </c>
      <c r="D19" s="29"/>
      <c r="E19" s="29">
        <v>5000</v>
      </c>
      <c r="G19" s="33"/>
      <c r="H19" s="33"/>
      <c r="I19" s="33"/>
      <c r="J19" s="33"/>
      <c r="K19" s="33"/>
      <c r="L19" s="33"/>
    </row>
    <row r="20" spans="2:12" x14ac:dyDescent="0.3">
      <c r="B20" s="30"/>
      <c r="D20" s="29"/>
      <c r="E20" s="29"/>
      <c r="G20" s="33"/>
      <c r="H20" s="33"/>
      <c r="I20" s="33"/>
      <c r="J20" s="33"/>
      <c r="K20" s="33"/>
      <c r="L20" s="33"/>
    </row>
    <row r="21" spans="2:12" x14ac:dyDescent="0.3">
      <c r="B21" s="28" t="s">
        <v>30</v>
      </c>
      <c r="C21" t="s">
        <v>31</v>
      </c>
      <c r="D21" s="29">
        <v>12000</v>
      </c>
      <c r="E21" s="29"/>
      <c r="G21" s="33"/>
      <c r="H21" s="33"/>
      <c r="I21" s="33"/>
      <c r="J21" s="33"/>
      <c r="K21" s="33"/>
      <c r="L21" s="33"/>
    </row>
    <row r="22" spans="2:12" x14ac:dyDescent="0.3">
      <c r="B22" s="30"/>
      <c r="C22" t="s">
        <v>32</v>
      </c>
      <c r="D22" s="29"/>
      <c r="E22" s="29">
        <v>12000</v>
      </c>
      <c r="G22" s="33"/>
      <c r="H22" s="33"/>
      <c r="I22" s="33"/>
      <c r="J22" s="33"/>
      <c r="K22" s="33"/>
      <c r="L22" s="33"/>
    </row>
    <row r="23" spans="2:12" x14ac:dyDescent="0.3">
      <c r="B23" s="30"/>
      <c r="D23" s="29"/>
      <c r="E23" s="29"/>
      <c r="G23" s="33"/>
      <c r="H23" s="33"/>
      <c r="I23" s="33"/>
      <c r="J23" s="33"/>
      <c r="K23" s="33"/>
      <c r="L23" s="33"/>
    </row>
    <row r="24" spans="2:12" x14ac:dyDescent="0.3">
      <c r="B24" s="28" t="s">
        <v>33</v>
      </c>
      <c r="C24" t="s">
        <v>34</v>
      </c>
      <c r="D24" s="29">
        <v>2500</v>
      </c>
      <c r="E24" s="29"/>
      <c r="G24" s="33"/>
      <c r="H24" s="33"/>
      <c r="I24" s="33"/>
      <c r="J24" s="33"/>
      <c r="K24" s="33"/>
      <c r="L24" s="33"/>
    </row>
    <row r="25" spans="2:12" x14ac:dyDescent="0.3">
      <c r="B25" s="30"/>
      <c r="C25" t="s">
        <v>32</v>
      </c>
      <c r="D25" s="29"/>
      <c r="E25" s="29">
        <v>2500</v>
      </c>
      <c r="G25" s="33"/>
      <c r="H25" s="33"/>
      <c r="I25" s="33"/>
      <c r="J25" s="33"/>
      <c r="K25" s="33"/>
      <c r="L25" s="33"/>
    </row>
    <row r="26" spans="2:12" x14ac:dyDescent="0.3">
      <c r="B26" s="30"/>
      <c r="D26" s="29"/>
      <c r="E26" s="29"/>
      <c r="G26" s="33"/>
      <c r="H26" s="33"/>
      <c r="I26" s="33"/>
      <c r="J26" s="33"/>
      <c r="K26" s="33"/>
      <c r="L26" s="33"/>
    </row>
    <row r="27" spans="2:12" x14ac:dyDescent="0.3">
      <c r="B27" s="28" t="s">
        <v>35</v>
      </c>
      <c r="C27" t="s">
        <v>37</v>
      </c>
      <c r="D27" s="29">
        <v>20000</v>
      </c>
      <c r="E27" s="29"/>
      <c r="G27" s="33"/>
      <c r="H27" s="33"/>
      <c r="I27" s="33"/>
      <c r="J27" s="33"/>
      <c r="K27" s="33"/>
      <c r="L27" s="33"/>
    </row>
    <row r="28" spans="2:12" x14ac:dyDescent="0.3">
      <c r="B28" s="30"/>
      <c r="C28" t="s">
        <v>36</v>
      </c>
      <c r="D28" s="29"/>
      <c r="E28" s="29">
        <v>20000</v>
      </c>
      <c r="G28" s="33"/>
      <c r="H28" s="33"/>
      <c r="I28" s="33"/>
      <c r="J28" s="33"/>
      <c r="K28" s="33"/>
      <c r="L28" s="33"/>
    </row>
    <row r="29" spans="2:12" x14ac:dyDescent="0.3">
      <c r="B29" s="30"/>
      <c r="D29" s="29"/>
      <c r="E29" s="29"/>
    </row>
    <row r="30" spans="2:12" x14ac:dyDescent="0.3">
      <c r="B30" s="30"/>
      <c r="C30" t="s">
        <v>38</v>
      </c>
      <c r="D30" s="29">
        <f>SUM(D3:D27)</f>
        <v>124500</v>
      </c>
      <c r="E30" s="29">
        <f>SUM(E3:E28)</f>
        <v>124500</v>
      </c>
    </row>
    <row r="31" spans="2:12" x14ac:dyDescent="0.3">
      <c r="B31" s="30"/>
    </row>
  </sheetData>
  <mergeCells count="1">
    <mergeCell ref="G3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topLeftCell="A9" zoomScale="101" zoomScaleNormal="85" workbookViewId="0">
      <selection activeCell="J35" sqref="J35"/>
    </sheetView>
  </sheetViews>
  <sheetFormatPr defaultColWidth="8.77734375" defaultRowHeight="13.8" x14ac:dyDescent="0.25"/>
  <cols>
    <col min="1" max="1" width="4.33203125" style="1" customWidth="1"/>
    <col min="2" max="2" width="20.44140625" style="1" customWidth="1"/>
    <col min="3" max="3" width="10.44140625" style="1" customWidth="1"/>
    <col min="4" max="4" width="18" style="1" customWidth="1"/>
    <col min="5" max="5" width="10.44140625" style="1" customWidth="1"/>
    <col min="6" max="7" width="3.6640625" style="1" customWidth="1"/>
    <col min="8" max="8" width="18.33203125" style="1" customWidth="1"/>
    <col min="9" max="9" width="10.44140625" style="1" customWidth="1"/>
    <col min="10" max="10" width="19.109375" style="1" customWidth="1"/>
    <col min="11" max="11" width="10.44140625" style="1" customWidth="1"/>
    <col min="12" max="12" width="8.77734375" style="1"/>
    <col min="13" max="13" width="18.33203125" style="1" customWidth="1"/>
    <col min="14" max="14" width="10.44140625" style="1" customWidth="1"/>
    <col min="15" max="15" width="19.109375" style="1" customWidth="1"/>
    <col min="16" max="16" width="10.44140625" style="1" customWidth="1"/>
    <col min="17" max="17" width="8.77734375" style="1"/>
    <col min="18" max="18" width="7.44140625" style="1" customWidth="1"/>
    <col min="19" max="19" width="11.77734375" style="1" customWidth="1"/>
    <col min="20" max="20" width="31.6640625" style="1" customWidth="1"/>
    <col min="21" max="16384" width="8.77734375" style="1"/>
  </cols>
  <sheetData>
    <row r="1" spans="1:17" ht="14.4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5" customHeight="1" x14ac:dyDescent="0.3">
      <c r="A2" s="9"/>
      <c r="B2" s="39" t="s">
        <v>2</v>
      </c>
      <c r="C2" s="40"/>
      <c r="D2" s="40"/>
      <c r="E2" s="41"/>
      <c r="F2" s="9"/>
      <c r="G2" s="9"/>
      <c r="H2" s="36" t="s">
        <v>3</v>
      </c>
      <c r="I2" s="37"/>
      <c r="J2" s="37"/>
      <c r="K2" s="38"/>
      <c r="L2" s="9"/>
      <c r="M2" s="1" t="s">
        <v>0</v>
      </c>
      <c r="N2" s="17">
        <f>B11+B19+B27+B35+B43+B51+B56</f>
        <v>151000</v>
      </c>
      <c r="Q2" s="9"/>
    </row>
    <row r="3" spans="1:17" ht="14.4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1" t="s">
        <v>1</v>
      </c>
      <c r="N3" s="17">
        <f>J11+J19+J27+J35</f>
        <v>151000</v>
      </c>
      <c r="Q3" s="9"/>
    </row>
    <row r="4" spans="1:17" ht="14.4" x14ac:dyDescent="0.3">
      <c r="A4" s="9"/>
      <c r="B4" s="6"/>
      <c r="C4" s="8"/>
      <c r="D4" s="6"/>
      <c r="E4" s="8"/>
      <c r="F4" s="9"/>
      <c r="G4" s="9"/>
      <c r="H4" s="9"/>
      <c r="I4" s="9"/>
      <c r="J4" s="9"/>
      <c r="K4" s="9"/>
      <c r="L4" s="9"/>
      <c r="Q4" s="9"/>
    </row>
    <row r="5" spans="1:17" ht="14.4" thickBot="1" x14ac:dyDescent="0.3">
      <c r="B5" s="35" t="s">
        <v>4</v>
      </c>
      <c r="C5" s="35"/>
      <c r="D5" s="35"/>
      <c r="E5" s="35"/>
      <c r="H5" s="35" t="s">
        <v>9</v>
      </c>
      <c r="I5" s="35"/>
      <c r="J5" s="35"/>
      <c r="K5" s="35"/>
    </row>
    <row r="6" spans="1:17" ht="14.4" thickBot="1" x14ac:dyDescent="0.3">
      <c r="B6" s="2" t="s">
        <v>0</v>
      </c>
      <c r="C6" s="3"/>
      <c r="D6" s="3"/>
      <c r="E6" s="4" t="s">
        <v>1</v>
      </c>
      <c r="H6" s="2" t="s">
        <v>0</v>
      </c>
      <c r="I6" s="3"/>
      <c r="J6" s="3"/>
      <c r="K6" s="4" t="s">
        <v>1</v>
      </c>
    </row>
    <row r="7" spans="1:17" x14ac:dyDescent="0.25">
      <c r="B7" s="15">
        <v>15000</v>
      </c>
      <c r="C7" s="8" t="s">
        <v>13</v>
      </c>
      <c r="D7" s="16">
        <v>8000</v>
      </c>
      <c r="E7" s="8"/>
      <c r="F7" s="17"/>
      <c r="G7" s="17"/>
      <c r="H7" s="15">
        <v>8000</v>
      </c>
      <c r="I7" s="5"/>
      <c r="J7" s="16">
        <v>7000</v>
      </c>
      <c r="K7" s="8" t="s">
        <v>13</v>
      </c>
    </row>
    <row r="8" spans="1:17" x14ac:dyDescent="0.25">
      <c r="B8" s="18">
        <v>25000</v>
      </c>
      <c r="C8" s="7"/>
      <c r="D8" s="19">
        <v>12000</v>
      </c>
      <c r="E8" s="8"/>
      <c r="F8" s="17"/>
      <c r="G8" s="17"/>
      <c r="H8" s="18">
        <v>5000</v>
      </c>
      <c r="I8" s="7"/>
      <c r="J8" s="19">
        <v>12000</v>
      </c>
      <c r="K8" s="8"/>
    </row>
    <row r="9" spans="1:17" x14ac:dyDescent="0.25">
      <c r="B9" s="18">
        <v>10000</v>
      </c>
      <c r="C9" s="7"/>
      <c r="D9" s="19">
        <v>2500</v>
      </c>
      <c r="E9" s="8"/>
      <c r="F9" s="17"/>
      <c r="G9" s="17"/>
      <c r="H9" s="18"/>
      <c r="I9" s="7"/>
      <c r="J9" s="19"/>
      <c r="K9" s="8"/>
    </row>
    <row r="10" spans="1:17" x14ac:dyDescent="0.25">
      <c r="B10" s="20">
        <v>30000</v>
      </c>
      <c r="C10" s="12"/>
      <c r="D10" s="21"/>
      <c r="E10" s="13"/>
      <c r="F10" s="17"/>
      <c r="G10" s="17"/>
      <c r="H10" s="20"/>
      <c r="I10" s="12"/>
      <c r="J10" s="21"/>
      <c r="K10" s="13"/>
    </row>
    <row r="11" spans="1:17" x14ac:dyDescent="0.25">
      <c r="B11" s="22">
        <f>SUM(B7:B10)-SUM(D7:D10)</f>
        <v>57500</v>
      </c>
      <c r="C11" s="11"/>
      <c r="D11" s="19"/>
      <c r="E11" s="11"/>
      <c r="F11" s="17"/>
      <c r="G11" s="17"/>
      <c r="H11" s="22"/>
      <c r="I11" s="11"/>
      <c r="J11" s="19">
        <f>SUM(J7:J10)-SUM(H7:H10)</f>
        <v>6000</v>
      </c>
      <c r="K11" s="11"/>
    </row>
    <row r="12" spans="1:17" x14ac:dyDescent="0.25"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7" x14ac:dyDescent="0.25"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7" ht="14.4" thickBot="1" x14ac:dyDescent="0.3">
      <c r="B14" s="34" t="s">
        <v>5</v>
      </c>
      <c r="C14" s="34"/>
      <c r="D14" s="34"/>
      <c r="E14" s="34"/>
      <c r="F14" s="17"/>
      <c r="G14" s="17"/>
      <c r="H14" s="34" t="s">
        <v>10</v>
      </c>
      <c r="I14" s="34"/>
      <c r="J14" s="34"/>
      <c r="K14" s="34"/>
    </row>
    <row r="15" spans="1:17" ht="14.4" thickBot="1" x14ac:dyDescent="0.3">
      <c r="B15" s="23" t="s">
        <v>0</v>
      </c>
      <c r="C15" s="24"/>
      <c r="D15" s="24"/>
      <c r="E15" s="25" t="s">
        <v>1</v>
      </c>
      <c r="F15" s="17"/>
      <c r="G15" s="17"/>
      <c r="H15" s="23" t="s">
        <v>0</v>
      </c>
      <c r="I15" s="24"/>
      <c r="J15" s="24"/>
      <c r="K15" s="25" t="s">
        <v>1</v>
      </c>
    </row>
    <row r="16" spans="1:17" ht="14.4" x14ac:dyDescent="0.3">
      <c r="B16" s="15">
        <v>20000</v>
      </c>
      <c r="C16" s="8" t="s">
        <v>13</v>
      </c>
      <c r="D16" s="16">
        <v>10000</v>
      </c>
      <c r="E16" s="8"/>
      <c r="F16" s="17"/>
      <c r="G16" s="17"/>
      <c r="H16" s="15"/>
      <c r="I16" s="5"/>
      <c r="J16" s="14">
        <v>10000</v>
      </c>
      <c r="K16" s="8" t="s">
        <v>13</v>
      </c>
    </row>
    <row r="17" spans="2:11" x14ac:dyDescent="0.25">
      <c r="B17" s="18"/>
      <c r="C17" s="7"/>
      <c r="D17" s="19"/>
      <c r="E17" s="8"/>
      <c r="F17" s="17"/>
      <c r="G17" s="17"/>
      <c r="H17" s="18"/>
      <c r="I17" s="7"/>
      <c r="J17" s="19">
        <v>30000</v>
      </c>
      <c r="K17" s="8"/>
    </row>
    <row r="18" spans="2:11" x14ac:dyDescent="0.25">
      <c r="B18" s="20"/>
      <c r="C18" s="12"/>
      <c r="D18" s="21"/>
      <c r="E18" s="13"/>
      <c r="F18" s="17"/>
      <c r="G18" s="17"/>
      <c r="H18" s="20"/>
      <c r="I18" s="12"/>
      <c r="J18" s="21">
        <v>5000</v>
      </c>
      <c r="K18" s="13"/>
    </row>
    <row r="19" spans="2:11" x14ac:dyDescent="0.25">
      <c r="B19" s="22">
        <f>SUM(B16:B18)-SUM(D16:D18)</f>
        <v>10000</v>
      </c>
      <c r="C19" s="11"/>
      <c r="D19" s="19"/>
      <c r="E19" s="11"/>
      <c r="F19" s="17"/>
      <c r="G19" s="17"/>
      <c r="H19" s="22"/>
      <c r="I19" s="11"/>
      <c r="J19" s="19">
        <f>SUM(J16:J18)-SUM(H16:H18)</f>
        <v>45000</v>
      </c>
      <c r="K19" s="11"/>
    </row>
    <row r="20" spans="2:11" x14ac:dyDescent="0.25"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2:11" x14ac:dyDescent="0.25"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2:11" ht="14.4" thickBot="1" x14ac:dyDescent="0.3">
      <c r="B22" s="34" t="s">
        <v>6</v>
      </c>
      <c r="C22" s="34"/>
      <c r="D22" s="34"/>
      <c r="E22" s="34"/>
      <c r="F22" s="17"/>
      <c r="G22" s="17"/>
      <c r="H22" s="34" t="s">
        <v>11</v>
      </c>
      <c r="I22" s="34"/>
      <c r="J22" s="34"/>
      <c r="K22" s="34"/>
    </row>
    <row r="23" spans="2:11" ht="14.4" thickBot="1" x14ac:dyDescent="0.3">
      <c r="B23" s="23" t="s">
        <v>0</v>
      </c>
      <c r="C23" s="24"/>
      <c r="D23" s="24"/>
      <c r="E23" s="25" t="s">
        <v>1</v>
      </c>
      <c r="F23" s="17"/>
      <c r="G23" s="17"/>
      <c r="H23" s="23" t="s">
        <v>0</v>
      </c>
      <c r="I23" s="24"/>
      <c r="J23" s="24"/>
      <c r="K23" s="25" t="s">
        <v>1</v>
      </c>
    </row>
    <row r="24" spans="2:11" ht="14.4" x14ac:dyDescent="0.3">
      <c r="B24" s="15">
        <v>25000</v>
      </c>
      <c r="C24" s="8" t="s">
        <v>13</v>
      </c>
      <c r="D24" s="16"/>
      <c r="E24" s="8"/>
      <c r="F24" s="17"/>
      <c r="G24" s="17"/>
      <c r="H24" s="15"/>
      <c r="I24" s="5"/>
      <c r="J24" s="14">
        <v>32000</v>
      </c>
      <c r="K24" s="8" t="s">
        <v>13</v>
      </c>
    </row>
    <row r="25" spans="2:11" x14ac:dyDescent="0.25">
      <c r="B25" s="18">
        <v>12000</v>
      </c>
      <c r="C25" s="7"/>
      <c r="D25" s="19"/>
      <c r="E25" s="8"/>
      <c r="F25" s="17"/>
      <c r="G25" s="17"/>
      <c r="H25" s="18"/>
      <c r="I25" s="7"/>
      <c r="J25" s="19">
        <v>25000</v>
      </c>
      <c r="K25" s="8"/>
    </row>
    <row r="26" spans="2:11" x14ac:dyDescent="0.25">
      <c r="B26" s="20"/>
      <c r="C26" s="12"/>
      <c r="D26" s="21"/>
      <c r="E26" s="13"/>
      <c r="F26" s="17"/>
      <c r="G26" s="17"/>
      <c r="H26" s="20"/>
      <c r="I26" s="12"/>
      <c r="J26" s="21">
        <v>20000</v>
      </c>
      <c r="K26" s="13"/>
    </row>
    <row r="27" spans="2:11" x14ac:dyDescent="0.25">
      <c r="B27" s="22">
        <f>SUM(B24:B26)-SUM(D24:D26)</f>
        <v>37000</v>
      </c>
      <c r="C27" s="11"/>
      <c r="D27" s="19"/>
      <c r="E27" s="11"/>
      <c r="F27" s="17"/>
      <c r="G27" s="17"/>
      <c r="H27" s="22"/>
      <c r="I27" s="11"/>
      <c r="J27" s="19">
        <f>SUM(J24:J26)-SUM(H24:H26)</f>
        <v>77000</v>
      </c>
      <c r="K27" s="11"/>
    </row>
    <row r="28" spans="2:11" x14ac:dyDescent="0.25"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spans="2:11" x14ac:dyDescent="0.25"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2:11" ht="14.4" thickBot="1" x14ac:dyDescent="0.3">
      <c r="B30" s="34" t="s">
        <v>7</v>
      </c>
      <c r="C30" s="34"/>
      <c r="D30" s="34"/>
      <c r="E30" s="34"/>
      <c r="F30" s="17"/>
      <c r="G30" s="17"/>
      <c r="H30" s="34" t="s">
        <v>12</v>
      </c>
      <c r="I30" s="34"/>
      <c r="J30" s="34"/>
      <c r="K30" s="34"/>
    </row>
    <row r="31" spans="2:11" ht="14.4" thickBot="1" x14ac:dyDescent="0.3">
      <c r="B31" s="23" t="s">
        <v>0</v>
      </c>
      <c r="C31" s="24"/>
      <c r="D31" s="24"/>
      <c r="E31" s="25" t="s">
        <v>1</v>
      </c>
      <c r="F31" s="17"/>
      <c r="G31" s="17"/>
      <c r="H31" s="23" t="s">
        <v>0</v>
      </c>
      <c r="I31" s="24"/>
      <c r="J31" s="24"/>
      <c r="K31" s="25" t="s">
        <v>1</v>
      </c>
    </row>
    <row r="32" spans="2:11" ht="14.4" x14ac:dyDescent="0.3">
      <c r="B32" s="15">
        <v>8000</v>
      </c>
      <c r="C32" s="8" t="s">
        <v>13</v>
      </c>
      <c r="D32" s="16"/>
      <c r="E32" s="8"/>
      <c r="F32" s="17"/>
      <c r="G32" s="17"/>
      <c r="H32" s="15"/>
      <c r="I32" s="5"/>
      <c r="J32" s="14">
        <v>23000</v>
      </c>
      <c r="K32" s="8" t="s">
        <v>13</v>
      </c>
    </row>
    <row r="33" spans="2:11" x14ac:dyDescent="0.25">
      <c r="B33" s="18">
        <v>2500</v>
      </c>
      <c r="C33" s="7"/>
      <c r="D33" s="19"/>
      <c r="E33" s="8"/>
      <c r="F33" s="17"/>
      <c r="G33" s="17"/>
      <c r="H33" s="18"/>
      <c r="I33" s="7"/>
      <c r="J33" s="19"/>
      <c r="K33" s="8"/>
    </row>
    <row r="34" spans="2:11" x14ac:dyDescent="0.25">
      <c r="B34" s="20"/>
      <c r="C34" s="12"/>
      <c r="D34" s="21"/>
      <c r="E34" s="13"/>
      <c r="F34" s="17"/>
      <c r="G34" s="17"/>
      <c r="H34" s="20"/>
      <c r="I34" s="12"/>
      <c r="J34" s="21"/>
      <c r="K34" s="13"/>
    </row>
    <row r="35" spans="2:11" x14ac:dyDescent="0.25">
      <c r="B35" s="22">
        <f>SUM(B32:B34)-SUM(D32:D34)</f>
        <v>10500</v>
      </c>
      <c r="C35" s="11"/>
      <c r="D35" s="19"/>
      <c r="E35" s="11"/>
      <c r="F35" s="17"/>
      <c r="G35" s="17"/>
      <c r="H35" s="22"/>
      <c r="I35" s="11"/>
      <c r="J35" s="19">
        <f>SUM(J32:J34)-SUM(H32:H34)</f>
        <v>23000</v>
      </c>
      <c r="K35" s="11"/>
    </row>
    <row r="36" spans="2:11" x14ac:dyDescent="0.25">
      <c r="B36" s="26" t="s">
        <v>14</v>
      </c>
      <c r="C36" s="17"/>
      <c r="D36" s="17"/>
      <c r="E36" s="17"/>
      <c r="F36" s="17"/>
      <c r="G36" s="17"/>
      <c r="H36" s="17"/>
      <c r="I36" s="17"/>
      <c r="J36" s="17"/>
      <c r="K36" s="17"/>
    </row>
    <row r="37" spans="2:11" x14ac:dyDescent="0.25"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2:11" ht="14.4" thickBot="1" x14ac:dyDescent="0.3">
      <c r="B38" s="34" t="s">
        <v>8</v>
      </c>
      <c r="C38" s="34"/>
      <c r="D38" s="34"/>
      <c r="E38" s="34"/>
      <c r="F38" s="17"/>
      <c r="G38" s="17"/>
    </row>
    <row r="39" spans="2:11" ht="14.4" thickBot="1" x14ac:dyDescent="0.3">
      <c r="B39" s="23" t="s">
        <v>0</v>
      </c>
      <c r="C39" s="24"/>
      <c r="D39" s="24"/>
      <c r="E39" s="25" t="s">
        <v>1</v>
      </c>
      <c r="F39" s="17"/>
      <c r="G39" s="17"/>
    </row>
    <row r="40" spans="2:11" x14ac:dyDescent="0.25">
      <c r="B40" s="15">
        <v>4000</v>
      </c>
      <c r="C40" s="8" t="s">
        <v>13</v>
      </c>
      <c r="D40" s="16"/>
      <c r="E40" s="10"/>
      <c r="F40" s="17"/>
      <c r="G40" s="17"/>
    </row>
    <row r="41" spans="2:11" x14ac:dyDescent="0.25">
      <c r="B41" s="18"/>
      <c r="C41" s="7"/>
      <c r="D41" s="19"/>
      <c r="E41" s="11"/>
      <c r="F41" s="17"/>
      <c r="G41" s="17"/>
    </row>
    <row r="42" spans="2:11" x14ac:dyDescent="0.25">
      <c r="B42" s="20"/>
      <c r="C42" s="12"/>
      <c r="D42" s="21"/>
      <c r="E42" s="27"/>
      <c r="F42" s="17"/>
      <c r="G42" s="17"/>
    </row>
    <row r="43" spans="2:11" x14ac:dyDescent="0.25">
      <c r="B43" s="22">
        <f>SUM(B40:B42)-SUM(D40:D42)</f>
        <v>4000</v>
      </c>
      <c r="C43" s="11"/>
      <c r="D43" s="19"/>
      <c r="E43" s="11"/>
      <c r="F43" s="17"/>
      <c r="G43" s="17"/>
    </row>
    <row r="44" spans="2:11" x14ac:dyDescent="0.25">
      <c r="B44" s="17"/>
      <c r="C44" s="17"/>
      <c r="D44" s="17"/>
      <c r="E44" s="17"/>
      <c r="F44" s="17"/>
      <c r="G44" s="17"/>
    </row>
    <row r="46" spans="2:11" ht="14.4" thickBot="1" x14ac:dyDescent="0.3">
      <c r="B46" s="34" t="s">
        <v>43</v>
      </c>
      <c r="C46" s="34"/>
      <c r="D46" s="34"/>
      <c r="E46" s="34"/>
    </row>
    <row r="47" spans="2:11" ht="14.4" thickBot="1" x14ac:dyDescent="0.3">
      <c r="B47" s="23" t="s">
        <v>0</v>
      </c>
      <c r="C47" s="24"/>
      <c r="D47" s="24"/>
      <c r="E47" s="25" t="s">
        <v>1</v>
      </c>
    </row>
    <row r="48" spans="2:11" x14ac:dyDescent="0.25">
      <c r="B48" s="15">
        <v>12000</v>
      </c>
      <c r="C48" s="8" t="s">
        <v>13</v>
      </c>
      <c r="D48" s="16"/>
      <c r="E48" s="10"/>
    </row>
    <row r="49" spans="2:5" x14ac:dyDescent="0.25">
      <c r="B49" s="18"/>
      <c r="C49" s="7"/>
      <c r="D49" s="19"/>
      <c r="E49" s="11"/>
    </row>
    <row r="50" spans="2:5" x14ac:dyDescent="0.25">
      <c r="B50" s="20"/>
      <c r="C50" s="12"/>
      <c r="D50" s="21"/>
      <c r="E50" s="27"/>
    </row>
    <row r="51" spans="2:5" x14ac:dyDescent="0.25">
      <c r="B51" s="22">
        <f>SUM(B48:B50)-SUM(D48:D50)</f>
        <v>12000</v>
      </c>
      <c r="C51" s="11"/>
      <c r="D51" s="19"/>
      <c r="E51" s="11"/>
    </row>
    <row r="54" spans="2:5" ht="14.4" thickBot="1" x14ac:dyDescent="0.3">
      <c r="B54" s="34" t="s">
        <v>44</v>
      </c>
      <c r="C54" s="34"/>
      <c r="D54" s="34"/>
      <c r="E54" s="34"/>
    </row>
    <row r="55" spans="2:5" ht="14.4" thickBot="1" x14ac:dyDescent="0.3">
      <c r="B55" s="23" t="s">
        <v>0</v>
      </c>
      <c r="C55" s="24"/>
      <c r="D55" s="24"/>
      <c r="E55" s="25" t="s">
        <v>1</v>
      </c>
    </row>
    <row r="56" spans="2:5" x14ac:dyDescent="0.25">
      <c r="B56" s="15">
        <v>20000</v>
      </c>
      <c r="C56" s="8" t="s">
        <v>13</v>
      </c>
      <c r="D56" s="16"/>
      <c r="E56" s="10"/>
    </row>
    <row r="57" spans="2:5" x14ac:dyDescent="0.25">
      <c r="B57" s="18"/>
      <c r="C57" s="7"/>
      <c r="D57" s="19"/>
      <c r="E57" s="11"/>
    </row>
    <row r="58" spans="2:5" x14ac:dyDescent="0.25">
      <c r="B58" s="20"/>
      <c r="C58" s="12"/>
      <c r="D58" s="21"/>
      <c r="E58" s="27"/>
    </row>
    <row r="59" spans="2:5" x14ac:dyDescent="0.25">
      <c r="B59" s="22">
        <f>SUM(B56:B58)-SUM(D56:D58)</f>
        <v>20000</v>
      </c>
      <c r="C59" s="11"/>
      <c r="D59" s="19"/>
      <c r="E59" s="11"/>
    </row>
  </sheetData>
  <mergeCells count="13">
    <mergeCell ref="B46:E46"/>
    <mergeCell ref="B54:E54"/>
    <mergeCell ref="H2:K2"/>
    <mergeCell ref="B2:E2"/>
    <mergeCell ref="B5:E5"/>
    <mergeCell ref="H22:K22"/>
    <mergeCell ref="B14:E14"/>
    <mergeCell ref="H14:K14"/>
    <mergeCell ref="B30:E30"/>
    <mergeCell ref="H30:K30"/>
    <mergeCell ref="B38:E38"/>
    <mergeCell ref="B22:E22"/>
    <mergeCell ref="H5:K5"/>
  </mergeCells>
  <pageMargins left="0.7" right="0.7" top="0.75" bottom="0.75" header="0.3" footer="0.3"/>
  <pageSetup paperSize="8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D85E-B1B3-364B-8865-BD5696100A5F}">
  <dimension ref="B2:D16"/>
  <sheetViews>
    <sheetView zoomScale="112" workbookViewId="0">
      <selection activeCell="H16" sqref="H16"/>
    </sheetView>
  </sheetViews>
  <sheetFormatPr defaultColWidth="11.5546875" defaultRowHeight="14.4" x14ac:dyDescent="0.3"/>
  <cols>
    <col min="2" max="2" width="59.33203125" customWidth="1"/>
    <col min="3" max="4" width="12.77734375" bestFit="1" customWidth="1"/>
  </cols>
  <sheetData>
    <row r="2" spans="2:4" x14ac:dyDescent="0.3">
      <c r="B2" s="42" t="s">
        <v>40</v>
      </c>
      <c r="C2" s="43" t="s">
        <v>41</v>
      </c>
      <c r="D2" s="44" t="s">
        <v>1</v>
      </c>
    </row>
    <row r="3" spans="2:4" x14ac:dyDescent="0.3">
      <c r="B3" s="45" t="s">
        <v>4</v>
      </c>
      <c r="C3" s="46">
        <v>57500</v>
      </c>
      <c r="D3" s="47"/>
    </row>
    <row r="4" spans="2:4" x14ac:dyDescent="0.3">
      <c r="B4" s="45" t="s">
        <v>5</v>
      </c>
      <c r="C4" s="46">
        <v>10000</v>
      </c>
      <c r="D4" s="47"/>
    </row>
    <row r="5" spans="2:4" x14ac:dyDescent="0.3">
      <c r="B5" s="45" t="s">
        <v>6</v>
      </c>
      <c r="C5" s="46">
        <v>37000</v>
      </c>
      <c r="D5" s="47"/>
    </row>
    <row r="6" spans="2:4" x14ac:dyDescent="0.3">
      <c r="B6" s="45" t="s">
        <v>45</v>
      </c>
      <c r="C6" s="46">
        <v>10500</v>
      </c>
      <c r="D6" s="47"/>
    </row>
    <row r="7" spans="2:4" x14ac:dyDescent="0.3">
      <c r="B7" s="45" t="s">
        <v>46</v>
      </c>
      <c r="C7" s="46">
        <v>4000</v>
      </c>
      <c r="D7" s="47"/>
    </row>
    <row r="8" spans="2:4" x14ac:dyDescent="0.3">
      <c r="B8" s="45" t="s">
        <v>47</v>
      </c>
      <c r="C8" s="46">
        <v>12000</v>
      </c>
      <c r="D8" s="47"/>
    </row>
    <row r="9" spans="2:4" x14ac:dyDescent="0.3">
      <c r="B9" s="45" t="s">
        <v>44</v>
      </c>
      <c r="C9" s="46">
        <v>20000</v>
      </c>
      <c r="D9" s="47"/>
    </row>
    <row r="10" spans="2:4" x14ac:dyDescent="0.3">
      <c r="B10" s="45" t="s">
        <v>9</v>
      </c>
      <c r="C10" s="46"/>
      <c r="D10" s="47">
        <v>6000</v>
      </c>
    </row>
    <row r="11" spans="2:4" x14ac:dyDescent="0.3">
      <c r="B11" s="45" t="s">
        <v>48</v>
      </c>
      <c r="C11" s="46"/>
      <c r="D11" s="47">
        <v>45000</v>
      </c>
    </row>
    <row r="12" spans="2:4" x14ac:dyDescent="0.3">
      <c r="B12" s="45" t="s">
        <v>11</v>
      </c>
      <c r="C12" s="46"/>
      <c r="D12" s="47">
        <v>77000</v>
      </c>
    </row>
    <row r="13" spans="2:4" x14ac:dyDescent="0.3">
      <c r="B13" s="45" t="s">
        <v>12</v>
      </c>
      <c r="C13" s="46"/>
      <c r="D13" s="47">
        <v>23000</v>
      </c>
    </row>
    <row r="14" spans="2:4" x14ac:dyDescent="0.3">
      <c r="B14" s="48"/>
      <c r="C14" s="49"/>
      <c r="D14" s="50"/>
    </row>
    <row r="15" spans="2:4" ht="15" thickBot="1" x14ac:dyDescent="0.35">
      <c r="B15" s="51" t="s">
        <v>38</v>
      </c>
      <c r="C15" s="52">
        <f>SUM(C3:C9)</f>
        <v>151000</v>
      </c>
      <c r="D15" s="53">
        <f>SUM(D10:D13)</f>
        <v>151000</v>
      </c>
    </row>
    <row r="16" spans="2:4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Exercise</vt:lpstr>
      <vt:lpstr>S4 - Journal entries</vt:lpstr>
      <vt:lpstr>S4 - Opening bal.</vt:lpstr>
      <vt:lpstr>S4 - Trial balance</vt:lpstr>
    </vt:vector>
  </TitlesOfParts>
  <Company>CBS - Copenhagen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Becker</dc:creator>
  <cp:lastModifiedBy>Pavel Andreev</cp:lastModifiedBy>
  <cp:lastPrinted>2021-09-04T13:15:05Z</cp:lastPrinted>
  <dcterms:created xsi:type="dcterms:W3CDTF">2019-08-23T11:05:56Z</dcterms:created>
  <dcterms:modified xsi:type="dcterms:W3CDTF">2025-09-17T15:43:18Z</dcterms:modified>
</cp:coreProperties>
</file>
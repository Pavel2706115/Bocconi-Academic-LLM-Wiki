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017 CORPORATE FINANCE/"/>
    </mc:Choice>
  </mc:AlternateContent>
  <xr:revisionPtr revIDLastSave="0" documentId="8_{AD76939B-8699-4032-AB34-773D9CCE8301}" xr6:coauthVersionLast="47" xr6:coauthVersionMax="47" xr10:uidLastSave="{00000000-0000-0000-0000-000000000000}"/>
  <bookViews>
    <workbookView xWindow="-108" yWindow="-108" windowWidth="23256" windowHeight="12456" activeTab="5" xr2:uid="{F618AF9A-481D-4472-83D3-19073C3287CE}"/>
  </bookViews>
  <sheets>
    <sheet name="Assumptions" sheetId="1" r:id="rId1"/>
    <sheet name="Returns" sheetId="2" r:id="rId2"/>
    <sheet name="Equity_Betas" sheetId="3" r:id="rId3"/>
    <sheet name="Leverage" sheetId="4" r:id="rId4"/>
    <sheet name="Asset_Betas" sheetId="5" r:id="rId5"/>
    <sheet name="WACC_Sensitivit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E11" i="5" s="1"/>
  <c r="C11" i="5"/>
  <c r="D10" i="5"/>
  <c r="E10" i="5" s="1"/>
  <c r="C10" i="5"/>
  <c r="E9" i="5"/>
  <c r="D9" i="5"/>
  <c r="C9" i="5"/>
  <c r="D8" i="5"/>
  <c r="E8" i="5" s="1"/>
  <c r="C8" i="5"/>
  <c r="D7" i="5"/>
  <c r="E7" i="5" s="1"/>
  <c r="C7" i="5"/>
  <c r="D6" i="5"/>
  <c r="E6" i="5" s="1"/>
  <c r="C6" i="5"/>
  <c r="E5" i="5"/>
  <c r="D5" i="5"/>
  <c r="C5" i="5"/>
  <c r="D4" i="5"/>
  <c r="E4" i="5" s="1"/>
  <c r="C4" i="5"/>
  <c r="E12" i="3"/>
  <c r="D12" i="3"/>
  <c r="C12" i="3"/>
  <c r="B12" i="3"/>
  <c r="B11" i="5" s="1"/>
  <c r="E11" i="3"/>
  <c r="D11" i="3"/>
  <c r="C11" i="3"/>
  <c r="B11" i="3"/>
  <c r="B10" i="5" s="1"/>
  <c r="F10" i="5" s="1"/>
  <c r="E10" i="3"/>
  <c r="D10" i="3"/>
  <c r="C10" i="3"/>
  <c r="B10" i="3"/>
  <c r="B9" i="5" s="1"/>
  <c r="F9" i="5" s="1"/>
  <c r="E9" i="3"/>
  <c r="D9" i="3"/>
  <c r="C9" i="3"/>
  <c r="B9" i="3"/>
  <c r="B8" i="5" s="1"/>
  <c r="F8" i="5" s="1"/>
  <c r="E8" i="3"/>
  <c r="D8" i="3"/>
  <c r="C8" i="3"/>
  <c r="B8" i="3"/>
  <c r="B7" i="5" s="1"/>
  <c r="E7" i="3"/>
  <c r="D7" i="3"/>
  <c r="C7" i="3"/>
  <c r="B7" i="3"/>
  <c r="B6" i="5" s="1"/>
  <c r="E6" i="3"/>
  <c r="D6" i="3"/>
  <c r="C6" i="3"/>
  <c r="B6" i="3"/>
  <c r="B5" i="5" s="1"/>
  <c r="F5" i="5" s="1"/>
  <c r="E5" i="3"/>
  <c r="D5" i="3"/>
  <c r="C5" i="3"/>
  <c r="B5" i="3"/>
  <c r="B4" i="5" s="1"/>
  <c r="F4" i="5" s="1"/>
  <c r="F6" i="5" l="1"/>
  <c r="B15" i="5" s="1"/>
  <c r="B5" i="6" s="1"/>
  <c r="F7" i="5"/>
  <c r="B18" i="5"/>
  <c r="B6" i="6" s="1"/>
  <c r="F11" i="5"/>
  <c r="F5" i="6" l="1"/>
  <c r="E5" i="6"/>
  <c r="D5" i="6"/>
  <c r="C5" i="6"/>
  <c r="B19" i="5"/>
  <c r="B7" i="6" s="1"/>
  <c r="F6" i="6"/>
  <c r="E6" i="6"/>
  <c r="D6" i="6"/>
  <c r="C6" i="6"/>
  <c r="F7" i="6" l="1"/>
  <c r="E7" i="6"/>
  <c r="D7" i="6"/>
  <c r="C7" i="6"/>
</calcChain>
</file>

<file path=xl/sharedStrings.xml><?xml version="1.0" encoding="utf-8"?>
<sst xmlns="http://schemas.openxmlformats.org/spreadsheetml/2006/main" count="152" uniqueCount="102">
  <si>
    <t>Exhibit 5</t>
  </si>
  <si>
    <t>Treasury Yields</t>
  </si>
  <si>
    <t>Maturity</t>
  </si>
  <si>
    <t>Average Month End from 2016 - 2020</t>
  </si>
  <si>
    <t>3 Months</t>
  </si>
  <si>
    <t>1 Year</t>
  </si>
  <si>
    <t>5 Years</t>
  </si>
  <si>
    <t>10 Years</t>
  </si>
  <si>
    <t>20 Years</t>
  </si>
  <si>
    <t>30 Years</t>
  </si>
  <si>
    <t>Exhibit 10</t>
  </si>
  <si>
    <t>Debt Betas by Credit Rating Index, 2016-2020</t>
  </si>
  <si>
    <t>Rating</t>
  </si>
  <si>
    <t>Beta [1]</t>
  </si>
  <si>
    <t>AAA</t>
  </si>
  <si>
    <t>AA</t>
  </si>
  <si>
    <t>A</t>
  </si>
  <si>
    <t>BBB</t>
  </si>
  <si>
    <t>BB</t>
  </si>
  <si>
    <t>B</t>
  </si>
  <si>
    <t>CCC</t>
  </si>
  <si>
    <t>Market Risk Premium (according to case study page 4)</t>
  </si>
  <si>
    <t>Source/Methodology</t>
  </si>
  <si>
    <t>MRP(%)</t>
  </si>
  <si>
    <t>2021 CFO Survey</t>
  </si>
  <si>
    <t>2021 Surveys</t>
  </si>
  <si>
    <t>2021 Investor-Professional surveys</t>
  </si>
  <si>
    <t>Historical Data (1872-2021)</t>
  </si>
  <si>
    <t>Exhibit 9</t>
  </si>
  <si>
    <t>Comparable Firms and the S&amp;P 500, Stock Return Data, 2016-2020</t>
  </si>
  <si>
    <t>Month</t>
  </si>
  <si>
    <t>S&amp;P 500</t>
  </si>
  <si>
    <t>Las Vegas Sands</t>
  </si>
  <si>
    <t>MGM Resorts</t>
  </si>
  <si>
    <t>Caesars</t>
  </si>
  <si>
    <t>Penn Entertainment</t>
  </si>
  <si>
    <t>Wynn Resorts</t>
  </si>
  <si>
    <t>Churchill Downs</t>
  </si>
  <si>
    <t>Boyd Gaming</t>
  </si>
  <si>
    <t>Monarch</t>
  </si>
  <si>
    <t>Disney</t>
  </si>
  <si>
    <t>Netflix</t>
  </si>
  <si>
    <t>Live Nation</t>
  </si>
  <si>
    <t>Warner Brothers</t>
  </si>
  <si>
    <t>Madison Square Garden</t>
  </si>
  <si>
    <t>World Wrestling</t>
  </si>
  <si>
    <t>Activision Blizzard</t>
  </si>
  <si>
    <t>Electronic Arts</t>
  </si>
  <si>
    <t>Take-Two Interactive</t>
  </si>
  <si>
    <t>Meta Platforms</t>
  </si>
  <si>
    <t>Twitter</t>
  </si>
  <si>
    <t>Match Group</t>
  </si>
  <si>
    <t>Equity Betas: five years regression vs S&amp;P 500 (from Returns)</t>
  </si>
  <si>
    <t>Method: βe = SLOPE(firm returns, S&amp;P 500 returns) over Jan 2016 – Dec 2020</t>
  </si>
  <si>
    <t>Firm</t>
  </si>
  <si>
    <t>Equity Beta (βe)</t>
  </si>
  <si>
    <t>R²</t>
  </si>
  <si>
    <t>StDev of returns</t>
  </si>
  <si>
    <t>Intercept (α)</t>
  </si>
  <si>
    <t>GICS Group</t>
  </si>
  <si>
    <t>Casinos &amp; Gaming</t>
  </si>
  <si>
    <t>Exhibit 8</t>
  </si>
  <si>
    <t>Comparable Firms, Leverage</t>
  </si>
  <si>
    <t>2016-2020 Average Quarter-End</t>
  </si>
  <si>
    <t xml:space="preserve">Year-End 2020 </t>
  </si>
  <si>
    <t>Book Leverage (%)</t>
  </si>
  <si>
    <t>Market Leverage (%)</t>
  </si>
  <si>
    <t>Credit Rating</t>
  </si>
  <si>
    <t>Cash ($M)</t>
  </si>
  <si>
    <t>Debt ($M)</t>
  </si>
  <si>
    <t>Book Equity</t>
  </si>
  <si>
    <t>Market Equity</t>
  </si>
  <si>
    <t>Asset Betas: Unlevered by βa = (1 − Leverage)·βe + Leverage·βd</t>
  </si>
  <si>
    <t>βe</t>
  </si>
  <si>
    <t>Market Leverage</t>
  </si>
  <si>
    <t>βd</t>
  </si>
  <si>
    <t>βa</t>
  </si>
  <si>
    <t>Group</t>
  </si>
  <si>
    <t>Primary Peer Set (Top 6 US Casino Firms)</t>
  </si>
  <si>
    <t>Firms included:</t>
  </si>
  <si>
    <t>Penn Entertainment, Ceasars, Boyd Gaming, MGM Resorts, Wynn Resorts, Churchill Downs</t>
  </si>
  <si>
    <t>Average βa for the firms included</t>
  </si>
  <si>
    <t>Other Peer Sets</t>
  </si>
  <si>
    <t>Competition to DraftKings (Wynn Resorts, Ceasers, Penn Entertainment, MGM Resorts)</t>
  </si>
  <si>
    <t>Whole industry (all casinos)</t>
  </si>
  <si>
    <t>WACC Sensitivity: Peer Set × (rf, MRP)</t>
  </si>
  <si>
    <t>Method: WACC = rf + βa × MRP</t>
  </si>
  <si>
    <t>Peer Set</t>
  </si>
  <si>
    <t>Asset Beta (βa​)</t>
  </si>
  <si>
    <t>rf​=0.9%MRP=5.0%</t>
  </si>
  <si>
    <t>rf​=2.0%MRP=5.0%</t>
  </si>
  <si>
    <t>rf​=2.0%MRP=6.4%</t>
  </si>
  <si>
    <t>rf​=0.9%MRP=6.4%</t>
  </si>
  <si>
    <t>Primary: 6 US Casino Ops</t>
  </si>
  <si>
    <t>4 Direct OSB Competitors</t>
  </si>
  <si>
    <t>All 8 Casinos &amp; Gaming</t>
  </si>
  <si>
    <t xml:space="preserve">Table 2 </t>
  </si>
  <si>
    <t>Table 1</t>
  </si>
  <si>
    <t>Table 3</t>
  </si>
  <si>
    <t>Table 4</t>
  </si>
  <si>
    <t>Table 5</t>
  </si>
  <si>
    <t>Table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</si>
</sst>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&quot;(&quot;#,##0&quot;)&quot;;&quot;-&quot;"/>
    <numFmt numFmtId="165" formatCode="yyyy\-mm"/>
  </numFmts>
  <fonts count="8" x14ac:knownFonts="1">
    <font>
      <sz val="11"/>
      <color rgb="FF000000"/>
      <name val="Aptos Narrow"/>
      <family val="2"/>
    </font>
    <font>
      <sz val="16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9"/>
      <color rgb="FF666666"/>
      <name val="Arial"/>
      <family val="2"/>
      <charset val="204"/>
    </font>
    <font>
      <sz val="14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2" fillId="2" borderId="2" xfId="0" applyFont="1" applyFill="1" applyBorder="1"/>
    <xf numFmtId="15" fontId="2" fillId="2" borderId="2" xfId="0" applyNumberFormat="1" applyFont="1" applyFill="1" applyBorder="1"/>
    <xf numFmtId="0" fontId="0" fillId="0" borderId="3" xfId="0" applyBorder="1"/>
    <xf numFmtId="10" fontId="0" fillId="0" borderId="3" xfId="0" applyNumberFormat="1" applyBorder="1"/>
    <xf numFmtId="0" fontId="0" fillId="0" borderId="4" xfId="0" applyBorder="1"/>
    <xf numFmtId="10" fontId="0" fillId="0" borderId="4" xfId="0" applyNumberFormat="1" applyBorder="1"/>
    <xf numFmtId="0" fontId="2" fillId="2" borderId="5" xfId="0" applyFont="1" applyFill="1" applyBorder="1"/>
    <xf numFmtId="0" fontId="1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0" fillId="0" borderId="6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165" fontId="4" fillId="0" borderId="0" xfId="0" applyNumberFormat="1" applyFont="1"/>
    <xf numFmtId="10" fontId="4" fillId="0" borderId="0" xfId="0" applyNumberFormat="1" applyFont="1"/>
    <xf numFmtId="0" fontId="0" fillId="0" borderId="0" xfId="0" applyAlignment="1"/>
    <xf numFmtId="0" fontId="3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right" vertical="center"/>
    </xf>
    <xf numFmtId="10" fontId="5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2" fontId="5" fillId="0" borderId="4" xfId="0" applyNumberFormat="1" applyFont="1" applyBorder="1" applyAlignment="1">
      <alignment horizontal="right" vertical="center"/>
    </xf>
    <xf numFmtId="10" fontId="5" fillId="0" borderId="4" xfId="0" applyNumberFormat="1" applyFont="1" applyBorder="1" applyAlignment="1">
      <alignment horizontal="right" vertical="center"/>
    </xf>
    <xf numFmtId="0" fontId="5" fillId="0" borderId="4" xfId="0" applyFont="1" applyFill="1" applyBorder="1" applyAlignment="1">
      <alignment horizontal="left" vertical="center"/>
    </xf>
    <xf numFmtId="2" fontId="0" fillId="0" borderId="4" xfId="0" applyNumberFormat="1" applyBorder="1"/>
    <xf numFmtId="0" fontId="0" fillId="0" borderId="0" xfId="0" applyAlignment="1">
      <alignment horizontal="left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right" vertical="center"/>
    </xf>
    <xf numFmtId="10" fontId="5" fillId="0" borderId="13" xfId="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right" vertical="center"/>
    </xf>
    <xf numFmtId="10" fontId="5" fillId="0" borderId="4" xfId="0" applyNumberFormat="1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/>
    <xf numFmtId="0" fontId="6" fillId="0" borderId="1" xfId="0" applyFont="1" applyBorder="1" applyAlignment="1"/>
    <xf numFmtId="0" fontId="3" fillId="2" borderId="5" xfId="0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right" vertical="center"/>
    </xf>
    <xf numFmtId="2" fontId="5" fillId="3" borderId="4" xfId="0" applyNumberFormat="1" applyFont="1" applyFill="1" applyBorder="1" applyAlignment="1">
      <alignment horizontal="right" vertical="center"/>
    </xf>
    <xf numFmtId="2" fontId="5" fillId="0" borderId="14" xfId="0" applyNumberFormat="1" applyFont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5" fillId="4" borderId="4" xfId="0" applyFont="1" applyFill="1" applyBorder="1" applyAlignment="1">
      <alignment horizontal="left" vertical="center" wrapText="1"/>
    </xf>
    <xf numFmtId="0" fontId="0" fillId="0" borderId="16" xfId="0" applyBorder="1"/>
    <xf numFmtId="0" fontId="0" fillId="4" borderId="3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6" xfId="0" applyFill="1" applyBorder="1" applyAlignment="1">
      <alignment horizontal="center" vertical="center" wrapText="1"/>
    </xf>
    <xf numFmtId="2" fontId="0" fillId="0" borderId="4" xfId="0" applyNumberFormat="1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0" fillId="0" borderId="3" xfId="0" applyNumberFormat="1" applyBorder="1"/>
    <xf numFmtId="10" fontId="0" fillId="5" borderId="3" xfId="0" applyNumberFormat="1" applyFill="1" applyBorder="1"/>
    <xf numFmtId="10" fontId="0" fillId="0" borderId="3" xfId="0" applyNumberFormat="1" applyFill="1" applyBorder="1"/>
    <xf numFmtId="0" fontId="0" fillId="0" borderId="15" xfId="0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7" fillId="0" borderId="1" xfId="0" applyFont="1" applyFill="1" applyBorder="1" applyAlignment="1">
      <alignment vertical="center"/>
    </xf>
    <xf numFmtId="0" fontId="7" fillId="0" borderId="15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F7B1-FBDC-4670-868F-AAC95EFF29B9}">
  <dimension ref="A1:T28"/>
  <sheetViews>
    <sheetView topLeftCell="A8" workbookViewId="0">
      <selection activeCell="H29" sqref="H29"/>
    </sheetView>
  </sheetViews>
  <sheetFormatPr defaultRowHeight="14.4" x14ac:dyDescent="0.3"/>
  <cols>
    <col min="1" max="1" width="9.88671875" bestFit="1" customWidth="1"/>
    <col min="2" max="2" width="20.44140625" customWidth="1"/>
    <col min="3" max="3" width="35.44140625" customWidth="1"/>
    <col min="4" max="4" width="8.88671875" customWidth="1"/>
  </cols>
  <sheetData>
    <row r="1" spans="1:20" ht="21" x14ac:dyDescent="0.3">
      <c r="A1" s="10" t="s">
        <v>0</v>
      </c>
      <c r="B1" s="10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thickBot="1" x14ac:dyDescent="0.35">
      <c r="A2" s="2"/>
      <c r="B2" s="2"/>
      <c r="C2" s="2"/>
    </row>
    <row r="3" spans="1:20" ht="15" thickBot="1" x14ac:dyDescent="0.35">
      <c r="A3" s="3" t="s">
        <v>2</v>
      </c>
      <c r="B3" s="4">
        <v>44196</v>
      </c>
      <c r="C3" s="3" t="s">
        <v>3</v>
      </c>
    </row>
    <row r="4" spans="1:20" x14ac:dyDescent="0.3">
      <c r="A4" s="5" t="s">
        <v>4</v>
      </c>
      <c r="B4" s="6">
        <v>1E-3</v>
      </c>
      <c r="C4" s="6">
        <v>1.0999999999999999E-2</v>
      </c>
    </row>
    <row r="5" spans="1:20" x14ac:dyDescent="0.3">
      <c r="A5" s="7" t="s">
        <v>5</v>
      </c>
      <c r="B5" s="8">
        <v>1E-3</v>
      </c>
      <c r="C5" s="8">
        <v>1.2999999999999999E-2</v>
      </c>
    </row>
    <row r="6" spans="1:20" x14ac:dyDescent="0.3">
      <c r="A6" s="7" t="s">
        <v>6</v>
      </c>
      <c r="B6" s="8">
        <v>4.0000000000000001E-3</v>
      </c>
      <c r="C6" s="8">
        <v>1.7000000000000001E-2</v>
      </c>
    </row>
    <row r="7" spans="1:20" x14ac:dyDescent="0.3">
      <c r="A7" s="7" t="s">
        <v>7</v>
      </c>
      <c r="B7" s="8">
        <v>8.9999999999999993E-3</v>
      </c>
      <c r="C7" s="8">
        <v>0.02</v>
      </c>
    </row>
    <row r="8" spans="1:20" x14ac:dyDescent="0.3">
      <c r="A8" s="7" t="s">
        <v>8</v>
      </c>
      <c r="B8" s="8">
        <v>1.4999999999999999E-2</v>
      </c>
      <c r="C8" s="8">
        <v>2.3E-2</v>
      </c>
    </row>
    <row r="9" spans="1:20" x14ac:dyDescent="0.3">
      <c r="A9" s="7" t="s">
        <v>9</v>
      </c>
      <c r="B9" s="8">
        <v>1.7000000000000001E-2</v>
      </c>
      <c r="C9" s="8">
        <v>2.5000000000000001E-2</v>
      </c>
    </row>
    <row r="11" spans="1:20" ht="21" x14ac:dyDescent="0.3">
      <c r="A11" s="10" t="s">
        <v>10</v>
      </c>
      <c r="B11" s="10"/>
      <c r="C11" s="10" t="s">
        <v>11</v>
      </c>
      <c r="D11" s="10"/>
      <c r="E11" s="10"/>
      <c r="F11" s="10"/>
    </row>
    <row r="12" spans="1:20" ht="15" thickBot="1" x14ac:dyDescent="0.35">
      <c r="A12" s="2"/>
      <c r="B12" s="2"/>
    </row>
    <row r="13" spans="1:20" ht="15" thickBot="1" x14ac:dyDescent="0.35">
      <c r="A13" s="9" t="s">
        <v>12</v>
      </c>
      <c r="B13" s="9" t="s">
        <v>13</v>
      </c>
    </row>
    <row r="14" spans="1:20" x14ac:dyDescent="0.3">
      <c r="A14" s="5" t="s">
        <v>14</v>
      </c>
      <c r="B14" s="5">
        <v>0.04</v>
      </c>
    </row>
    <row r="15" spans="1:20" x14ac:dyDescent="0.3">
      <c r="A15" s="7" t="s">
        <v>15</v>
      </c>
      <c r="B15" s="7">
        <v>0.08</v>
      </c>
    </row>
    <row r="16" spans="1:20" x14ac:dyDescent="0.3">
      <c r="A16" s="7" t="s">
        <v>16</v>
      </c>
      <c r="B16" s="7">
        <v>0.13</v>
      </c>
    </row>
    <row r="17" spans="1:5" x14ac:dyDescent="0.3">
      <c r="A17" s="7" t="s">
        <v>17</v>
      </c>
      <c r="B17" s="7">
        <v>0.27</v>
      </c>
    </row>
    <row r="18" spans="1:5" x14ac:dyDescent="0.3">
      <c r="A18" s="7" t="s">
        <v>18</v>
      </c>
      <c r="B18" s="7">
        <v>0.35</v>
      </c>
    </row>
    <row r="19" spans="1:5" x14ac:dyDescent="0.3">
      <c r="A19" s="7" t="s">
        <v>19</v>
      </c>
      <c r="B19" s="7">
        <v>0.41</v>
      </c>
    </row>
    <row r="20" spans="1:5" x14ac:dyDescent="0.3">
      <c r="A20" s="7" t="s">
        <v>20</v>
      </c>
      <c r="B20" s="7">
        <v>0.62</v>
      </c>
    </row>
    <row r="22" spans="1:5" ht="21" x14ac:dyDescent="0.3">
      <c r="A22" s="65" t="s">
        <v>97</v>
      </c>
      <c r="B22" s="64" t="s">
        <v>21</v>
      </c>
      <c r="C22" s="64"/>
      <c r="D22" s="1"/>
      <c r="E22" s="1"/>
    </row>
    <row r="23" spans="1:5" ht="18.600000000000001" thickBot="1" x14ac:dyDescent="0.4">
      <c r="A23" s="66"/>
      <c r="B23" s="2"/>
      <c r="C23" s="2"/>
    </row>
    <row r="24" spans="1:5" ht="15" thickBot="1" x14ac:dyDescent="0.35">
      <c r="A24" s="11" t="s">
        <v>22</v>
      </c>
      <c r="B24" s="11"/>
      <c r="C24" s="3" t="s">
        <v>23</v>
      </c>
    </row>
    <row r="25" spans="1:5" x14ac:dyDescent="0.3">
      <c r="A25" s="12" t="s">
        <v>24</v>
      </c>
      <c r="B25" s="12"/>
      <c r="C25" s="6">
        <v>4.5999999999999999E-2</v>
      </c>
    </row>
    <row r="26" spans="1:5" x14ac:dyDescent="0.3">
      <c r="A26" s="13" t="s">
        <v>25</v>
      </c>
      <c r="B26" s="13"/>
      <c r="C26" s="8">
        <v>0.05</v>
      </c>
    </row>
    <row r="27" spans="1:5" x14ac:dyDescent="0.3">
      <c r="A27" s="13" t="s">
        <v>26</v>
      </c>
      <c r="B27" s="13"/>
      <c r="C27" s="8">
        <v>5.5E-2</v>
      </c>
    </row>
    <row r="28" spans="1:5" x14ac:dyDescent="0.3">
      <c r="A28" s="13" t="s">
        <v>27</v>
      </c>
      <c r="B28" s="13"/>
      <c r="C28" s="8">
        <v>6.4000000000000001E-2</v>
      </c>
    </row>
  </sheetData>
  <mergeCells count="9">
    <mergeCell ref="A26:B26"/>
    <mergeCell ref="A27:B27"/>
    <mergeCell ref="A28:B28"/>
    <mergeCell ref="B22:C22"/>
    <mergeCell ref="A1:B1"/>
    <mergeCell ref="A11:B11"/>
    <mergeCell ref="C11:F11"/>
    <mergeCell ref="A24:B24"/>
    <mergeCell ref="A25:B25"/>
  </mergeCell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864B-20E4-443F-ADC9-2C7BC6113FF2}">
  <sheetPr>
    <pageSetUpPr fitToPage="1"/>
  </sheetPr>
  <dimension ref="A1:V63"/>
  <sheetViews>
    <sheetView workbookViewId="0">
      <selection sqref="A1:B1"/>
    </sheetView>
  </sheetViews>
  <sheetFormatPr defaultRowHeight="14.4" x14ac:dyDescent="0.3"/>
  <cols>
    <col min="1" max="1" width="7.5546875" bestFit="1" customWidth="1"/>
    <col min="2" max="2" width="9" bestFit="1" customWidth="1"/>
    <col min="3" max="3" width="17.88671875" bestFit="1" customWidth="1"/>
    <col min="4" max="4" width="14.109375" bestFit="1" customWidth="1"/>
    <col min="5" max="5" width="8.88671875" customWidth="1"/>
    <col min="6" max="6" width="20.5546875" bestFit="1" customWidth="1"/>
    <col min="7" max="7" width="14.77734375" bestFit="1" customWidth="1"/>
    <col min="8" max="8" width="17" bestFit="1" customWidth="1"/>
    <col min="9" max="9" width="14.33203125" bestFit="1" customWidth="1"/>
    <col min="10" max="10" width="9.33203125" bestFit="1" customWidth="1"/>
    <col min="11" max="11" width="7.77734375" bestFit="1" customWidth="1"/>
    <col min="12" max="12" width="7.33203125" bestFit="1" customWidth="1"/>
    <col min="13" max="13" width="12" bestFit="1" customWidth="1"/>
    <col min="14" max="14" width="17.21875" bestFit="1" customWidth="1"/>
    <col min="15" max="15" width="24.5546875" bestFit="1" customWidth="1"/>
    <col min="16" max="16" width="16.5546875" bestFit="1" customWidth="1"/>
    <col min="17" max="17" width="19.109375" bestFit="1" customWidth="1"/>
    <col min="18" max="18" width="15.44140625" bestFit="1" customWidth="1"/>
    <col min="19" max="19" width="21.6640625" bestFit="1" customWidth="1"/>
    <col min="20" max="20" width="15.6640625" bestFit="1" customWidth="1"/>
    <col min="21" max="21" width="7.77734375" bestFit="1" customWidth="1"/>
    <col min="22" max="22" width="13.44140625" bestFit="1" customWidth="1"/>
    <col min="23" max="23" width="8.88671875" customWidth="1"/>
  </cols>
  <sheetData>
    <row r="1" spans="1:22" ht="21" x14ac:dyDescent="0.3">
      <c r="A1" s="10" t="s">
        <v>28</v>
      </c>
      <c r="B1" s="10"/>
      <c r="C1" s="10" t="s">
        <v>29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thickBot="1" x14ac:dyDescent="0.3">
      <c r="A3" s="14" t="s">
        <v>30</v>
      </c>
      <c r="B3" s="14" t="s">
        <v>31</v>
      </c>
      <c r="C3" s="14" t="s">
        <v>32</v>
      </c>
      <c r="D3" s="14" t="s">
        <v>33</v>
      </c>
      <c r="E3" s="14" t="s">
        <v>34</v>
      </c>
      <c r="F3" s="14" t="s">
        <v>35</v>
      </c>
      <c r="G3" s="14" t="s">
        <v>36</v>
      </c>
      <c r="H3" s="14" t="s">
        <v>37</v>
      </c>
      <c r="I3" s="14" t="s">
        <v>38</v>
      </c>
      <c r="J3" s="14" t="s">
        <v>39</v>
      </c>
      <c r="K3" s="14" t="s">
        <v>40</v>
      </c>
      <c r="L3" s="14" t="s">
        <v>41</v>
      </c>
      <c r="M3" s="14" t="s">
        <v>42</v>
      </c>
      <c r="N3" s="14" t="s">
        <v>43</v>
      </c>
      <c r="O3" s="14" t="s">
        <v>44</v>
      </c>
      <c r="P3" s="14" t="s">
        <v>45</v>
      </c>
      <c r="Q3" s="14" t="s">
        <v>46</v>
      </c>
      <c r="R3" s="14" t="s">
        <v>47</v>
      </c>
      <c r="S3" s="14" t="s">
        <v>48</v>
      </c>
      <c r="T3" s="14" t="s">
        <v>49</v>
      </c>
      <c r="U3" s="14" t="s">
        <v>50</v>
      </c>
      <c r="V3" s="14" t="s">
        <v>51</v>
      </c>
    </row>
    <row r="4" spans="1:22" x14ac:dyDescent="0.3">
      <c r="A4" s="15">
        <v>42398</v>
      </c>
      <c r="B4" s="16">
        <v>-5.0735339999999997E-2</v>
      </c>
      <c r="C4" s="16">
        <v>2.8740838170051599E-2</v>
      </c>
      <c r="D4" s="16">
        <v>-0.116197161376476</v>
      </c>
      <c r="E4" s="16">
        <v>-6.1818208545446403E-2</v>
      </c>
      <c r="F4" s="16">
        <v>-0.117977544665337</v>
      </c>
      <c r="G4" s="16">
        <v>-2.6738055050373102E-2</v>
      </c>
      <c r="H4" s="16">
        <v>-2.3676626384258301E-2</v>
      </c>
      <c r="I4" s="16">
        <v>-0.10367394238710401</v>
      </c>
      <c r="J4" s="16">
        <v>-8.8908389210701003E-2</v>
      </c>
      <c r="K4" s="16">
        <v>-8.8123351335525499E-2</v>
      </c>
      <c r="L4" s="16">
        <v>-0.197062432765961</v>
      </c>
      <c r="M4" s="16">
        <v>-7.6109036803245503E-2</v>
      </c>
      <c r="N4" s="16">
        <v>3.4107938408851603E-2</v>
      </c>
      <c r="O4" s="16">
        <v>-4.77132312953472E-2</v>
      </c>
      <c r="P4" s="16">
        <v>3.3631988335400798E-3</v>
      </c>
      <c r="Q4" s="16">
        <v>-0.100490815937519</v>
      </c>
      <c r="R4" s="16">
        <v>-6.0753826051950503E-2</v>
      </c>
      <c r="S4" s="16">
        <v>-4.0183523669838897E-3</v>
      </c>
      <c r="T4" s="16">
        <v>7.2138309478759793E-2</v>
      </c>
      <c r="U4" s="16">
        <v>-0.27398446202278098</v>
      </c>
      <c r="V4" s="16">
        <v>-7.3800735175609603E-2</v>
      </c>
    </row>
    <row r="5" spans="1:22" x14ac:dyDescent="0.3">
      <c r="A5" s="15">
        <v>42429</v>
      </c>
      <c r="B5" s="16">
        <v>-4.1283550000000002E-3</v>
      </c>
      <c r="C5" s="16">
        <v>7.0509985089302105E-2</v>
      </c>
      <c r="D5" s="16">
        <v>-5.7270899415016202E-2</v>
      </c>
      <c r="E5" s="16">
        <v>-3.0038708820939099E-2</v>
      </c>
      <c r="F5" s="16">
        <v>-2.0523706451058402E-2</v>
      </c>
      <c r="G5" s="16">
        <v>0.23225435614585899</v>
      </c>
      <c r="H5" s="16">
        <v>-1.8242394551634799E-2</v>
      </c>
      <c r="I5" s="16">
        <v>-2.7512621134519601E-2</v>
      </c>
      <c r="J5" s="16">
        <v>-2.8019318357109999E-2</v>
      </c>
      <c r="K5" s="16">
        <v>-3.13090230338275E-3</v>
      </c>
      <c r="L5" s="16">
        <v>1.7095027491450299E-2</v>
      </c>
      <c r="M5" s="16">
        <v>-3.1277574598789201E-2</v>
      </c>
      <c r="N5" s="16">
        <v>-9.3874596059322399E-2</v>
      </c>
      <c r="O5" s="16">
        <v>5.9709120541810998E-3</v>
      </c>
      <c r="P5" s="16">
        <v>-6.5921805799007402E-2</v>
      </c>
      <c r="Q5" s="16">
        <v>-9.0465240180492401E-2</v>
      </c>
      <c r="R5" s="16">
        <v>-4.7253901138901702E-3</v>
      </c>
      <c r="S5" s="16">
        <v>3.7175819277763401E-2</v>
      </c>
      <c r="T5" s="16">
        <v>-4.7143757343292202E-2</v>
      </c>
      <c r="U5" s="16">
        <v>7.8571528196334797E-2</v>
      </c>
      <c r="V5" s="16">
        <v>-0.132270902395248</v>
      </c>
    </row>
    <row r="6" spans="1:22" x14ac:dyDescent="0.3">
      <c r="A6" s="15">
        <v>42460</v>
      </c>
      <c r="B6" s="16">
        <v>6.5991110000000006E-2</v>
      </c>
      <c r="C6" s="16">
        <v>8.5335575044155093E-2</v>
      </c>
      <c r="D6" s="16">
        <v>0.13259378075599701</v>
      </c>
      <c r="E6" s="16">
        <v>0.14285707473754899</v>
      </c>
      <c r="F6" s="16">
        <v>0.20592488348484</v>
      </c>
      <c r="G6" s="16">
        <v>0.13275940716266599</v>
      </c>
      <c r="H6" s="16">
        <v>9.0399719774723095E-2</v>
      </c>
      <c r="I6" s="16">
        <v>0.192840665578842</v>
      </c>
      <c r="J6" s="16">
        <v>-3.2803267240524299E-2</v>
      </c>
      <c r="K6" s="16">
        <v>3.9677564054727603E-2</v>
      </c>
      <c r="L6" s="16">
        <v>9.4422429800033597E-2</v>
      </c>
      <c r="M6" s="16">
        <v>1.45520558580756E-2</v>
      </c>
      <c r="N6" s="16">
        <v>0.145199969410896</v>
      </c>
      <c r="O6" s="16">
        <v>7.3290325701236697E-2</v>
      </c>
      <c r="P6" s="16">
        <v>6.3397161662578597E-2</v>
      </c>
      <c r="Q6" s="16">
        <v>7.6728768646717099E-2</v>
      </c>
      <c r="R6" s="16">
        <v>2.91096325963736E-2</v>
      </c>
      <c r="S6" s="16">
        <v>4.6679534018039703E-2</v>
      </c>
      <c r="T6" s="16">
        <v>6.7153014242649106E-2</v>
      </c>
      <c r="U6" s="16">
        <v>-8.6644679307937594E-2</v>
      </c>
      <c r="V6" s="16">
        <v>1.56106585636735E-2</v>
      </c>
    </row>
    <row r="7" spans="1:22" x14ac:dyDescent="0.3">
      <c r="A7" s="15">
        <v>42489</v>
      </c>
      <c r="B7" s="16">
        <v>2.69937E-3</v>
      </c>
      <c r="C7" s="16">
        <v>-0.126354470849037</v>
      </c>
      <c r="D7" s="16">
        <v>-6.5299109555780896E-3</v>
      </c>
      <c r="E7" s="16">
        <v>0.14597903192043299</v>
      </c>
      <c r="F7" s="16">
        <v>-3.35531085729599E-2</v>
      </c>
      <c r="G7" s="16">
        <v>-5.4907388985156999E-2</v>
      </c>
      <c r="H7" s="16">
        <v>-9.2642761766910595E-2</v>
      </c>
      <c r="I7" s="16">
        <v>-9.7773499786853804E-2</v>
      </c>
      <c r="J7" s="16">
        <v>-2.3638186976313601E-2</v>
      </c>
      <c r="K7" s="16">
        <v>3.97744923830032E-2</v>
      </c>
      <c r="L7" s="16">
        <v>-0.11933878809213599</v>
      </c>
      <c r="M7" s="16">
        <v>-3.7203043699264499E-2</v>
      </c>
      <c r="N7" s="16">
        <v>-4.6105474233627299E-2</v>
      </c>
      <c r="O7" s="16">
        <v>-5.6383773684501703E-2</v>
      </c>
      <c r="P7" s="16">
        <v>-5.7757671922445297E-2</v>
      </c>
      <c r="Q7" s="16">
        <v>1.8617052584886599E-2</v>
      </c>
      <c r="R7" s="16">
        <v>-6.4438089728355394E-2</v>
      </c>
      <c r="S7" s="16">
        <v>-9.2646613717079204E-2</v>
      </c>
      <c r="T7" s="16">
        <v>3.0499592423439002E-2</v>
      </c>
      <c r="U7" s="16">
        <v>-0.116616278886795</v>
      </c>
      <c r="V7" s="16">
        <v>3.0741337686777101E-2</v>
      </c>
    </row>
    <row r="8" spans="1:22" x14ac:dyDescent="0.3">
      <c r="A8" s="15">
        <v>42521</v>
      </c>
      <c r="B8" s="16">
        <v>1.5329489999999999E-2</v>
      </c>
      <c r="C8" s="16">
        <v>2.4141753092408201E-2</v>
      </c>
      <c r="D8" s="16">
        <v>7.2770006954669994E-2</v>
      </c>
      <c r="E8" s="16">
        <v>0.136537000536919</v>
      </c>
      <c r="F8" s="16">
        <v>-2.8518233448267E-2</v>
      </c>
      <c r="G8" s="16">
        <v>9.4903700053691906E-2</v>
      </c>
      <c r="H8" s="16">
        <v>-6.4614631235599504E-2</v>
      </c>
      <c r="I8" s="16">
        <v>1.4485003426671E-2</v>
      </c>
      <c r="J8" s="16">
        <v>0.11157899349927899</v>
      </c>
      <c r="K8" s="16">
        <v>-3.9124548435211202E-2</v>
      </c>
      <c r="L8" s="16">
        <v>0.13928692042827601</v>
      </c>
      <c r="M8" s="16">
        <v>0.124301679432392</v>
      </c>
      <c r="N8" s="16">
        <v>1.97730101644993E-2</v>
      </c>
      <c r="O8" s="16">
        <v>6.7206032574176802E-2</v>
      </c>
      <c r="P8" s="16">
        <v>5.5889442563057001E-2</v>
      </c>
      <c r="Q8" s="16">
        <v>0.13896133005619099</v>
      </c>
      <c r="R8" s="16">
        <v>0.24090544879436501</v>
      </c>
      <c r="S8" s="16">
        <v>0.13838501274585699</v>
      </c>
      <c r="T8" s="16">
        <v>1.0460926219821001E-2</v>
      </c>
      <c r="U8" s="16">
        <v>4.1039697825908703E-2</v>
      </c>
      <c r="V8" s="16">
        <v>0.22807021439075501</v>
      </c>
    </row>
    <row r="9" spans="1:22" x14ac:dyDescent="0.3">
      <c r="A9" s="15">
        <v>42551</v>
      </c>
      <c r="B9" s="16">
        <v>9.0607350000000003E-4</v>
      </c>
      <c r="C9" s="16">
        <v>-4.3901380151510197E-2</v>
      </c>
      <c r="D9" s="16">
        <v>-9.6280621364712698E-3</v>
      </c>
      <c r="E9" s="16">
        <v>1.9798662513494499E-2</v>
      </c>
      <c r="F9" s="16">
        <v>-0.10976389795541799</v>
      </c>
      <c r="G9" s="16">
        <v>-5.7600341737270397E-2</v>
      </c>
      <c r="H9" s="16">
        <v>6.7723565734922903E-3</v>
      </c>
      <c r="I9" s="16">
        <v>-2.6969868689775502E-2</v>
      </c>
      <c r="J9" s="16">
        <v>4.0246136486530297E-2</v>
      </c>
      <c r="K9" s="16">
        <v>-1.4110073447227501E-2</v>
      </c>
      <c r="L9" s="16">
        <v>-0.108121246099472</v>
      </c>
      <c r="M9" s="16">
        <v>-2.6915097609162299E-2</v>
      </c>
      <c r="N9" s="16">
        <v>-9.4075433909892994E-2</v>
      </c>
      <c r="O9" s="16">
        <v>2.9725993052125001E-2</v>
      </c>
      <c r="P9" s="16">
        <v>5.4638598114252097E-2</v>
      </c>
      <c r="Q9" s="16">
        <v>9.4244210049510002E-3</v>
      </c>
      <c r="R9" s="16">
        <v>-1.2898994609713599E-2</v>
      </c>
      <c r="S9" s="16">
        <v>-2.5443373247981099E-2</v>
      </c>
      <c r="T9" s="16">
        <v>-3.8128092885017402E-2</v>
      </c>
      <c r="U9" s="16">
        <v>0.11103808134794201</v>
      </c>
      <c r="V9" s="16">
        <v>7.6785698533058194E-2</v>
      </c>
    </row>
    <row r="10" spans="1:22" x14ac:dyDescent="0.3">
      <c r="A10" s="15">
        <v>42580</v>
      </c>
      <c r="B10" s="16">
        <v>3.5609809999999999E-2</v>
      </c>
      <c r="C10" s="16">
        <v>0.16463553905487099</v>
      </c>
      <c r="D10" s="16">
        <v>5.96553422510624E-2</v>
      </c>
      <c r="E10" s="16">
        <v>-4.9029279500246097E-2</v>
      </c>
      <c r="F10" s="16">
        <v>7.6702557504177094E-2</v>
      </c>
      <c r="G10" s="16">
        <v>8.0648690462112399E-2</v>
      </c>
      <c r="H10" s="16">
        <v>3.7749320268631002E-2</v>
      </c>
      <c r="I10" s="16">
        <v>6.5760925412177998E-2</v>
      </c>
      <c r="J10" s="16">
        <v>6.1902623623609501E-2</v>
      </c>
      <c r="K10" s="16">
        <v>-1.18585443124175E-2</v>
      </c>
      <c r="L10" s="16">
        <v>-2.5142473168671101E-3</v>
      </c>
      <c r="M10" s="16">
        <v>0.16680851578712499</v>
      </c>
      <c r="N10" s="16">
        <v>-5.5489256046712399E-3</v>
      </c>
      <c r="O10" s="16">
        <v>5.95907419919968E-2</v>
      </c>
      <c r="P10" s="16">
        <v>7.2786539793014499E-2</v>
      </c>
      <c r="Q10" s="16">
        <v>1.3373675756156399E-2</v>
      </c>
      <c r="R10" s="16">
        <v>7.3917312547564498E-3</v>
      </c>
      <c r="S10" s="16">
        <v>5.9599217027425801E-2</v>
      </c>
      <c r="T10" s="16">
        <v>8.4529258310794803E-2</v>
      </c>
      <c r="U10" s="16">
        <v>-1.5966910868883102E-2</v>
      </c>
      <c r="V10" s="16">
        <v>4.4776134192943601E-2</v>
      </c>
    </row>
    <row r="11" spans="1:22" x14ac:dyDescent="0.3">
      <c r="A11" s="15">
        <v>42613</v>
      </c>
      <c r="B11" s="16">
        <v>-1.219176E-3</v>
      </c>
      <c r="C11" s="16">
        <v>-8.6871162056922895E-3</v>
      </c>
      <c r="D11" s="16">
        <v>-3.75313404947519E-3</v>
      </c>
      <c r="E11" s="16">
        <v>-3.3910017460584599E-2</v>
      </c>
      <c r="F11" s="16">
        <v>-5.5925440043210997E-2</v>
      </c>
      <c r="G11" s="16">
        <v>-8.3001509308815002E-2</v>
      </c>
      <c r="H11" s="16">
        <v>0.13917486369609799</v>
      </c>
      <c r="I11" s="16">
        <v>-5.6094140745699397E-3</v>
      </c>
      <c r="J11" s="16">
        <v>1.97171457111836E-2</v>
      </c>
      <c r="K11" s="16">
        <v>-1.5528899617493199E-2</v>
      </c>
      <c r="L11" s="16">
        <v>6.79451748728752E-2</v>
      </c>
      <c r="M11" s="16">
        <v>-2.5528838858008399E-2</v>
      </c>
      <c r="N11" s="16">
        <v>1.67397391051054E-2</v>
      </c>
      <c r="O11" s="16">
        <v>-1.1707420460879799E-2</v>
      </c>
      <c r="P11" s="16">
        <v>5.1645591855049099E-2</v>
      </c>
      <c r="Q11" s="16">
        <v>3.0129458755254801E-2</v>
      </c>
      <c r="R11" s="16">
        <v>6.4334429800510406E-2</v>
      </c>
      <c r="S11" s="16">
        <v>8.1881552934646606E-2</v>
      </c>
      <c r="T11" s="16">
        <v>1.7589157447218898E-2</v>
      </c>
      <c r="U11" s="16">
        <v>0.15444710850715601</v>
      </c>
      <c r="V11" s="16">
        <v>2.79365424066782E-2</v>
      </c>
    </row>
    <row r="12" spans="1:22" x14ac:dyDescent="0.3">
      <c r="A12" s="15">
        <v>42643</v>
      </c>
      <c r="B12" s="16">
        <v>-1.234483E-3</v>
      </c>
      <c r="C12" s="16">
        <v>0.16032667458057401</v>
      </c>
      <c r="D12" s="16">
        <v>8.9577287435531602E-2</v>
      </c>
      <c r="E12" s="16">
        <v>7.1633509360253802E-3</v>
      </c>
      <c r="F12" s="16">
        <v>-4.3018378317356103E-2</v>
      </c>
      <c r="G12" s="16">
        <v>9.0685158967971802E-2</v>
      </c>
      <c r="H12" s="16">
        <v>-2.0283831283450099E-2</v>
      </c>
      <c r="I12" s="16">
        <v>1.4359009452164199E-2</v>
      </c>
      <c r="J12" s="16">
        <v>5.8007527142763103E-2</v>
      </c>
      <c r="K12" s="16">
        <v>-1.6938369721174198E-2</v>
      </c>
      <c r="L12" s="16">
        <v>1.1287902481854E-2</v>
      </c>
      <c r="M12" s="16">
        <v>2.84431222826242E-2</v>
      </c>
      <c r="N12" s="16">
        <v>5.5272433906793601E-2</v>
      </c>
      <c r="O12" s="16">
        <v>-6.2219709157943698E-2</v>
      </c>
      <c r="P12" s="16">
        <v>3.1295076012611403E-2</v>
      </c>
      <c r="Q12" s="16">
        <v>7.0824280381202698E-2</v>
      </c>
      <c r="R12" s="16">
        <v>5.1335688680410399E-2</v>
      </c>
      <c r="S12" s="16">
        <v>3.7037048488855397E-2</v>
      </c>
      <c r="T12" s="16">
        <v>1.70472674071789E-2</v>
      </c>
      <c r="U12" s="16">
        <v>0.19989590346813199</v>
      </c>
      <c r="V12" s="16">
        <v>9.8826453089714106E-2</v>
      </c>
    </row>
    <row r="13" spans="1:22" x14ac:dyDescent="0.3">
      <c r="A13" s="15">
        <v>42674</v>
      </c>
      <c r="B13" s="16">
        <v>-1.9425620000000001E-2</v>
      </c>
      <c r="C13" s="16">
        <v>5.9089353308081601E-3</v>
      </c>
      <c r="D13" s="16">
        <v>5.3783860057592401E-3</v>
      </c>
      <c r="E13" s="16">
        <v>-0.13940255343913999</v>
      </c>
      <c r="F13" s="16">
        <v>-4.7162815928459202E-2</v>
      </c>
      <c r="G13" s="16">
        <v>-2.9460020363330799E-2</v>
      </c>
      <c r="H13" s="16">
        <v>-7.0720911026001004E-2</v>
      </c>
      <c r="I13" s="16">
        <v>-9.7067743539810195E-2</v>
      </c>
      <c r="J13" s="16">
        <v>-6.0389369726181003E-2</v>
      </c>
      <c r="K13" s="16">
        <v>-1.83069321792573E-3</v>
      </c>
      <c r="L13" s="16">
        <v>0.26707252860069303</v>
      </c>
      <c r="M13" s="16">
        <v>6.9141387939453099E-3</v>
      </c>
      <c r="N13" s="16">
        <v>-3.0089132487773899E-2</v>
      </c>
      <c r="O13" s="16">
        <v>-2.3139119148254401E-2</v>
      </c>
      <c r="P13" s="16">
        <v>-0.169953003525734</v>
      </c>
      <c r="Q13" s="16">
        <v>-2.5507925078272799E-2</v>
      </c>
      <c r="R13" s="16">
        <v>-8.05621147155762E-2</v>
      </c>
      <c r="S13" s="16">
        <v>-1.5306175686419E-2</v>
      </c>
      <c r="T13" s="16">
        <v>2.12052781134844E-2</v>
      </c>
      <c r="U13" s="16">
        <v>-0.221258074045181</v>
      </c>
      <c r="V13" s="16">
        <v>1.51769835501909E-2</v>
      </c>
    </row>
    <row r="14" spans="1:22" x14ac:dyDescent="0.3">
      <c r="A14" s="15">
        <v>42704</v>
      </c>
      <c r="B14" s="16">
        <v>3.4174450000000002E-2</v>
      </c>
      <c r="C14" s="16">
        <v>8.2757376134395599E-2</v>
      </c>
      <c r="D14" s="16">
        <v>9.7057662904262501E-2</v>
      </c>
      <c r="E14" s="16">
        <v>0.136363595724106</v>
      </c>
      <c r="F14" s="16">
        <v>2.70687881857157E-2</v>
      </c>
      <c r="G14" s="16">
        <v>8.3976671099662795E-2</v>
      </c>
      <c r="H14" s="16">
        <v>0.135441228747368</v>
      </c>
      <c r="I14" s="16">
        <v>5.4871194064617199E-2</v>
      </c>
      <c r="J14" s="16">
        <v>5.2008438855409601E-2</v>
      </c>
      <c r="K14" s="16">
        <v>6.93710222840309E-2</v>
      </c>
      <c r="L14" s="16">
        <v>-6.3025563955307007E-2</v>
      </c>
      <c r="M14" s="16">
        <v>3.6141052260063599E-4</v>
      </c>
      <c r="N14" s="16">
        <v>3.7533491849899299E-2</v>
      </c>
      <c r="O14" s="16">
        <v>4.9247648566961302E-2</v>
      </c>
      <c r="P14" s="16">
        <v>6.2217213213443798E-2</v>
      </c>
      <c r="Q14" s="16">
        <v>-0.151957333087921</v>
      </c>
      <c r="R14" s="16">
        <v>9.1696539893746393E-3</v>
      </c>
      <c r="S14" s="16">
        <v>0.10903356969356499</v>
      </c>
      <c r="T14" s="16">
        <v>-9.5961578190326705E-2</v>
      </c>
      <c r="U14" s="16">
        <v>3.0083509162068402E-2</v>
      </c>
      <c r="V14" s="16">
        <v>-4.4296747073531203E-3</v>
      </c>
    </row>
    <row r="15" spans="1:22" x14ac:dyDescent="0.3">
      <c r="A15" s="15">
        <v>42734</v>
      </c>
      <c r="B15" s="16">
        <v>1.8200750000000002E-2</v>
      </c>
      <c r="C15" s="16">
        <v>-0.136269330978394</v>
      </c>
      <c r="D15" s="16">
        <v>4.17975755408406E-3</v>
      </c>
      <c r="E15" s="16">
        <v>0.23272733390331299</v>
      </c>
      <c r="F15" s="16">
        <v>3.8403633981943103E-2</v>
      </c>
      <c r="G15" s="16">
        <v>-0.15177954733371701</v>
      </c>
      <c r="H15" s="16">
        <v>-1.7309008166194E-2</v>
      </c>
      <c r="I15" s="16">
        <v>7.0594474673271193E-2</v>
      </c>
      <c r="J15" s="16">
        <v>3.6173697561025599E-2</v>
      </c>
      <c r="K15" s="16">
        <v>5.9322018176317201E-2</v>
      </c>
      <c r="L15" s="16">
        <v>5.8119684457778903E-2</v>
      </c>
      <c r="M15" s="16">
        <v>-3.9017338305711802E-2</v>
      </c>
      <c r="N15" s="16">
        <v>1.1812465265393301E-2</v>
      </c>
      <c r="O15" s="16">
        <v>-1.2266786769032499E-2</v>
      </c>
      <c r="P15" s="16">
        <v>-1.3844572007656099E-2</v>
      </c>
      <c r="Q15" s="16">
        <v>-1.36574702337384E-2</v>
      </c>
      <c r="R15" s="16">
        <v>-6.0574929229915099E-3</v>
      </c>
      <c r="S15" s="16">
        <v>1.2187969405204101E-3</v>
      </c>
      <c r="T15" s="16">
        <v>-2.8457989916205399E-2</v>
      </c>
      <c r="U15" s="16">
        <v>-0.118442431092262</v>
      </c>
      <c r="V15" s="16">
        <v>-4.8943225294351599E-2</v>
      </c>
    </row>
    <row r="16" spans="1:22" x14ac:dyDescent="0.3">
      <c r="A16" s="15">
        <v>42766</v>
      </c>
      <c r="B16" s="16">
        <v>1.7884339999999999E-2</v>
      </c>
      <c r="C16" s="16">
        <v>-1.5540123917162399E-2</v>
      </c>
      <c r="D16" s="16">
        <v>-1.04060652665794E-3</v>
      </c>
      <c r="E16" s="16">
        <v>-8.5545763373374897E-2</v>
      </c>
      <c r="F16" s="16">
        <v>-7.2517973603680697E-4</v>
      </c>
      <c r="G16" s="16">
        <v>0.17246559262275701</v>
      </c>
      <c r="H16" s="16">
        <v>-4.7191698104143101E-2</v>
      </c>
      <c r="I16" s="16">
        <v>7.4367681518197103E-3</v>
      </c>
      <c r="J16" s="16">
        <v>-7.8355327248573303E-2</v>
      </c>
      <c r="K16" s="16">
        <v>6.1696413904428503E-2</v>
      </c>
      <c r="L16" s="16">
        <v>0.13659130036830899</v>
      </c>
      <c r="M16" s="16">
        <v>7.5939863920211806E-2</v>
      </c>
      <c r="N16" s="16">
        <v>3.4294072538614301E-2</v>
      </c>
      <c r="O16" s="16">
        <v>2.4255167692899701E-2</v>
      </c>
      <c r="P16" s="16">
        <v>6.4130455255508395E-2</v>
      </c>
      <c r="Q16" s="16">
        <v>0.11354190856218301</v>
      </c>
      <c r="R16" s="16">
        <v>5.9294033795595197E-2</v>
      </c>
      <c r="S16" s="16">
        <v>8.8456086814403506E-2</v>
      </c>
      <c r="T16" s="16">
        <v>0.13272494077682501</v>
      </c>
      <c r="U16" s="16">
        <v>8.0981694161891896E-2</v>
      </c>
      <c r="V16" s="16">
        <v>1.5789499506354301E-2</v>
      </c>
    </row>
    <row r="17" spans="1:22" x14ac:dyDescent="0.3">
      <c r="A17" s="15">
        <v>42794</v>
      </c>
      <c r="B17" s="16">
        <v>3.7198259999999997E-2</v>
      </c>
      <c r="C17" s="16">
        <v>7.0368754677474499E-3</v>
      </c>
      <c r="D17" s="16">
        <v>-8.7152719497680706E-2</v>
      </c>
      <c r="E17" s="16">
        <v>5.1612854003906299E-2</v>
      </c>
      <c r="F17" s="16">
        <v>5.0072610378265402E-2</v>
      </c>
      <c r="G17" s="16">
        <v>-4.7126084566116298E-2</v>
      </c>
      <c r="H17" s="16">
        <v>4.8482712358236299E-2</v>
      </c>
      <c r="I17" s="16">
        <v>-3.1988169997930499E-2</v>
      </c>
      <c r="J17" s="16">
        <v>7.2390541434287997E-2</v>
      </c>
      <c r="K17" s="16">
        <v>-5.0610499456524901E-3</v>
      </c>
      <c r="L17" s="16">
        <v>1.00916642695665E-2</v>
      </c>
      <c r="M17" s="16">
        <v>-7.3375608772039396E-3</v>
      </c>
      <c r="N17" s="16">
        <v>1.4462075196206599E-2</v>
      </c>
      <c r="O17" s="16">
        <v>2.1005308255553301E-2</v>
      </c>
      <c r="P17" s="16">
        <v>7.1501515805721297E-2</v>
      </c>
      <c r="Q17" s="16">
        <v>0.122357673943043</v>
      </c>
      <c r="R17" s="16">
        <v>3.6797311156988102E-2</v>
      </c>
      <c r="S17" s="16">
        <v>6.20689280331135E-2</v>
      </c>
      <c r="T17" s="16">
        <v>4.0055137127637898E-2</v>
      </c>
      <c r="U17" s="16">
        <v>-0.104994341731072</v>
      </c>
      <c r="V17" s="16">
        <v>-6.96603879332542E-2</v>
      </c>
    </row>
    <row r="18" spans="1:22" x14ac:dyDescent="0.3">
      <c r="A18" s="15">
        <v>42825</v>
      </c>
      <c r="B18" s="16">
        <v>-3.8923020000000003E-4</v>
      </c>
      <c r="C18" s="16">
        <v>9.1595821082591997E-2</v>
      </c>
      <c r="D18" s="16">
        <v>4.6405427157878897E-2</v>
      </c>
      <c r="E18" s="16">
        <v>0.16104295849800099</v>
      </c>
      <c r="F18" s="16">
        <v>0.27366966009139998</v>
      </c>
      <c r="G18" s="16">
        <v>0.191991671919823</v>
      </c>
      <c r="H18" s="16">
        <v>5.6886248290538802E-2</v>
      </c>
      <c r="I18" s="16">
        <v>0.11896289139985999</v>
      </c>
      <c r="J18" s="16">
        <v>0.159340709447861</v>
      </c>
      <c r="K18" s="16">
        <v>2.99755036830902E-2</v>
      </c>
      <c r="L18" s="16">
        <v>3.9963360875844997E-2</v>
      </c>
      <c r="M18" s="16">
        <v>6.89898282289505E-2</v>
      </c>
      <c r="N18" s="16">
        <v>1.14742666482925E-2</v>
      </c>
      <c r="O18" s="16">
        <v>0.11345899850130101</v>
      </c>
      <c r="P18" s="16">
        <v>6.4823634922504397E-2</v>
      </c>
      <c r="Q18" s="16">
        <v>0.111455783247948</v>
      </c>
      <c r="R18" s="16">
        <v>3.4913256764411899E-2</v>
      </c>
      <c r="S18" s="16">
        <v>4.0189556777477299E-2</v>
      </c>
      <c r="T18" s="16">
        <v>4.8030175268650097E-2</v>
      </c>
      <c r="U18" s="16">
        <v>-5.1997501403093303E-2</v>
      </c>
      <c r="V18" s="16">
        <v>1.0519807226955899E-2</v>
      </c>
    </row>
    <row r="19" spans="1:22" x14ac:dyDescent="0.3">
      <c r="A19" s="15">
        <v>42853</v>
      </c>
      <c r="B19" s="16">
        <v>9.0912170000000004E-3</v>
      </c>
      <c r="C19" s="16">
        <v>3.3642929047346101E-2</v>
      </c>
      <c r="D19" s="16">
        <v>0.120802901685238</v>
      </c>
      <c r="E19" s="16">
        <v>1.05680720880628E-2</v>
      </c>
      <c r="F19" s="16">
        <v>2.7129265945404798E-3</v>
      </c>
      <c r="G19" s="16">
        <v>7.32920467853546E-2</v>
      </c>
      <c r="H19" s="16">
        <v>5.0047192722559003E-2</v>
      </c>
      <c r="I19" s="16">
        <v>3.04407123476267E-2</v>
      </c>
      <c r="J19" s="16">
        <v>-2.3697223514318501E-3</v>
      </c>
      <c r="K19" s="16">
        <v>1.949024759233E-2</v>
      </c>
      <c r="L19" s="16">
        <v>2.9700286686420399E-2</v>
      </c>
      <c r="M19" s="16">
        <v>5.8939710259437603E-2</v>
      </c>
      <c r="N19" s="16">
        <v>-1.0656564496457599E-2</v>
      </c>
      <c r="O19" s="16">
        <v>1.03149442002177E-2</v>
      </c>
      <c r="P19" s="16">
        <v>-3.5553511232137701E-2</v>
      </c>
      <c r="Q19" s="16">
        <v>4.79342043399811E-2</v>
      </c>
      <c r="R19" s="16">
        <v>5.9204682707786602E-2</v>
      </c>
      <c r="S19" s="16">
        <v>6.0401517897844301E-2</v>
      </c>
      <c r="T19" s="16">
        <v>5.7726129889488199E-2</v>
      </c>
      <c r="U19" s="16">
        <v>0.102341122925282</v>
      </c>
      <c r="V19" s="16">
        <v>0.14084503054618799</v>
      </c>
    </row>
    <row r="20" spans="1:22" x14ac:dyDescent="0.3">
      <c r="A20" s="15">
        <v>42886</v>
      </c>
      <c r="B20" s="16">
        <v>1.157621E-2</v>
      </c>
      <c r="C20" s="16">
        <v>2.37327325157821E-3</v>
      </c>
      <c r="D20" s="16">
        <v>3.2888319343328497E-2</v>
      </c>
      <c r="E20" s="16">
        <v>8.4967322647571605E-2</v>
      </c>
      <c r="F20" s="16">
        <v>4.5995693653822001E-2</v>
      </c>
      <c r="G20" s="16">
        <v>5.0321068614721298E-2</v>
      </c>
      <c r="H20" s="16">
        <v>5.09586837142706E-3</v>
      </c>
      <c r="I20" s="16">
        <v>0.120370350778103</v>
      </c>
      <c r="J20" s="16">
        <v>2.3074323311448101E-2</v>
      </c>
      <c r="K20" s="16">
        <v>-6.6262945532798795E-2</v>
      </c>
      <c r="L20" s="16">
        <v>7.1419253945350702E-2</v>
      </c>
      <c r="M20" s="16">
        <v>7.2450302541256006E-2</v>
      </c>
      <c r="N20" s="16">
        <v>-7.9221703112125397E-2</v>
      </c>
      <c r="O20" s="16">
        <v>-3.15210409462452E-2</v>
      </c>
      <c r="P20" s="16">
        <v>-4.7596845775842701E-2</v>
      </c>
      <c r="Q20" s="16">
        <v>0.12114836275577601</v>
      </c>
      <c r="R20" s="16">
        <v>0.195212006568909</v>
      </c>
      <c r="S20" s="16">
        <v>0.22100238502025599</v>
      </c>
      <c r="T20" s="16">
        <v>8.05328972637653E-3</v>
      </c>
      <c r="U20" s="16">
        <v>0.11165049672126801</v>
      </c>
      <c r="V20" s="16">
        <v>4.5625358819961603E-2</v>
      </c>
    </row>
    <row r="21" spans="1:22" x14ac:dyDescent="0.3">
      <c r="A21" s="15">
        <v>42916</v>
      </c>
      <c r="B21" s="16">
        <v>4.8138319999999997E-3</v>
      </c>
      <c r="C21" s="16">
        <v>9.2846244573593098E-2</v>
      </c>
      <c r="D21" s="16">
        <v>-1.0088222101330801E-2</v>
      </c>
      <c r="E21" s="16">
        <v>-3.6144576966762501E-2</v>
      </c>
      <c r="F21" s="16">
        <v>0.10708741098642401</v>
      </c>
      <c r="G21" s="16">
        <v>4.2113427072763401E-2</v>
      </c>
      <c r="H21" s="16">
        <v>9.3349300324916798E-2</v>
      </c>
      <c r="I21" s="16">
        <v>-2.1645037457346899E-2</v>
      </c>
      <c r="J21" s="16">
        <v>3.3167623914778198E-3</v>
      </c>
      <c r="K21" s="16">
        <v>-1.5656867995858199E-2</v>
      </c>
      <c r="L21" s="16">
        <v>-8.3767727017402704E-2</v>
      </c>
      <c r="M21" s="16">
        <v>1.04377148672938E-2</v>
      </c>
      <c r="N21" s="16">
        <v>-2.5283021852374101E-2</v>
      </c>
      <c r="O21" s="16">
        <v>7.6249432750046297E-3</v>
      </c>
      <c r="P21" s="16">
        <v>3.9196955040097202E-3</v>
      </c>
      <c r="Q21" s="16">
        <v>-1.7241414636373499E-2</v>
      </c>
      <c r="R21" s="16">
        <v>-6.7149035632610293E-2</v>
      </c>
      <c r="S21" s="16">
        <v>-4.3784216046333299E-2</v>
      </c>
      <c r="T21" s="16">
        <v>-3.1692259944975402E-3</v>
      </c>
      <c r="U21" s="16">
        <v>-2.4563256651163101E-2</v>
      </c>
      <c r="V21" s="16">
        <v>-0.107802897691727</v>
      </c>
    </row>
    <row r="22" spans="1:22" x14ac:dyDescent="0.3">
      <c r="A22" s="15">
        <v>42947</v>
      </c>
      <c r="B22" s="16">
        <v>1.9348770000000001E-2</v>
      </c>
      <c r="C22" s="16">
        <v>-3.5686317831277903E-2</v>
      </c>
      <c r="D22" s="16">
        <v>5.2412889897823299E-2</v>
      </c>
      <c r="E22" s="16">
        <v>1.99999809265137E-2</v>
      </c>
      <c r="F22" s="16">
        <v>-5.7943914085626602E-2</v>
      </c>
      <c r="G22" s="16">
        <v>-3.5639718174934401E-2</v>
      </c>
      <c r="H22" s="16">
        <v>2.04582642763853E-2</v>
      </c>
      <c r="I22" s="16">
        <v>1.0076582431793201E-2</v>
      </c>
      <c r="J22" s="16">
        <v>9.3884304165840204E-2</v>
      </c>
      <c r="K22" s="16">
        <v>4.1976474225521102E-2</v>
      </c>
      <c r="L22" s="16">
        <v>0.21584899723529799</v>
      </c>
      <c r="M22" s="16">
        <v>6.9440521299839006E-2</v>
      </c>
      <c r="N22" s="16">
        <v>-4.761902987957E-2</v>
      </c>
      <c r="O22" s="16">
        <v>0.115896433591843</v>
      </c>
      <c r="P22" s="16">
        <v>3.8782473653554903E-2</v>
      </c>
      <c r="Q22" s="16">
        <v>7.3128350079059601E-2</v>
      </c>
      <c r="R22" s="16">
        <v>0.104237578809261</v>
      </c>
      <c r="S22" s="16">
        <v>8.3129003643989605E-2</v>
      </c>
      <c r="T22" s="16">
        <v>0.121009439229965</v>
      </c>
      <c r="U22" s="16">
        <v>-9.9608317017555195E-2</v>
      </c>
      <c r="V22" s="16">
        <v>5.0057586282491698E-2</v>
      </c>
    </row>
    <row r="23" spans="1:22" x14ac:dyDescent="0.3">
      <c r="A23" s="15">
        <v>42978</v>
      </c>
      <c r="B23" s="16">
        <v>5.4649229999999998E-4</v>
      </c>
      <c r="C23" s="16">
        <v>9.7386538982391392E-3</v>
      </c>
      <c r="D23" s="16">
        <v>9.1098633129149697E-4</v>
      </c>
      <c r="E23" s="16">
        <v>0.127451002597809</v>
      </c>
      <c r="F23" s="16">
        <v>0.100694477558136</v>
      </c>
      <c r="G23" s="16">
        <v>7.8475408256053897E-2</v>
      </c>
      <c r="H23" s="16">
        <v>4.4640421867370599E-2</v>
      </c>
      <c r="I23" s="16">
        <v>5.5067881941795398E-2</v>
      </c>
      <c r="J23" s="16">
        <v>7.4947096407413497E-2</v>
      </c>
      <c r="K23" s="16">
        <v>-7.9414203763008104E-2</v>
      </c>
      <c r="L23" s="16">
        <v>-3.8258265703916598E-2</v>
      </c>
      <c r="M23" s="16">
        <v>7.2175972163677202E-2</v>
      </c>
      <c r="N23" s="16">
        <v>-9.7154520452022594E-2</v>
      </c>
      <c r="O23" s="16">
        <v>-3.2814521342516001E-2</v>
      </c>
      <c r="P23" s="16">
        <v>3.02457176148891E-2</v>
      </c>
      <c r="Q23" s="16">
        <v>6.1184830963611603E-2</v>
      </c>
      <c r="R23" s="16">
        <v>4.07743901014328E-2</v>
      </c>
      <c r="S23" s="16">
        <v>0.230372384190559</v>
      </c>
      <c r="T23" s="16">
        <v>1.60709079355001E-2</v>
      </c>
      <c r="U23" s="16">
        <v>5.0963312387466403E-2</v>
      </c>
      <c r="V23" s="16">
        <v>0.19178082048893</v>
      </c>
    </row>
    <row r="24" spans="1:22" x14ac:dyDescent="0.3">
      <c r="A24" s="15">
        <v>43007</v>
      </c>
      <c r="B24" s="16">
        <v>1.9302900000000001E-2</v>
      </c>
      <c r="C24" s="16">
        <v>4.3079964816570303E-2</v>
      </c>
      <c r="D24" s="16">
        <v>-7.8883171081543003E-3</v>
      </c>
      <c r="E24" s="16">
        <v>0.115217372775078</v>
      </c>
      <c r="F24" s="16">
        <v>5.4078359156847E-2</v>
      </c>
      <c r="G24" s="16">
        <v>7.14439302682877E-2</v>
      </c>
      <c r="H24" s="16">
        <v>5.5271256715059301E-2</v>
      </c>
      <c r="I24" s="16">
        <v>-1.28593528643251E-2</v>
      </c>
      <c r="J24" s="16">
        <v>0.11132974922657</v>
      </c>
      <c r="K24" s="16">
        <v>-2.5988116860389699E-2</v>
      </c>
      <c r="L24" s="16">
        <v>3.8005832582712201E-2</v>
      </c>
      <c r="M24" s="16">
        <v>8.9839845895767198E-2</v>
      </c>
      <c r="N24" s="16">
        <v>-4.1422702372074099E-2</v>
      </c>
      <c r="O24" s="16">
        <v>7.4820555746555302E-3</v>
      </c>
      <c r="P24" s="16">
        <v>8.5779815912246704E-2</v>
      </c>
      <c r="Q24" s="16">
        <v>-1.6015794128179599E-2</v>
      </c>
      <c r="R24" s="16">
        <v>-2.8312778100371399E-2</v>
      </c>
      <c r="S24" s="16">
        <v>4.5403439551591901E-2</v>
      </c>
      <c r="T24" s="16">
        <v>-6.3964999280870004E-3</v>
      </c>
      <c r="U24" s="16">
        <v>-2.3654056712985E-3</v>
      </c>
      <c r="V24" s="16">
        <v>6.6206924617290497E-2</v>
      </c>
    </row>
    <row r="25" spans="1:22" x14ac:dyDescent="0.3">
      <c r="A25" s="15">
        <v>43039</v>
      </c>
      <c r="B25" s="16">
        <v>2.2188179999999998E-2</v>
      </c>
      <c r="C25" s="16">
        <v>-1.2157146818935901E-2</v>
      </c>
      <c r="D25" s="16">
        <v>-3.8048472255468403E-2</v>
      </c>
      <c r="E25" s="16">
        <v>1.9493623403832299E-3</v>
      </c>
      <c r="F25" s="16">
        <v>0.11543398350477201</v>
      </c>
      <c r="G25" s="16">
        <v>-9.6024218946695293E-3</v>
      </c>
      <c r="H25" s="16">
        <v>1.1396732181310701E-2</v>
      </c>
      <c r="I25" s="16">
        <v>0.12207295000553101</v>
      </c>
      <c r="J25" s="16">
        <v>0.12851004302501701</v>
      </c>
      <c r="K25" s="16">
        <v>-7.7102784998714898E-3</v>
      </c>
      <c r="L25" s="16">
        <v>8.3154045045375796E-2</v>
      </c>
      <c r="M25" s="16">
        <v>5.2812756039202196E-3</v>
      </c>
      <c r="N25" s="16">
        <v>-0.113198764622212</v>
      </c>
      <c r="O25" s="16">
        <v>4.0121421217918403E-2</v>
      </c>
      <c r="P25" s="16">
        <v>0.12653934955596899</v>
      </c>
      <c r="Q25" s="16">
        <v>1.5191376209259E-2</v>
      </c>
      <c r="R25" s="16">
        <v>1.30442231893539E-2</v>
      </c>
      <c r="S25" s="16">
        <v>8.23632776737213E-2</v>
      </c>
      <c r="T25" s="16">
        <v>5.3783595561981201E-2</v>
      </c>
      <c r="U25" s="16">
        <v>0.222288072109222</v>
      </c>
      <c r="V25" s="16">
        <v>0.153083190321922</v>
      </c>
    </row>
    <row r="26" spans="1:22" x14ac:dyDescent="0.3">
      <c r="A26" s="15">
        <v>43069</v>
      </c>
      <c r="B26" s="16">
        <v>2.8082599999999999E-2</v>
      </c>
      <c r="C26" s="16">
        <v>9.3247078359127003E-2</v>
      </c>
      <c r="D26" s="16">
        <v>8.8357210159301799E-2</v>
      </c>
      <c r="E26" s="16">
        <v>0.190661460161209</v>
      </c>
      <c r="F26" s="16">
        <v>0.10233806073665599</v>
      </c>
      <c r="G26" s="16">
        <v>7.5191512703895597E-2</v>
      </c>
      <c r="H26" s="16">
        <v>0.134116500616074</v>
      </c>
      <c r="I26" s="16">
        <v>9.1002389788627597E-2</v>
      </c>
      <c r="J26" s="16">
        <v>5.2006270736455897E-2</v>
      </c>
      <c r="K26" s="16">
        <v>7.1669586002826705E-2</v>
      </c>
      <c r="L26" s="16">
        <v>-4.5054171234369299E-2</v>
      </c>
      <c r="M26" s="16">
        <v>3.6546420305967303E-2</v>
      </c>
      <c r="N26" s="16">
        <v>7.41532305255532E-3</v>
      </c>
      <c r="O26" s="16">
        <v>-2.71229445934296E-2</v>
      </c>
      <c r="P26" s="16">
        <v>7.3878593742847401E-2</v>
      </c>
      <c r="Q26" s="16">
        <v>-4.7182720154523898E-2</v>
      </c>
      <c r="R26" s="16">
        <v>-0.11078595370054201</v>
      </c>
      <c r="S26" s="16">
        <v>8.1337690353393607E-3</v>
      </c>
      <c r="T26" s="16">
        <v>-1.5994695946574201E-2</v>
      </c>
      <c r="U26" s="16">
        <v>-1.9399084849283099E-3</v>
      </c>
      <c r="V26" s="16">
        <v>9.9476434290409102E-2</v>
      </c>
    </row>
    <row r="27" spans="1:22" x14ac:dyDescent="0.3">
      <c r="A27" s="15">
        <v>43098</v>
      </c>
      <c r="B27" s="16">
        <v>9.8316189999999998E-3</v>
      </c>
      <c r="C27" s="16">
        <v>1.34218065068126E-2</v>
      </c>
      <c r="D27" s="16">
        <v>-1.8171148374676701E-2</v>
      </c>
      <c r="E27" s="16">
        <v>8.3333373069763197E-2</v>
      </c>
      <c r="F27" s="16">
        <v>8.9360214769840199E-2</v>
      </c>
      <c r="G27" s="16">
        <v>6.6485285758972196E-2</v>
      </c>
      <c r="H27" s="16">
        <v>-9.7872465848922695E-3</v>
      </c>
      <c r="I27" s="16">
        <v>0.100658513605595</v>
      </c>
      <c r="J27" s="16">
        <v>-4.4960591942071901E-2</v>
      </c>
      <c r="K27" s="16">
        <v>3.3676803112030002E-2</v>
      </c>
      <c r="L27" s="16">
        <v>2.33500637114048E-2</v>
      </c>
      <c r="M27" s="16">
        <v>-6.1921581625938402E-2</v>
      </c>
      <c r="N27" s="16">
        <v>0.17665608227252999</v>
      </c>
      <c r="O27" s="16">
        <v>-2.6771234348416301E-2</v>
      </c>
      <c r="P27" s="16">
        <v>7.7571086585521698E-2</v>
      </c>
      <c r="Q27" s="16">
        <v>1.4743559993803499E-2</v>
      </c>
      <c r="R27" s="16">
        <v>-1.21297687292099E-2</v>
      </c>
      <c r="S27" s="16">
        <v>-1.5867361798882498E-2</v>
      </c>
      <c r="T27" s="16">
        <v>-4.0635848417878203E-3</v>
      </c>
      <c r="U27" s="16">
        <v>0.16666668653488201</v>
      </c>
      <c r="V27" s="16">
        <v>6.4965985715389293E-2</v>
      </c>
    </row>
    <row r="28" spans="1:22" x14ac:dyDescent="0.3">
      <c r="A28" s="15">
        <v>43131</v>
      </c>
      <c r="B28" s="16">
        <v>5.6178730000000003E-2</v>
      </c>
      <c r="C28" s="16">
        <v>0.115556180477142</v>
      </c>
      <c r="D28" s="16">
        <v>9.1644249856472002E-2</v>
      </c>
      <c r="E28" s="16">
        <v>4.2232207953929901E-2</v>
      </c>
      <c r="F28" s="16">
        <v>1.8512604758143401E-2</v>
      </c>
      <c r="G28" s="16">
        <v>-1.7794650048017498E-2</v>
      </c>
      <c r="H28" s="16">
        <v>0.113021068274975</v>
      </c>
      <c r="I28" s="16">
        <v>0.1261056214571</v>
      </c>
      <c r="J28" s="16">
        <v>1.6510523855686202E-2</v>
      </c>
      <c r="K28" s="16">
        <v>1.07896570116282E-2</v>
      </c>
      <c r="L28" s="16">
        <v>0.40810573101043701</v>
      </c>
      <c r="M28" s="16">
        <v>5.8491934090852703E-2</v>
      </c>
      <c r="N28" s="16">
        <v>0.120196633040905</v>
      </c>
      <c r="O28" s="16">
        <v>2.3666067048907301E-2</v>
      </c>
      <c r="P28" s="16">
        <v>0.155984252691269</v>
      </c>
      <c r="Q28" s="16">
        <v>0.170720115303993</v>
      </c>
      <c r="R28" s="16">
        <v>0.208452329039574</v>
      </c>
      <c r="S28" s="16">
        <v>0.15385316312313099</v>
      </c>
      <c r="T28" s="16">
        <v>5.9106834232807201E-2</v>
      </c>
      <c r="U28" s="16">
        <v>7.4968732893467005E-2</v>
      </c>
      <c r="V28" s="16">
        <v>0.115937374532223</v>
      </c>
    </row>
    <row r="29" spans="1:22" x14ac:dyDescent="0.3">
      <c r="A29" s="15">
        <v>43159</v>
      </c>
      <c r="B29" s="16">
        <v>-3.8947379999999997E-2</v>
      </c>
      <c r="C29" s="16">
        <v>-6.0758505016565302E-2</v>
      </c>
      <c r="D29" s="16">
        <v>-6.0905382037162802E-2</v>
      </c>
      <c r="E29" s="16">
        <v>-1.30246244370937E-2</v>
      </c>
      <c r="F29" s="16">
        <v>-0.16609211266040799</v>
      </c>
      <c r="G29" s="16">
        <v>1.4554041437804701E-2</v>
      </c>
      <c r="H29" s="16">
        <v>-3.0887559987604601E-3</v>
      </c>
      <c r="I29" s="16">
        <v>-0.103623002767563</v>
      </c>
      <c r="J29" s="16">
        <v>-7.3090471327304798E-2</v>
      </c>
      <c r="K29" s="16">
        <v>-5.0703916698694201E-2</v>
      </c>
      <c r="L29" s="16">
        <v>7.7987484633922605E-2</v>
      </c>
      <c r="M29" s="16">
        <v>-5.7701314799487599E-3</v>
      </c>
      <c r="N29" s="16">
        <v>-2.9916234314441702E-2</v>
      </c>
      <c r="O29" s="16">
        <v>0.13139362633228299</v>
      </c>
      <c r="P29" s="16">
        <v>7.9208008944988306E-2</v>
      </c>
      <c r="Q29" s="16">
        <v>-1.34898154065013E-2</v>
      </c>
      <c r="R29" s="16">
        <v>-2.5677395984530501E-2</v>
      </c>
      <c r="S29" s="16">
        <v>-0.116838999092579</v>
      </c>
      <c r="T29" s="16">
        <v>-4.58558090031147E-2</v>
      </c>
      <c r="U29" s="16">
        <v>0.23440532386303001</v>
      </c>
      <c r="V29" s="16">
        <v>0.146250739693642</v>
      </c>
    </row>
    <row r="30" spans="1:22" x14ac:dyDescent="0.3">
      <c r="A30" s="15">
        <v>43188</v>
      </c>
      <c r="B30" s="16">
        <v>-2.688451E-2</v>
      </c>
      <c r="C30" s="16">
        <v>-2.1974458359181898E-3</v>
      </c>
      <c r="D30" s="16">
        <v>2.65848934650421E-2</v>
      </c>
      <c r="E30" s="16">
        <v>-3.2258022576570497E-2</v>
      </c>
      <c r="F30" s="16">
        <v>-1.31529644131661E-2</v>
      </c>
      <c r="G30" s="16">
        <v>8.8716425001621302E-2</v>
      </c>
      <c r="H30" s="16">
        <v>-5.4802510887384401E-2</v>
      </c>
      <c r="I30" s="16">
        <v>-9.8078019917011303E-2</v>
      </c>
      <c r="J30" s="16">
        <v>1.4208233915269401E-3</v>
      </c>
      <c r="K30" s="16">
        <v>-2.6366820558905602E-2</v>
      </c>
      <c r="L30" s="16">
        <v>1.36248236522079E-2</v>
      </c>
      <c r="M30" s="16">
        <v>-5.9374999254941899E-2</v>
      </c>
      <c r="N30" s="16">
        <v>-0.118832215666771</v>
      </c>
      <c r="O30" s="16">
        <v>6.5520317293703599E-3</v>
      </c>
      <c r="P30" s="16">
        <v>-5.29489666223526E-2</v>
      </c>
      <c r="Q30" s="16">
        <v>-7.2883881628513295E-2</v>
      </c>
      <c r="R30" s="16">
        <v>-1.9886815920472201E-2</v>
      </c>
      <c r="S30" s="16">
        <v>-0.12594980001449599</v>
      </c>
      <c r="T30" s="16">
        <v>-0.103914387524128</v>
      </c>
      <c r="U30" s="16">
        <v>-8.9453868567943601E-2</v>
      </c>
      <c r="V30" s="16">
        <v>0.109612971544266</v>
      </c>
    </row>
    <row r="31" spans="1:22" x14ac:dyDescent="0.3">
      <c r="A31" s="15">
        <v>43220</v>
      </c>
      <c r="B31" s="16">
        <v>2.7188009999999999E-3</v>
      </c>
      <c r="C31" s="16">
        <v>1.98887381702662E-2</v>
      </c>
      <c r="D31" s="16">
        <v>-0.102798409759998</v>
      </c>
      <c r="E31" s="16">
        <v>0.227272734045982</v>
      </c>
      <c r="F31" s="16">
        <v>0.154226928949356</v>
      </c>
      <c r="G31" s="16">
        <v>2.1002423018217101E-2</v>
      </c>
      <c r="H31" s="16">
        <v>0.12517927587032299</v>
      </c>
      <c r="I31" s="16">
        <v>4.2372833937406498E-2</v>
      </c>
      <c r="J31" s="16">
        <v>8.7490882724523492E-3</v>
      </c>
      <c r="K31" s="16">
        <v>-1.0951872682198899E-3</v>
      </c>
      <c r="L31" s="16">
        <v>5.7931218296289402E-2</v>
      </c>
      <c r="M31" s="16">
        <v>-6.3360184431076105E-2</v>
      </c>
      <c r="N31" s="16">
        <v>0.103593058884144</v>
      </c>
      <c r="O31" s="16">
        <v>-1.1310002766549599E-2</v>
      </c>
      <c r="P31" s="16">
        <v>0.10497091710567499</v>
      </c>
      <c r="Q31" s="16">
        <v>-1.6454204916953999E-2</v>
      </c>
      <c r="R31" s="16">
        <v>-2.68887709826231E-2</v>
      </c>
      <c r="S31" s="16">
        <v>1.9738191738724702E-2</v>
      </c>
      <c r="T31" s="16">
        <v>7.64128342270851E-2</v>
      </c>
      <c r="U31" s="16">
        <v>4.48121055960655E-2</v>
      </c>
      <c r="V31" s="16">
        <v>6.0306038707494701E-2</v>
      </c>
    </row>
    <row r="32" spans="1:22" x14ac:dyDescent="0.3">
      <c r="A32" s="15">
        <v>43251</v>
      </c>
      <c r="B32" s="16">
        <v>2.1608349999999998E-2</v>
      </c>
      <c r="C32" s="16">
        <v>9.9277220666408497E-2</v>
      </c>
      <c r="D32" s="16">
        <v>9.5482770120725003E-4</v>
      </c>
      <c r="E32" s="16">
        <v>0.116049401462078</v>
      </c>
      <c r="F32" s="16">
        <v>0.12438147515058499</v>
      </c>
      <c r="G32" s="16">
        <v>5.6769922375679002E-2</v>
      </c>
      <c r="H32" s="16">
        <v>9.0313136577606201E-2</v>
      </c>
      <c r="I32" s="16">
        <v>0.13670584559440599</v>
      </c>
      <c r="J32" s="16">
        <v>4.4069409370422398E-2</v>
      </c>
      <c r="K32" s="16">
        <v>-8.5717188194394094E-3</v>
      </c>
      <c r="L32" s="16">
        <v>0.12526407837867701</v>
      </c>
      <c r="M32" s="16">
        <v>8.0060802400112194E-2</v>
      </c>
      <c r="N32" s="16">
        <v>-0.108245223760605</v>
      </c>
      <c r="O32" s="16">
        <v>7.8265182673931094E-2</v>
      </c>
      <c r="P32" s="16">
        <v>0.454888105392456</v>
      </c>
      <c r="Q32" s="16">
        <v>6.8726532161235795E-2</v>
      </c>
      <c r="R32" s="16">
        <v>0.109594844281673</v>
      </c>
      <c r="S32" s="16">
        <v>0.124059803783894</v>
      </c>
      <c r="T32" s="16">
        <v>0.114999994635582</v>
      </c>
      <c r="U32" s="16">
        <v>0.14483673870563499</v>
      </c>
      <c r="V32" s="16">
        <v>-0.12669773399829901</v>
      </c>
    </row>
    <row r="33" spans="1:22" x14ac:dyDescent="0.3">
      <c r="A33" s="15">
        <v>43280</v>
      </c>
      <c r="B33" s="16">
        <v>4.8424000000000002E-3</v>
      </c>
      <c r="C33" s="16">
        <v>-4.3418928980827297E-2</v>
      </c>
      <c r="D33" s="16">
        <v>-7.3131956160068498E-2</v>
      </c>
      <c r="E33" s="16">
        <v>-0.13495579361915599</v>
      </c>
      <c r="F33" s="16">
        <v>-1.43779823556542E-2</v>
      </c>
      <c r="G33" s="16">
        <v>-0.146268039941788</v>
      </c>
      <c r="H33" s="16">
        <v>-9.6860183402895893E-3</v>
      </c>
      <c r="I33" s="16">
        <v>-8.0264903604984297E-2</v>
      </c>
      <c r="J33" s="16">
        <v>-1.10013848170638E-2</v>
      </c>
      <c r="K33" s="16">
        <v>5.3684491664171198E-2</v>
      </c>
      <c r="L33" s="16">
        <v>0.11328209936618799</v>
      </c>
      <c r="M33" s="16">
        <v>0.139338463544846</v>
      </c>
      <c r="N33" s="16">
        <v>0.30393549799919101</v>
      </c>
      <c r="O33" s="16">
        <v>0.183750540018082</v>
      </c>
      <c r="P33" s="16">
        <v>0.25997582077980003</v>
      </c>
      <c r="Q33" s="16">
        <v>7.6293833553791102E-2</v>
      </c>
      <c r="R33" s="16">
        <v>7.7228635549545302E-2</v>
      </c>
      <c r="S33" s="16">
        <v>5.6031394749879802E-2</v>
      </c>
      <c r="T33" s="16">
        <v>1.32443867623806E-2</v>
      </c>
      <c r="U33" s="16">
        <v>0.25850135087966902</v>
      </c>
      <c r="V33" s="16">
        <v>-5.8566216379404103E-2</v>
      </c>
    </row>
    <row r="34" spans="1:22" x14ac:dyDescent="0.3">
      <c r="A34" s="15">
        <v>43312</v>
      </c>
      <c r="B34" s="16">
        <v>3.6021589999999999E-2</v>
      </c>
      <c r="C34" s="16">
        <v>-5.84075301885605E-2</v>
      </c>
      <c r="D34" s="16">
        <v>8.0606274306774098E-2</v>
      </c>
      <c r="E34" s="16">
        <v>9.5907934010028797E-2</v>
      </c>
      <c r="F34" s="16">
        <v>-4.58470061421394E-2</v>
      </c>
      <c r="G34" s="16">
        <v>-3.34646576084197E-3</v>
      </c>
      <c r="H34" s="16">
        <v>-3.5581745207309702E-2</v>
      </c>
      <c r="I34" s="16">
        <v>7.7611036598682404E-2</v>
      </c>
      <c r="J34" s="16">
        <v>8.2179315388202695E-2</v>
      </c>
      <c r="K34" s="16">
        <v>9.1498903930187198E-2</v>
      </c>
      <c r="L34" s="16">
        <v>-0.13790455460548401</v>
      </c>
      <c r="M34" s="16">
        <v>1.46180586889386E-2</v>
      </c>
      <c r="N34" s="16">
        <v>-3.34545485675335E-2</v>
      </c>
      <c r="O34" s="16">
        <v>6.4153913408517803E-3</v>
      </c>
      <c r="P34" s="16">
        <v>8.6377382278442397E-2</v>
      </c>
      <c r="Q34" s="16">
        <v>-3.7997923791408497E-2</v>
      </c>
      <c r="R34" s="16">
        <v>-8.7008960545063005E-2</v>
      </c>
      <c r="S34" s="16">
        <v>-4.5116625726222999E-2</v>
      </c>
      <c r="T34" s="16">
        <v>-0.111877337098122</v>
      </c>
      <c r="U34" s="16">
        <v>-0.27020832896232599</v>
      </c>
      <c r="V34" s="16">
        <v>-6.7630425095558194E-2</v>
      </c>
    </row>
    <row r="35" spans="1:22" x14ac:dyDescent="0.3">
      <c r="A35" s="15">
        <v>43343</v>
      </c>
      <c r="B35" s="16">
        <v>3.026322E-2</v>
      </c>
      <c r="C35" s="16">
        <v>-9.0125218033790602E-2</v>
      </c>
      <c r="D35" s="16">
        <v>-7.5868695974350003E-2</v>
      </c>
      <c r="E35" s="16">
        <v>0.121353581547737</v>
      </c>
      <c r="F35" s="16">
        <v>7.5195007026195498E-2</v>
      </c>
      <c r="G35" s="16">
        <v>-0.106067888438702</v>
      </c>
      <c r="H35" s="16">
        <v>-1.1715355329215501E-2</v>
      </c>
      <c r="I35" s="16">
        <v>-2.4899607524275801E-2</v>
      </c>
      <c r="J35" s="16">
        <v>-1.3006061315536501E-2</v>
      </c>
      <c r="K35" s="16">
        <v>-1.35611211881042E-2</v>
      </c>
      <c r="L35" s="16">
        <v>8.9583583176136003E-2</v>
      </c>
      <c r="M35" s="16">
        <v>8.1169139593839697E-3</v>
      </c>
      <c r="N35" s="16">
        <v>4.7027841210365302E-2</v>
      </c>
      <c r="O35" s="16">
        <v>-3.2801557332277298E-2</v>
      </c>
      <c r="P35" s="16">
        <v>0.104917243123055</v>
      </c>
      <c r="Q35" s="16">
        <v>-1.7978748306632E-2</v>
      </c>
      <c r="R35" s="16">
        <v>-0.11914560198783899</v>
      </c>
      <c r="S35" s="16">
        <v>0.181737765669823</v>
      </c>
      <c r="T35" s="16">
        <v>1.8252369016408899E-2</v>
      </c>
      <c r="U35" s="16">
        <v>0.103859409689903</v>
      </c>
      <c r="V35" s="16">
        <v>0.385658919811249</v>
      </c>
    </row>
    <row r="36" spans="1:22" x14ac:dyDescent="0.3">
      <c r="A36" s="15">
        <v>43371</v>
      </c>
      <c r="B36" s="16">
        <v>4.2943010000000004E-3</v>
      </c>
      <c r="C36" s="16">
        <v>-8.1626363098621396E-2</v>
      </c>
      <c r="D36" s="16">
        <v>-3.3114865422248799E-2</v>
      </c>
      <c r="E36" s="16">
        <v>1.14463940262795E-2</v>
      </c>
      <c r="F36" s="16">
        <v>-4.4689521193504299E-2</v>
      </c>
      <c r="G36" s="16">
        <v>-0.143454223871231</v>
      </c>
      <c r="H36" s="16">
        <v>-1.7338972538709599E-2</v>
      </c>
      <c r="I36" s="16">
        <v>-6.8918168544769301E-2</v>
      </c>
      <c r="J36" s="16">
        <v>-3.4006346017122303E-2</v>
      </c>
      <c r="K36" s="16">
        <v>4.3920781463384601E-2</v>
      </c>
      <c r="L36" s="16">
        <v>1.7542460933327699E-2</v>
      </c>
      <c r="M36" s="16">
        <v>9.6417084336280795E-2</v>
      </c>
      <c r="N36" s="16">
        <v>0.14983831346035001</v>
      </c>
      <c r="O36" s="16">
        <v>4.4313456863164902E-2</v>
      </c>
      <c r="P36" s="16">
        <v>0.107996791601181</v>
      </c>
      <c r="Q36" s="16">
        <v>0.15381421148777</v>
      </c>
      <c r="R36" s="16">
        <v>6.2428303062915802E-2</v>
      </c>
      <c r="S36" s="16">
        <v>3.3168673515319803E-2</v>
      </c>
      <c r="T36" s="16">
        <v>-6.41324147582054E-2</v>
      </c>
      <c r="U36" s="16">
        <v>-0.19101765751838701</v>
      </c>
      <c r="V36" s="16">
        <v>0.15704296529293099</v>
      </c>
    </row>
    <row r="37" spans="1:22" x14ac:dyDescent="0.3">
      <c r="A37" s="15">
        <v>43404</v>
      </c>
      <c r="B37" s="16">
        <v>-6.9403359999999997E-2</v>
      </c>
      <c r="C37" s="16">
        <v>-0.13989554345607799</v>
      </c>
      <c r="D37" s="16">
        <v>-4.4070210307836498E-2</v>
      </c>
      <c r="E37" s="16">
        <v>-0.24897116422653201</v>
      </c>
      <c r="F37" s="16">
        <v>-0.26245436072349598</v>
      </c>
      <c r="G37" s="16">
        <v>-0.20824806392192799</v>
      </c>
      <c r="H37" s="16">
        <v>-0.101152360439301</v>
      </c>
      <c r="I37" s="16">
        <v>-0.215361878275871</v>
      </c>
      <c r="J37" s="16">
        <v>-0.146974697709084</v>
      </c>
      <c r="K37" s="16">
        <v>-1.8043445423245399E-2</v>
      </c>
      <c r="L37" s="16">
        <v>-0.19338199496269201</v>
      </c>
      <c r="M37" s="16">
        <v>-3.9838477969169603E-2</v>
      </c>
      <c r="N37" s="16">
        <v>1.21874809265137E-2</v>
      </c>
      <c r="O37" s="16">
        <v>-0.12273249775171299</v>
      </c>
      <c r="P37" s="16">
        <v>-0.24956069886684401</v>
      </c>
      <c r="Q37" s="16">
        <v>-0.16997234523296401</v>
      </c>
      <c r="R37" s="16">
        <v>-0.24491654336452501</v>
      </c>
      <c r="S37" s="16">
        <v>-6.6091820597648607E-2</v>
      </c>
      <c r="T37" s="16">
        <v>-7.7040091156959506E-2</v>
      </c>
      <c r="U37" s="16">
        <v>0.22101198136806499</v>
      </c>
      <c r="V37" s="16">
        <v>-0.106889978051186</v>
      </c>
    </row>
    <row r="38" spans="1:22" x14ac:dyDescent="0.3">
      <c r="A38" s="15">
        <v>43434</v>
      </c>
      <c r="B38" s="16">
        <v>1.7859380000000001E-2</v>
      </c>
      <c r="C38" s="16">
        <v>7.6621592044830295E-2</v>
      </c>
      <c r="D38" s="16">
        <v>1.0494707152247399E-2</v>
      </c>
      <c r="E38" s="16">
        <v>0.20493149757385301</v>
      </c>
      <c r="F38" s="16">
        <v>-8.9373968541622203E-2</v>
      </c>
      <c r="G38" s="16">
        <v>9.4930447638034807E-2</v>
      </c>
      <c r="H38" s="16">
        <v>0.112775966525078</v>
      </c>
      <c r="I38" s="16">
        <v>-6.5512038767337799E-2</v>
      </c>
      <c r="J38" s="16">
        <v>3.1725548207759899E-2</v>
      </c>
      <c r="K38" s="16">
        <v>5.7475920766592E-3</v>
      </c>
      <c r="L38" s="16">
        <v>-5.1858950406312901E-2</v>
      </c>
      <c r="M38" s="16">
        <v>6.4627170562744099E-2</v>
      </c>
      <c r="N38" s="16">
        <v>-5.1559127867221798E-2</v>
      </c>
      <c r="O38" s="16">
        <v>-2.3859469220042201E-2</v>
      </c>
      <c r="P38" s="16">
        <v>1.8873162567615499E-2</v>
      </c>
      <c r="Q38" s="16">
        <v>-0.27762493491172802</v>
      </c>
      <c r="R38" s="16">
        <v>-7.5950793921947493E-2</v>
      </c>
      <c r="S38" s="16">
        <v>-0.14898733794689201</v>
      </c>
      <c r="T38" s="16">
        <v>-7.3654346168041201E-2</v>
      </c>
      <c r="U38" s="16">
        <v>-9.4964005053043393E-2</v>
      </c>
      <c r="V38" s="16">
        <v>-0.22138439118862199</v>
      </c>
    </row>
    <row r="39" spans="1:22" x14ac:dyDescent="0.3">
      <c r="A39" s="15">
        <v>43465</v>
      </c>
      <c r="B39" s="16">
        <v>-9.1776949999999996E-2</v>
      </c>
      <c r="C39" s="16">
        <v>-3.89515720307827E-2</v>
      </c>
      <c r="D39" s="16">
        <v>-9.5697291195392595E-2</v>
      </c>
      <c r="E39" s="16">
        <v>-0.176671221852303</v>
      </c>
      <c r="F39" s="16">
        <v>-0.14834919571876501</v>
      </c>
      <c r="G39" s="16">
        <v>-9.5886632800102206E-2</v>
      </c>
      <c r="H39" s="16">
        <v>-0.115891441702843</v>
      </c>
      <c r="I39" s="16">
        <v>-0.160354509949684</v>
      </c>
      <c r="J39" s="16">
        <v>-4.6500016003847101E-2</v>
      </c>
      <c r="K39" s="16">
        <v>-4.2947411537170403E-2</v>
      </c>
      <c r="L39" s="16">
        <v>-6.4551077783107799E-2</v>
      </c>
      <c r="M39" s="16">
        <v>-0.115481324493885</v>
      </c>
      <c r="N39" s="16">
        <v>-0.19466145336627999</v>
      </c>
      <c r="O39" s="16">
        <v>-8.5918707773089392E-3</v>
      </c>
      <c r="P39" s="16">
        <v>1.1898352764546901E-2</v>
      </c>
      <c r="Q39" s="16">
        <v>-6.6359288990497603E-2</v>
      </c>
      <c r="R39" s="16">
        <v>-6.1377376317977898E-2</v>
      </c>
      <c r="S39" s="16">
        <v>-6.1365876346826602E-2</v>
      </c>
      <c r="T39" s="16">
        <v>-6.7705027759075206E-2</v>
      </c>
      <c r="U39" s="16">
        <v>-8.6168549954891205E-2</v>
      </c>
      <c r="V39" s="16">
        <v>0.111745715141296</v>
      </c>
    </row>
    <row r="40" spans="1:22" x14ac:dyDescent="0.3">
      <c r="A40" s="15">
        <v>43496</v>
      </c>
      <c r="B40" s="16">
        <v>7.8684400000000002E-2</v>
      </c>
      <c r="C40" s="16">
        <v>0.121229618787766</v>
      </c>
      <c r="D40" s="16">
        <v>0.21352021396160101</v>
      </c>
      <c r="E40" s="16">
        <v>0.28748965263366699</v>
      </c>
      <c r="F40" s="16">
        <v>0.28730747103691101</v>
      </c>
      <c r="G40" s="16">
        <v>0.243655830621719</v>
      </c>
      <c r="H40" s="16">
        <v>0.131179824471474</v>
      </c>
      <c r="I40" s="16">
        <v>0.31472563743591297</v>
      </c>
      <c r="J40" s="16">
        <v>0.13371793925762199</v>
      </c>
      <c r="K40" s="16">
        <v>1.7054218798875798E-2</v>
      </c>
      <c r="L40" s="16">
        <v>0.26840019226074202</v>
      </c>
      <c r="M40" s="16">
        <v>8.6497426033020006E-2</v>
      </c>
      <c r="N40" s="16">
        <v>0.147130131721497</v>
      </c>
      <c r="O40" s="16">
        <v>3.8102284073829699E-2</v>
      </c>
      <c r="P40" s="16">
        <v>0.101980663836002</v>
      </c>
      <c r="Q40" s="16">
        <v>1.43869873136282E-2</v>
      </c>
      <c r="R40" s="16">
        <v>0.168926537036896</v>
      </c>
      <c r="S40" s="16">
        <v>2.5354580953717201E-2</v>
      </c>
      <c r="T40" s="16">
        <v>0.27156919240951499</v>
      </c>
      <c r="U40" s="16">
        <v>0.16771057248115501</v>
      </c>
      <c r="V40" s="16">
        <v>0.25064298510551503</v>
      </c>
    </row>
    <row r="41" spans="1:22" x14ac:dyDescent="0.3">
      <c r="A41" s="15">
        <v>43524</v>
      </c>
      <c r="B41" s="16">
        <v>2.9728930000000001E-2</v>
      </c>
      <c r="C41" s="16">
        <v>5.2604518830776201E-2</v>
      </c>
      <c r="D41" s="16">
        <v>-9.1372296214103699E-2</v>
      </c>
      <c r="E41" s="16">
        <v>3.41055393218994E-2</v>
      </c>
      <c r="F41" s="16">
        <v>2.5165041908621798E-2</v>
      </c>
      <c r="G41" s="16">
        <v>3.4793909639120102E-2</v>
      </c>
      <c r="H41" s="16">
        <v>1.9786905497312601E-2</v>
      </c>
      <c r="I41" s="16">
        <v>8.9311882853507996E-2</v>
      </c>
      <c r="J41" s="16">
        <v>1.41072338446975E-2</v>
      </c>
      <c r="K41" s="16">
        <v>1.1836439371109E-2</v>
      </c>
      <c r="L41" s="16">
        <v>5.4786469787359203E-2</v>
      </c>
      <c r="M41" s="16">
        <v>5.6998752057552303E-2</v>
      </c>
      <c r="N41" s="16">
        <v>1.8322778865695E-2</v>
      </c>
      <c r="O41" s="16">
        <v>3.68478633463383E-2</v>
      </c>
      <c r="P41" s="16">
        <v>1.65168885141611E-2</v>
      </c>
      <c r="Q41" s="16">
        <v>-0.107959404587746</v>
      </c>
      <c r="R41" s="16">
        <v>3.83781529963017E-2</v>
      </c>
      <c r="S41" s="16">
        <v>-0.17328280210495001</v>
      </c>
      <c r="T41" s="16">
        <v>-3.1435631215572399E-2</v>
      </c>
      <c r="U41" s="16">
        <v>-8.2836724817752797E-2</v>
      </c>
      <c r="V41" s="16">
        <v>3.5333693027496303E-2</v>
      </c>
    </row>
    <row r="42" spans="1:22" x14ac:dyDescent="0.3">
      <c r="A42" s="15">
        <v>43553</v>
      </c>
      <c r="B42" s="16">
        <v>1.7924289999999999E-2</v>
      </c>
      <c r="C42" s="16">
        <v>4.8835873603820801E-3</v>
      </c>
      <c r="D42" s="16">
        <v>-3.5887856036424602E-2</v>
      </c>
      <c r="E42" s="16">
        <v>-3.1528737396001802E-2</v>
      </c>
      <c r="F42" s="16">
        <v>-0.19114688038826</v>
      </c>
      <c r="G42" s="16">
        <v>-5.7057067751884502E-2</v>
      </c>
      <c r="H42" s="16">
        <v>-3.77398803830147E-2</v>
      </c>
      <c r="I42" s="16">
        <v>-7.8629016876220703E-2</v>
      </c>
      <c r="J42" s="16">
        <v>1.59634428564459E-3</v>
      </c>
      <c r="K42" s="16">
        <v>-1.60403903573751E-2</v>
      </c>
      <c r="L42" s="16">
        <v>-4.3004984036087998E-3</v>
      </c>
      <c r="M42" s="16">
        <v>0.12340875715017301</v>
      </c>
      <c r="N42" s="16">
        <v>-6.5051876008510603E-2</v>
      </c>
      <c r="O42" s="16">
        <v>1.7317935824394198E-2</v>
      </c>
      <c r="P42" s="16">
        <v>3.8231804966926602E-2</v>
      </c>
      <c r="Q42" s="16">
        <v>8.9226372539997101E-2</v>
      </c>
      <c r="R42" s="16">
        <v>6.1077453196048702E-2</v>
      </c>
      <c r="S42" s="16">
        <v>8.1480637192726094E-2</v>
      </c>
      <c r="T42" s="16">
        <v>3.2455902546644197E-2</v>
      </c>
      <c r="U42" s="16">
        <v>6.82261288166046E-2</v>
      </c>
      <c r="V42" s="16">
        <v>2.2210175171494501E-2</v>
      </c>
    </row>
    <row r="43" spans="1:22" x14ac:dyDescent="0.3">
      <c r="A43" s="15">
        <v>43585</v>
      </c>
      <c r="B43" s="16">
        <v>3.9313439999999998E-2</v>
      </c>
      <c r="C43" s="16">
        <v>9.9901638925075503E-2</v>
      </c>
      <c r="D43" s="16">
        <v>3.7801999598741497E-2</v>
      </c>
      <c r="E43" s="16">
        <v>5.73998801410198E-2</v>
      </c>
      <c r="F43" s="16">
        <v>7.8109435737132998E-2</v>
      </c>
      <c r="G43" s="16">
        <v>0.21061010658741</v>
      </c>
      <c r="H43" s="16">
        <v>0.117327675223351</v>
      </c>
      <c r="I43" s="16">
        <v>5.19005879759789E-2</v>
      </c>
      <c r="J43" s="16">
        <v>-2.8005454689264301E-2</v>
      </c>
      <c r="K43" s="16">
        <v>0.23363056778907801</v>
      </c>
      <c r="L43" s="16">
        <v>3.9208017289638498E-2</v>
      </c>
      <c r="M43" s="16">
        <v>2.8328539803624202E-2</v>
      </c>
      <c r="N43" s="16">
        <v>0.14359730482101399</v>
      </c>
      <c r="O43" s="16">
        <v>6.5875202417373699E-2</v>
      </c>
      <c r="P43" s="16">
        <v>-3.3763542771339403E-2</v>
      </c>
      <c r="Q43" s="16">
        <v>5.8862298727035502E-2</v>
      </c>
      <c r="R43" s="16">
        <v>-6.8680465221405002E-2</v>
      </c>
      <c r="S43" s="16">
        <v>2.6067595928907401E-2</v>
      </c>
      <c r="T43" s="16">
        <v>0.16023750603199</v>
      </c>
      <c r="U43" s="16">
        <v>0.21380774676799799</v>
      </c>
      <c r="V43" s="16">
        <v>6.6949315369129195E-2</v>
      </c>
    </row>
    <row r="44" spans="1:22" x14ac:dyDescent="0.3">
      <c r="A44" s="15">
        <v>43616</v>
      </c>
      <c r="B44" s="16">
        <v>-6.5777730000000006E-2</v>
      </c>
      <c r="C44" s="16">
        <v>-0.179716661572456</v>
      </c>
      <c r="D44" s="16">
        <v>-6.7968435585498796E-2</v>
      </c>
      <c r="E44" s="16">
        <v>-4.0510585531592404E-3</v>
      </c>
      <c r="F44" s="16">
        <v>-0.130133807659149</v>
      </c>
      <c r="G44" s="16">
        <v>-0.25005188584327698</v>
      </c>
      <c r="H44" s="16">
        <v>-2.25086435675621E-2</v>
      </c>
      <c r="I44" s="16">
        <v>-0.16886729001998901</v>
      </c>
      <c r="J44" s="16">
        <v>7.9643987119197898E-3</v>
      </c>
      <c r="K44" s="16">
        <v>-3.5993341356515898E-2</v>
      </c>
      <c r="L44" s="16">
        <v>-7.3568329215049702E-2</v>
      </c>
      <c r="M44" s="16">
        <v>-6.9176569581031799E-2</v>
      </c>
      <c r="N44" s="16">
        <v>-0.117799334228039</v>
      </c>
      <c r="O44" s="16">
        <v>-5.3130220621824299E-2</v>
      </c>
      <c r="P44" s="16">
        <v>-0.13249851763248399</v>
      </c>
      <c r="Q44" s="16">
        <v>-0.100394114851952</v>
      </c>
      <c r="R44" s="16">
        <v>-1.6587423160672202E-2</v>
      </c>
      <c r="S44" s="16">
        <v>0.11690591275692</v>
      </c>
      <c r="T44" s="16">
        <v>-8.2368113100528703E-2</v>
      </c>
      <c r="U44" s="16">
        <v>-8.6945660412311596E-2</v>
      </c>
      <c r="V44" s="16">
        <v>0.13658940792083701</v>
      </c>
    </row>
    <row r="45" spans="1:22" x14ac:dyDescent="0.3">
      <c r="A45" s="15">
        <v>43644</v>
      </c>
      <c r="B45" s="16">
        <v>6.8930190000000002E-2</v>
      </c>
      <c r="C45" s="16">
        <v>8.8363640010356903E-2</v>
      </c>
      <c r="D45" s="16">
        <v>0.156325548887253</v>
      </c>
      <c r="E45" s="16">
        <v>-6.3046544790267903E-2</v>
      </c>
      <c r="F45" s="16">
        <v>2.1750655025243801E-2</v>
      </c>
      <c r="G45" s="16">
        <v>0.155222177505493</v>
      </c>
      <c r="H45" s="16">
        <v>0.167275279760361</v>
      </c>
      <c r="I45" s="16">
        <v>0.12918062508106201</v>
      </c>
      <c r="J45" s="16">
        <v>-6.7394170910120002E-3</v>
      </c>
      <c r="K45" s="16">
        <v>5.75583651661873E-2</v>
      </c>
      <c r="L45" s="16">
        <v>7.0030324161052704E-2</v>
      </c>
      <c r="M45" s="16">
        <v>8.9279845356941195E-2</v>
      </c>
      <c r="N45" s="16">
        <v>0.12619224190712</v>
      </c>
      <c r="O45" s="16">
        <v>-5.37452474236488E-2</v>
      </c>
      <c r="P45" s="16">
        <v>-5.6364969350397604E-3</v>
      </c>
      <c r="Q45" s="16">
        <v>8.8309936225414304E-2</v>
      </c>
      <c r="R45" s="16">
        <v>8.7881393730640397E-2</v>
      </c>
      <c r="S45" s="16">
        <v>4.9745697528123897E-2</v>
      </c>
      <c r="T45" s="16">
        <v>8.7507739663124098E-2</v>
      </c>
      <c r="U45" s="16">
        <v>-4.2261172086000401E-2</v>
      </c>
      <c r="V45" s="16">
        <v>-2.0102037116885199E-2</v>
      </c>
    </row>
    <row r="46" spans="1:22" x14ac:dyDescent="0.3">
      <c r="A46" s="15">
        <v>43677</v>
      </c>
      <c r="B46" s="16">
        <v>1.312819E-2</v>
      </c>
      <c r="C46" s="16">
        <v>2.2846478968858702E-2</v>
      </c>
      <c r="D46" s="16">
        <v>5.0752565264701802E-2</v>
      </c>
      <c r="E46" s="16">
        <v>-2.0620811730623301E-2</v>
      </c>
      <c r="F46" s="16">
        <v>1.34994927793741E-2</v>
      </c>
      <c r="G46" s="16">
        <v>4.9036290496587802E-2</v>
      </c>
      <c r="H46" s="16">
        <v>3.9801876991987201E-2</v>
      </c>
      <c r="I46" s="16">
        <v>-1.67038142681122E-2</v>
      </c>
      <c r="J46" s="16">
        <v>0.10131020098924599</v>
      </c>
      <c r="K46" s="16">
        <v>3.0435370281338699E-2</v>
      </c>
      <c r="L46" s="16">
        <v>-0.120685003697872</v>
      </c>
      <c r="M46" s="16">
        <v>8.7698079645633698E-2</v>
      </c>
      <c r="N46" s="16">
        <v>-1.27036245539784E-2</v>
      </c>
      <c r="O46" s="16">
        <v>3.6079179495573002E-2</v>
      </c>
      <c r="P46" s="16">
        <v>7.8936396166682209E-3</v>
      </c>
      <c r="Q46" s="16">
        <v>3.2627139240503297E-2</v>
      </c>
      <c r="R46" s="16">
        <v>-8.6509995162487002E-2</v>
      </c>
      <c r="S46" s="16">
        <v>7.9186096787452698E-2</v>
      </c>
      <c r="T46" s="16">
        <v>6.3730347901582701E-3</v>
      </c>
      <c r="U46" s="16">
        <v>0.21232090890407601</v>
      </c>
      <c r="V46" s="16">
        <v>0.119221121072769</v>
      </c>
    </row>
    <row r="47" spans="1:22" x14ac:dyDescent="0.3">
      <c r="A47" s="15">
        <v>43707</v>
      </c>
      <c r="B47" s="16">
        <v>-1.8091650000000001E-2</v>
      </c>
      <c r="C47" s="16">
        <v>-8.2230269908905002E-2</v>
      </c>
      <c r="D47" s="16">
        <v>-6.5289840102195698E-2</v>
      </c>
      <c r="E47" s="16">
        <v>-0.146498247981072</v>
      </c>
      <c r="F47" s="16">
        <v>-1.79303474724293E-2</v>
      </c>
      <c r="G47" s="16">
        <v>-0.14546017348766299</v>
      </c>
      <c r="H47" s="16">
        <v>3.0171338468790099E-2</v>
      </c>
      <c r="I47" s="16">
        <v>-9.2487685382366194E-2</v>
      </c>
      <c r="J47" s="16">
        <v>-5.7148899883031901E-2</v>
      </c>
      <c r="K47" s="16">
        <v>-4.0206979960203199E-2</v>
      </c>
      <c r="L47" s="16">
        <v>-9.0529091656207997E-2</v>
      </c>
      <c r="M47" s="16">
        <v>-3.5387113690376303E-2</v>
      </c>
      <c r="N47" s="16">
        <v>-8.9409403502941104E-2</v>
      </c>
      <c r="O47" s="16">
        <v>-0.130016565322876</v>
      </c>
      <c r="P47" s="16">
        <v>-1.8549030646681799E-2</v>
      </c>
      <c r="Q47" s="16">
        <v>3.81616055965424E-2</v>
      </c>
      <c r="R47" s="16">
        <v>1.27567602321506E-2</v>
      </c>
      <c r="S47" s="16">
        <v>7.7130302786827101E-2</v>
      </c>
      <c r="T47" s="16">
        <v>-4.40714508295059E-2</v>
      </c>
      <c r="U47" s="16">
        <v>8.0359289422631298E-3</v>
      </c>
      <c r="V47" s="16">
        <v>0.126311615109444</v>
      </c>
    </row>
    <row r="48" spans="1:22" x14ac:dyDescent="0.3">
      <c r="A48" s="15">
        <v>43738</v>
      </c>
      <c r="B48" s="16">
        <v>1.7181169999999999E-2</v>
      </c>
      <c r="C48" s="16">
        <v>5.51648996770382E-2</v>
      </c>
      <c r="D48" s="16">
        <v>-7.4839685112237904E-3</v>
      </c>
      <c r="E48" s="16">
        <v>3.5315521061420399E-2</v>
      </c>
      <c r="F48" s="16">
        <v>-2.84298416227102E-2</v>
      </c>
      <c r="G48" s="16">
        <v>-1.29822995513678E-2</v>
      </c>
      <c r="H48" s="16">
        <v>1.5820192638784699E-3</v>
      </c>
      <c r="I48" s="16">
        <v>-8.3195307524874796E-4</v>
      </c>
      <c r="J48" s="16">
        <v>-6.0612943023443201E-2</v>
      </c>
      <c r="K48" s="16">
        <v>-5.0560887902975103E-2</v>
      </c>
      <c r="L48" s="16">
        <v>-8.8953204452991499E-2</v>
      </c>
      <c r="M48" s="16">
        <v>-4.56050299108028E-2</v>
      </c>
      <c r="N48" s="16">
        <v>-3.5144969820976299E-2</v>
      </c>
      <c r="O48" s="16">
        <v>4.4346638023853302E-2</v>
      </c>
      <c r="P48" s="16">
        <v>-2.2399381268769498E-3</v>
      </c>
      <c r="Q48" s="16">
        <v>4.5849796384572997E-2</v>
      </c>
      <c r="R48" s="16">
        <v>4.4192992150783497E-2</v>
      </c>
      <c r="S48" s="16">
        <v>-5.0238728523254401E-2</v>
      </c>
      <c r="T48" s="16">
        <v>-4.0878959000110598E-2</v>
      </c>
      <c r="U48" s="16">
        <v>-3.3997673541307498E-2</v>
      </c>
      <c r="V48" s="16">
        <v>-0.15754717588424699</v>
      </c>
    </row>
    <row r="49" spans="1:22" x14ac:dyDescent="0.3">
      <c r="A49" s="15">
        <v>43769</v>
      </c>
      <c r="B49" s="16">
        <v>2.0431749999999999E-2</v>
      </c>
      <c r="C49" s="16">
        <v>7.0637151598930401E-2</v>
      </c>
      <c r="D49" s="16">
        <v>2.8138553723692901E-2</v>
      </c>
      <c r="E49" s="16">
        <v>0.12289946526289</v>
      </c>
      <c r="F49" s="16">
        <v>0.14442956447601299</v>
      </c>
      <c r="G49" s="16">
        <v>0.11607795208692601</v>
      </c>
      <c r="H49" s="16">
        <v>5.2934296429157299E-2</v>
      </c>
      <c r="I49" s="16">
        <v>0.13778701424598699</v>
      </c>
      <c r="J49" s="16">
        <v>3.5979852080345202E-2</v>
      </c>
      <c r="K49" s="16">
        <v>-3.0694378074258601E-3</v>
      </c>
      <c r="L49" s="16">
        <v>7.3948167264461503E-2</v>
      </c>
      <c r="M49" s="16">
        <v>6.2707327306270599E-2</v>
      </c>
      <c r="N49" s="16">
        <v>1.2204309925437E-2</v>
      </c>
      <c r="O49" s="16">
        <v>1.2902339920401599E-2</v>
      </c>
      <c r="P49" s="16">
        <v>-0.21236823499202701</v>
      </c>
      <c r="Q49" s="16">
        <v>5.8767966926097898E-2</v>
      </c>
      <c r="R49" s="16">
        <v>-1.45164402201772E-2</v>
      </c>
      <c r="S49" s="16">
        <v>-3.9811696857214002E-2</v>
      </c>
      <c r="T49" s="16">
        <v>7.6201662421226501E-2</v>
      </c>
      <c r="U49" s="16">
        <v>-0.27257284522056602</v>
      </c>
      <c r="V49" s="16">
        <v>2.1696463227271999E-2</v>
      </c>
    </row>
    <row r="50" spans="1:22" x14ac:dyDescent="0.3">
      <c r="A50" s="15">
        <v>43798</v>
      </c>
      <c r="B50" s="16">
        <v>3.4047059999999997E-2</v>
      </c>
      <c r="C50" s="16">
        <v>1.4715392142534299E-2</v>
      </c>
      <c r="D50" s="16">
        <v>0.12105266004800801</v>
      </c>
      <c r="E50" s="16">
        <v>0.19521996378898601</v>
      </c>
      <c r="F50" s="16">
        <v>8.0459773540496798E-2</v>
      </c>
      <c r="G50" s="16">
        <v>4.2030834592878801E-3</v>
      </c>
      <c r="H50" s="16">
        <v>1.5377346426248599E-4</v>
      </c>
      <c r="I50" s="16">
        <v>7.9266048967838301E-2</v>
      </c>
      <c r="J50" s="16">
        <v>5.5799953639507301E-2</v>
      </c>
      <c r="K50" s="16">
        <v>0.16671800613403301</v>
      </c>
      <c r="L50" s="16">
        <v>9.4812288880348206E-2</v>
      </c>
      <c r="M50" s="16">
        <v>-9.7872689366340603E-3</v>
      </c>
      <c r="N50" s="16">
        <v>0.22203667461872101</v>
      </c>
      <c r="O50" s="16">
        <v>5.5672053247690201E-2</v>
      </c>
      <c r="P50" s="16">
        <v>0.106709480285645</v>
      </c>
      <c r="Q50" s="16">
        <v>-2.1417044103145599E-2</v>
      </c>
      <c r="R50" s="16">
        <v>4.7821581363677999E-2</v>
      </c>
      <c r="S50" s="16">
        <v>8.3090988919138908E-3</v>
      </c>
      <c r="T50" s="16">
        <v>5.21263033151627E-2</v>
      </c>
      <c r="U50" s="16">
        <v>3.1364716589450801E-2</v>
      </c>
      <c r="V50" s="16">
        <v>-3.4388199448585503E-2</v>
      </c>
    </row>
    <row r="51" spans="1:22" x14ac:dyDescent="0.3">
      <c r="A51" s="15">
        <v>43830</v>
      </c>
      <c r="B51" s="16">
        <v>2.8589799999999999E-2</v>
      </c>
      <c r="C51" s="16">
        <v>0.112509973347187</v>
      </c>
      <c r="D51" s="16">
        <v>4.5383401215076502E-2</v>
      </c>
      <c r="E51" s="16">
        <v>0.114558048546314</v>
      </c>
      <c r="F51" s="16">
        <v>0.109856650233269</v>
      </c>
      <c r="G51" s="16">
        <v>0.14911043643951399</v>
      </c>
      <c r="H51" s="16">
        <v>5.9772346168756499E-2</v>
      </c>
      <c r="I51" s="16">
        <v>2.0401246845722198E-2</v>
      </c>
      <c r="J51" s="16">
        <v>6.4693003892898601E-2</v>
      </c>
      <c r="K51" s="16">
        <v>-4.0044840425252901E-2</v>
      </c>
      <c r="L51" s="16">
        <v>2.8316289186477699E-2</v>
      </c>
      <c r="M51" s="16">
        <v>2.37788818776608E-2</v>
      </c>
      <c r="N51" s="16">
        <v>-6.0715530999004797E-3</v>
      </c>
      <c r="O51" s="16">
        <v>4.4041462242603302E-2</v>
      </c>
      <c r="P51" s="16">
        <v>4.7887813299894298E-2</v>
      </c>
      <c r="Q51" s="16">
        <v>8.3713226020336207E-2</v>
      </c>
      <c r="R51" s="16">
        <v>6.4350061118602794E-2</v>
      </c>
      <c r="S51" s="16">
        <v>8.8998917490243894E-3</v>
      </c>
      <c r="T51" s="16">
        <v>1.7903197556734099E-2</v>
      </c>
      <c r="U51" s="16">
        <v>3.6881249397993102E-2</v>
      </c>
      <c r="V51" s="16">
        <v>0.165011301636696</v>
      </c>
    </row>
    <row r="52" spans="1:22" x14ac:dyDescent="0.3">
      <c r="A52" s="15">
        <v>43861</v>
      </c>
      <c r="B52" s="16">
        <v>-1.62809E-3</v>
      </c>
      <c r="C52" s="16">
        <v>-5.4026700556278201E-2</v>
      </c>
      <c r="D52" s="16">
        <v>-6.6426239907741602E-2</v>
      </c>
      <c r="E52" s="16">
        <v>2.34740762971342E-3</v>
      </c>
      <c r="F52" s="16">
        <v>0.16705793142318701</v>
      </c>
      <c r="G52" s="16">
        <v>-9.1524392366409302E-2</v>
      </c>
      <c r="H52" s="16">
        <v>5.23324199020863E-2</v>
      </c>
      <c r="I52" s="16">
        <v>-3.0060170684009799E-3</v>
      </c>
      <c r="J52" s="16">
        <v>0.105664290487766</v>
      </c>
      <c r="K52" s="16">
        <v>-4.3697759509086602E-2</v>
      </c>
      <c r="L52" s="16">
        <v>6.6507987678050995E-2</v>
      </c>
      <c r="M52" s="16">
        <v>-4.6313103288412101E-2</v>
      </c>
      <c r="N52" s="16">
        <v>-0.10629203915596</v>
      </c>
      <c r="O52" s="16">
        <v>6.7983274348080202E-3</v>
      </c>
      <c r="P52" s="16">
        <v>-0.24649299681186701</v>
      </c>
      <c r="Q52" s="16">
        <v>-1.5819566324353201E-2</v>
      </c>
      <c r="R52" s="16">
        <v>3.8135617505759001E-3</v>
      </c>
      <c r="S52" s="16">
        <v>1.8051123246550602E-2</v>
      </c>
      <c r="T52" s="16">
        <v>-1.6272820532321899E-2</v>
      </c>
      <c r="U52" s="16">
        <v>1.3416546396911099E-2</v>
      </c>
      <c r="V52" s="16">
        <v>-4.7375462949275998E-2</v>
      </c>
    </row>
    <row r="53" spans="1:22" x14ac:dyDescent="0.3">
      <c r="A53" s="15">
        <v>43889</v>
      </c>
      <c r="B53" s="16">
        <v>-8.4110470000000007E-2</v>
      </c>
      <c r="C53" s="16">
        <v>-0.107181079685688</v>
      </c>
      <c r="D53" s="16">
        <v>-0.20927238464355499</v>
      </c>
      <c r="E53" s="16">
        <v>-0.16058880090713501</v>
      </c>
      <c r="F53" s="16">
        <v>-8.7160654366016405E-3</v>
      </c>
      <c r="G53" s="16">
        <v>-0.136176288127899</v>
      </c>
      <c r="H53" s="16">
        <v>-0.12979640066623699</v>
      </c>
      <c r="I53" s="16">
        <v>-0.105192668735981</v>
      </c>
      <c r="J53" s="16">
        <v>-0.11922506242990499</v>
      </c>
      <c r="K53" s="16">
        <v>-0.149374574422836</v>
      </c>
      <c r="L53" s="16">
        <v>6.9373212754726396E-2</v>
      </c>
      <c r="M53" s="16">
        <v>-0.1084214001894</v>
      </c>
      <c r="N53" s="16">
        <v>-0.121667787432671</v>
      </c>
      <c r="O53" s="16">
        <v>-9.5783092081546797E-2</v>
      </c>
      <c r="P53" s="16">
        <v>-4.3166950345039402E-2</v>
      </c>
      <c r="Q53" s="16">
        <v>-5.9849261306226297E-3</v>
      </c>
      <c r="R53" s="16">
        <v>-6.0693062841892201E-2</v>
      </c>
      <c r="S53" s="16">
        <v>-0.137676477432251</v>
      </c>
      <c r="T53" s="16">
        <v>-4.67535145580769E-2</v>
      </c>
      <c r="U53" s="16">
        <v>2.2167526185512501E-2</v>
      </c>
      <c r="V53" s="16">
        <v>-0.169010490179062</v>
      </c>
    </row>
    <row r="54" spans="1:22" x14ac:dyDescent="0.3">
      <c r="A54" s="15">
        <v>43921</v>
      </c>
      <c r="B54" s="16">
        <v>-0.12511929999999999</v>
      </c>
      <c r="C54" s="16">
        <v>-0.25810325145721402</v>
      </c>
      <c r="D54" s="16">
        <v>-0.51343643665313698</v>
      </c>
      <c r="E54" s="16">
        <v>-0.71303308010101296</v>
      </c>
      <c r="F54" s="16">
        <v>-0.57220155000686701</v>
      </c>
      <c r="G54" s="16">
        <v>-0.44258198142051702</v>
      </c>
      <c r="H54" s="16">
        <v>-0.180595368146896</v>
      </c>
      <c r="I54" s="16">
        <v>-0.46012726426124601</v>
      </c>
      <c r="J54" s="16">
        <v>-0.40630286931991599</v>
      </c>
      <c r="K54" s="16">
        <v>-0.17892055213451399</v>
      </c>
      <c r="L54" s="16">
        <v>1.7532452940940899E-2</v>
      </c>
      <c r="M54" s="16">
        <v>-0.25193354487419101</v>
      </c>
      <c r="N54" s="16">
        <v>-0.24357977509498599</v>
      </c>
      <c r="O54" s="16">
        <v>-0.21062654256820701</v>
      </c>
      <c r="P54" s="16">
        <v>-0.27196919918060303</v>
      </c>
      <c r="Q54" s="16">
        <v>2.32237819582224E-2</v>
      </c>
      <c r="R54" s="16">
        <v>-1.18378670886159E-2</v>
      </c>
      <c r="S54" s="16">
        <v>0.103554122149944</v>
      </c>
      <c r="T54" s="16">
        <v>-0.13337142765522</v>
      </c>
      <c r="U54" s="16">
        <v>-0.26024100184440602</v>
      </c>
      <c r="V54" s="16">
        <v>1.60000137984753E-2</v>
      </c>
    </row>
    <row r="55" spans="1:22" x14ac:dyDescent="0.3">
      <c r="A55" s="15">
        <v>43951</v>
      </c>
      <c r="B55" s="16">
        <v>0.12684409999999999</v>
      </c>
      <c r="C55" s="16">
        <v>0.130680456757546</v>
      </c>
      <c r="D55" s="16">
        <v>0.42627117037773099</v>
      </c>
      <c r="E55" s="16">
        <v>0.48888897895812999</v>
      </c>
      <c r="F55" s="16">
        <v>0.408695667982101</v>
      </c>
      <c r="G55" s="16">
        <v>0.42100018262863198</v>
      </c>
      <c r="H55" s="16">
        <v>-2.6517685502767601E-2</v>
      </c>
      <c r="I55" s="16">
        <v>0.15742027759551999</v>
      </c>
      <c r="J55" s="16">
        <v>0.187744945287705</v>
      </c>
      <c r="K55" s="16">
        <v>0.11956524848937999</v>
      </c>
      <c r="L55" s="16">
        <v>0.118109203875065</v>
      </c>
      <c r="M55" s="16">
        <v>-1.29784466698766E-2</v>
      </c>
      <c r="N55" s="16">
        <v>0.15329214930534399</v>
      </c>
      <c r="O55" s="16">
        <v>0.100553631782532</v>
      </c>
      <c r="P55" s="16">
        <v>0.31063959002494801</v>
      </c>
      <c r="Q55" s="16">
        <v>7.8345663845539107E-2</v>
      </c>
      <c r="R55" s="16">
        <v>0.14066091179847701</v>
      </c>
      <c r="S55" s="16">
        <v>2.0571641623973898E-2</v>
      </c>
      <c r="T55" s="16">
        <v>0.227278187870979</v>
      </c>
      <c r="U55" s="16">
        <v>0.16775247454643299</v>
      </c>
      <c r="V55" s="16">
        <v>0.16535429656505601</v>
      </c>
    </row>
    <row r="56" spans="1:22" x14ac:dyDescent="0.3">
      <c r="A56" s="15">
        <v>43980</v>
      </c>
      <c r="B56" s="16">
        <v>4.5281780000000001E-2</v>
      </c>
      <c r="C56" s="16">
        <v>-1.6660105902701599E-3</v>
      </c>
      <c r="D56" s="16">
        <v>2.0796220749616599E-2</v>
      </c>
      <c r="E56" s="16">
        <v>0.65391784906387296</v>
      </c>
      <c r="F56" s="16">
        <v>0.84118980169296298</v>
      </c>
      <c r="G56" s="16">
        <v>-2.6306560263037699E-2</v>
      </c>
      <c r="H56" s="16">
        <v>0.32378762960433999</v>
      </c>
      <c r="I56" s="16">
        <v>0.28100648522376998</v>
      </c>
      <c r="J56" s="16">
        <v>0.20395918190479301</v>
      </c>
      <c r="K56" s="16">
        <v>8.46047252416611E-2</v>
      </c>
      <c r="L56" s="16">
        <v>-2.8580473735928498E-4</v>
      </c>
      <c r="M56" s="16">
        <v>9.5609560608863803E-2</v>
      </c>
      <c r="N56" s="16">
        <v>-2.9884034767746901E-2</v>
      </c>
      <c r="O56" s="16">
        <v>-4.0275650098919903E-3</v>
      </c>
      <c r="P56" s="16">
        <v>4.0476705878973E-2</v>
      </c>
      <c r="Q56" s="16">
        <v>0.12945243716239899</v>
      </c>
      <c r="R56" s="16">
        <v>7.5441926717758206E-2</v>
      </c>
      <c r="S56" s="16">
        <v>0.12490701675415</v>
      </c>
      <c r="T56" s="16">
        <v>9.9555417895317105E-2</v>
      </c>
      <c r="U56" s="16">
        <v>7.98465460538864E-2</v>
      </c>
      <c r="V56" s="16">
        <v>0.15696468949317899</v>
      </c>
    </row>
    <row r="57" spans="1:22" x14ac:dyDescent="0.3">
      <c r="A57" s="15">
        <v>44012</v>
      </c>
      <c r="B57" s="16">
        <v>1.8388399999999999E-2</v>
      </c>
      <c r="C57" s="16">
        <v>-5.0062533468008E-2</v>
      </c>
      <c r="D57" s="16">
        <v>-2.1973285824060398E-2</v>
      </c>
      <c r="E57" s="16">
        <v>0.12972369790077201</v>
      </c>
      <c r="F57" s="16">
        <v>-6.9186232984065996E-2</v>
      </c>
      <c r="G57" s="16">
        <v>-0.105547562241554</v>
      </c>
      <c r="H57" s="16">
        <v>3.6179674789309502E-3</v>
      </c>
      <c r="I57" s="16">
        <v>-2.2450868040323299E-2</v>
      </c>
      <c r="J57" s="16">
        <v>-0.15097154676914201</v>
      </c>
      <c r="K57" s="16">
        <v>-4.9360621720552403E-2</v>
      </c>
      <c r="L57" s="16">
        <v>8.4125503897666903E-2</v>
      </c>
      <c r="M57" s="16">
        <v>-9.8250567913055406E-2</v>
      </c>
      <c r="N57" s="16">
        <v>-2.98850405961275E-2</v>
      </c>
      <c r="O57" s="16">
        <v>-0.13913148641586301</v>
      </c>
      <c r="P57" s="16">
        <v>-5.8353137224912602E-2</v>
      </c>
      <c r="Q57" s="16">
        <v>5.4459545761346803E-2</v>
      </c>
      <c r="R57" s="16">
        <v>7.4625700712203993E-2</v>
      </c>
      <c r="S57" s="16">
        <v>2.4968856945633899E-2</v>
      </c>
      <c r="T57" s="16">
        <v>8.7965307757258398E-3</v>
      </c>
      <c r="U57" s="16">
        <v>-3.81013378500938E-2</v>
      </c>
      <c r="V57" s="16">
        <v>0.20226866006851199</v>
      </c>
    </row>
    <row r="58" spans="1:22" x14ac:dyDescent="0.3">
      <c r="A58" s="15">
        <v>44043</v>
      </c>
      <c r="B58" s="16">
        <v>5.5101299999999999E-2</v>
      </c>
      <c r="C58" s="16">
        <v>-4.17215973138809E-2</v>
      </c>
      <c r="D58" s="16">
        <v>-4.2261853814125103E-2</v>
      </c>
      <c r="E58" s="16">
        <v>-0.22491267323493999</v>
      </c>
      <c r="F58" s="16">
        <v>0.10838236659765201</v>
      </c>
      <c r="G58" s="16">
        <v>-2.7654686942696599E-2</v>
      </c>
      <c r="H58" s="16">
        <v>4.0330532938242E-2</v>
      </c>
      <c r="I58" s="16">
        <v>0.13253590464591999</v>
      </c>
      <c r="J58" s="16">
        <v>6.1913046985864598E-2</v>
      </c>
      <c r="K58" s="16">
        <v>4.8695184290409102E-2</v>
      </c>
      <c r="L58" s="16">
        <v>7.4367076158523601E-2</v>
      </c>
      <c r="M58" s="16">
        <v>5.5944044142961502E-2</v>
      </c>
      <c r="N58" s="16">
        <v>0</v>
      </c>
      <c r="O58" s="16">
        <v>4.6293165534734698E-2</v>
      </c>
      <c r="P58" s="16">
        <v>7.2727270424365997E-2</v>
      </c>
      <c r="Q58" s="16">
        <v>8.86692404747009E-2</v>
      </c>
      <c r="R58" s="16">
        <v>7.2472482919692993E-2</v>
      </c>
      <c r="S58" s="16">
        <v>0.17518088221549999</v>
      </c>
      <c r="T58" s="16">
        <v>0.117144450545311</v>
      </c>
      <c r="U58" s="16">
        <v>0.22188654541969299</v>
      </c>
      <c r="V58" s="16">
        <v>-8.3046816289424896E-3</v>
      </c>
    </row>
    <row r="59" spans="1:22" x14ac:dyDescent="0.3">
      <c r="A59" s="15">
        <v>44074</v>
      </c>
      <c r="B59" s="16">
        <v>7.0064689999999999E-2</v>
      </c>
      <c r="C59" s="16">
        <v>0.162007331848145</v>
      </c>
      <c r="D59" s="16">
        <v>0.39838406443595897</v>
      </c>
      <c r="E59" s="16">
        <v>0.47504025697708102</v>
      </c>
      <c r="F59" s="16">
        <v>0.50960117578506503</v>
      </c>
      <c r="G59" s="16">
        <v>0.207372590899468</v>
      </c>
      <c r="H59" s="16">
        <v>0.26162278652191201</v>
      </c>
      <c r="I59" s="16">
        <v>0.131389975547791</v>
      </c>
      <c r="J59" s="16">
        <v>0.271345674991608</v>
      </c>
      <c r="K59" s="16">
        <v>0.12767224013805401</v>
      </c>
      <c r="L59" s="16">
        <v>8.3210587501525907E-2</v>
      </c>
      <c r="M59" s="16">
        <v>0.21341589093208299</v>
      </c>
      <c r="N59" s="16">
        <v>4.5734602957963902E-2</v>
      </c>
      <c r="O59" s="16">
        <v>6.7083075642585796E-2</v>
      </c>
      <c r="P59" s="16">
        <v>-5.4494760930538198E-2</v>
      </c>
      <c r="Q59" s="16">
        <v>1.07708992436528E-2</v>
      </c>
      <c r="R59" s="16">
        <v>-1.51814287528396E-2</v>
      </c>
      <c r="S59" s="16">
        <v>4.3714169412851299E-2</v>
      </c>
      <c r="T59" s="16">
        <v>0.155832439661026</v>
      </c>
      <c r="U59" s="16">
        <v>0.114835165441036</v>
      </c>
      <c r="V59" s="16">
        <v>8.7439179420471205E-2</v>
      </c>
    </row>
    <row r="60" spans="1:22" x14ac:dyDescent="0.3">
      <c r="A60" s="15">
        <v>44104</v>
      </c>
      <c r="B60" s="16">
        <v>-3.9227959999999999E-2</v>
      </c>
      <c r="C60" s="16">
        <v>-7.9865887761116E-2</v>
      </c>
      <c r="D60" s="16">
        <v>-3.3222220838069902E-2</v>
      </c>
      <c r="E60" s="16">
        <v>0.22401751577854201</v>
      </c>
      <c r="F60" s="16">
        <v>0.42270058393478399</v>
      </c>
      <c r="G60" s="16">
        <v>-0.17884504795074499</v>
      </c>
      <c r="H60" s="16">
        <v>-6.2600068747997298E-2</v>
      </c>
      <c r="I60" s="16">
        <v>0.146004468202591</v>
      </c>
      <c r="J60" s="16">
        <v>-3.0645510181784599E-2</v>
      </c>
      <c r="K60" s="16">
        <v>-5.9073280543088899E-2</v>
      </c>
      <c r="L60" s="16">
        <v>-5.5763274431228603E-2</v>
      </c>
      <c r="M60" s="16">
        <v>-5.1408417522907299E-2</v>
      </c>
      <c r="N60" s="16">
        <v>-1.3369592837989301E-2</v>
      </c>
      <c r="O60" s="16">
        <v>-8.2439050078392001E-2</v>
      </c>
      <c r="P60" s="16">
        <v>-7.8965246677398696E-2</v>
      </c>
      <c r="Q60" s="16">
        <v>-3.0771071091294299E-2</v>
      </c>
      <c r="R60" s="16">
        <v>-6.4960189163684803E-2</v>
      </c>
      <c r="S60" s="16">
        <v>-3.4873537719249698E-2</v>
      </c>
      <c r="T60" s="16">
        <v>-0.10675312578678101</v>
      </c>
      <c r="U60" s="16">
        <v>9.6599258482456193E-2</v>
      </c>
      <c r="V60" s="16">
        <v>-9.2227682471275295E-3</v>
      </c>
    </row>
    <row r="61" spans="1:22" x14ac:dyDescent="0.3">
      <c r="A61" s="15">
        <v>44134</v>
      </c>
      <c r="B61" s="16">
        <v>-2.7665780000000001E-2</v>
      </c>
      <c r="C61" s="16">
        <v>3.0004318803548799E-2</v>
      </c>
      <c r="D61" s="16">
        <v>-5.4252889007329899E-2</v>
      </c>
      <c r="E61" s="16">
        <v>-0.20049948990345001</v>
      </c>
      <c r="F61" s="16">
        <v>-0.25749653577804599</v>
      </c>
      <c r="G61" s="16">
        <v>8.6339339613914507E-3</v>
      </c>
      <c r="H61" s="16">
        <v>-8.9549586176872295E-2</v>
      </c>
      <c r="I61" s="16">
        <v>3.3561378717422499E-2</v>
      </c>
      <c r="J61" s="16">
        <v>-2.7130024507641799E-2</v>
      </c>
      <c r="K61" s="16">
        <v>-2.28078812360764E-2</v>
      </c>
      <c r="L61" s="16">
        <v>-4.8577103763818699E-2</v>
      </c>
      <c r="M61" s="16">
        <v>-9.4283625483512906E-2</v>
      </c>
      <c r="N61" s="16">
        <v>-7.0280231535434695E-2</v>
      </c>
      <c r="O61" s="16">
        <v>-5.8745324611663798E-2</v>
      </c>
      <c r="P61" s="16">
        <v>-0.101556718349457</v>
      </c>
      <c r="Q61" s="16">
        <v>-6.4484171569347395E-2</v>
      </c>
      <c r="R61" s="16">
        <v>-8.1128761172294603E-2</v>
      </c>
      <c r="S61" s="16">
        <v>-6.2341138720512397E-2</v>
      </c>
      <c r="T61" s="16">
        <v>4.6200514771044298E-3</v>
      </c>
      <c r="U61" s="16">
        <v>-7.0561781525611905E-2</v>
      </c>
      <c r="V61" s="16">
        <v>5.5399883538484601E-2</v>
      </c>
    </row>
    <row r="62" spans="1:22" x14ac:dyDescent="0.3">
      <c r="A62" s="15">
        <v>44165</v>
      </c>
      <c r="B62" s="16">
        <v>0.10754569999999999</v>
      </c>
      <c r="C62" s="16">
        <v>0.15917597711086301</v>
      </c>
      <c r="D62" s="16">
        <v>0.37335929274558999</v>
      </c>
      <c r="E62" s="16">
        <v>0.51985728740692105</v>
      </c>
      <c r="F62" s="16">
        <v>0.296776592731476</v>
      </c>
      <c r="G62" s="16">
        <v>0.38754659891128501</v>
      </c>
      <c r="H62" s="16">
        <v>0.20630241930484799</v>
      </c>
      <c r="I62" s="16">
        <v>0.21343009173870101</v>
      </c>
      <c r="J62" s="16">
        <v>0.27264350652694702</v>
      </c>
      <c r="K62" s="16">
        <v>0.220700979232788</v>
      </c>
      <c r="L62" s="16">
        <v>3.1445793807506603E-2</v>
      </c>
      <c r="M62" s="16">
        <v>0.345286935567856</v>
      </c>
      <c r="N62" s="16">
        <v>0.329545468091965</v>
      </c>
      <c r="O62" s="16">
        <v>0.19598980247974401</v>
      </c>
      <c r="P62" s="16">
        <v>0.18371838331222501</v>
      </c>
      <c r="Q62" s="16">
        <v>4.9518022686243099E-2</v>
      </c>
      <c r="R62" s="16">
        <v>6.6093616187572493E-2</v>
      </c>
      <c r="S62" s="16">
        <v>0.165182009339333</v>
      </c>
      <c r="T62" s="16">
        <v>5.26776500046253E-2</v>
      </c>
      <c r="U62" s="16">
        <v>0.12451638281345399</v>
      </c>
      <c r="V62" s="16">
        <v>0.192070633172989</v>
      </c>
    </row>
    <row r="63" spans="1:22" x14ac:dyDescent="0.3">
      <c r="A63" s="15">
        <v>44196</v>
      </c>
      <c r="B63" s="16">
        <v>3.7121410000000001E-2</v>
      </c>
      <c r="C63" s="16">
        <v>6.9825872778892503E-2</v>
      </c>
      <c r="D63" s="16">
        <v>0.115486733615398</v>
      </c>
      <c r="E63" s="16">
        <v>9.0281762182712597E-2</v>
      </c>
      <c r="F63" s="16">
        <v>0.23385718464851399</v>
      </c>
      <c r="G63" s="16">
        <v>0.122686587274075</v>
      </c>
      <c r="H63" s="16">
        <v>8.6104907095432295E-2</v>
      </c>
      <c r="I63" s="16">
        <v>0.11509473621845299</v>
      </c>
      <c r="J63" s="16">
        <v>0.10865627974271801</v>
      </c>
      <c r="K63" s="16">
        <v>0.224106475710869</v>
      </c>
      <c r="L63" s="16">
        <v>0.10195632278919201</v>
      </c>
      <c r="M63" s="16">
        <v>0.119268871843815</v>
      </c>
      <c r="N63" s="16">
        <v>0.118171691894531</v>
      </c>
      <c r="O63" s="16">
        <v>8.6776934564113603E-2</v>
      </c>
      <c r="P63" s="16">
        <v>0.11919140815734899</v>
      </c>
      <c r="Q63" s="16">
        <v>0.168218344449997</v>
      </c>
      <c r="R63" s="16">
        <v>0.12540122866630601</v>
      </c>
      <c r="S63" s="16">
        <v>0.15112735331058499</v>
      </c>
      <c r="T63" s="16">
        <v>-1.37559939175844E-2</v>
      </c>
      <c r="U63" s="16">
        <v>0.16426582634449</v>
      </c>
      <c r="V63" s="16">
        <v>8.6056999862194103E-2</v>
      </c>
    </row>
  </sheetData>
  <mergeCells count="2">
    <mergeCell ref="A1:B1"/>
    <mergeCell ref="C1:V1"/>
  </mergeCells>
  <pageMargins left="0.25" right="0.25" top="0.75" bottom="0.75" header="0.30000000000000004" footer="0.30000000000000004"/>
  <pageSetup paperSize="9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1A7A-B5D5-4A71-B2D3-AE8EB9D84528}">
  <dimension ref="A1:G12"/>
  <sheetViews>
    <sheetView workbookViewId="0">
      <selection activeCell="D19" sqref="D19"/>
    </sheetView>
  </sheetViews>
  <sheetFormatPr defaultRowHeight="14.4" x14ac:dyDescent="0.3"/>
  <cols>
    <col min="1" max="1" width="17" bestFit="1" customWidth="1"/>
    <col min="2" max="2" width="16.6640625" bestFit="1" customWidth="1"/>
    <col min="3" max="3" width="4.5546875" bestFit="1" customWidth="1"/>
    <col min="4" max="4" width="17" bestFit="1" customWidth="1"/>
    <col min="5" max="5" width="12.77734375" bestFit="1" customWidth="1"/>
    <col min="6" max="6" width="16.21875" bestFit="1" customWidth="1"/>
    <col min="7" max="7" width="8.88671875" customWidth="1"/>
  </cols>
  <sheetData>
    <row r="1" spans="1:7" ht="18" x14ac:dyDescent="0.3">
      <c r="A1" s="65" t="s">
        <v>96</v>
      </c>
      <c r="B1" s="64" t="s">
        <v>52</v>
      </c>
      <c r="C1" s="64"/>
      <c r="D1" s="64"/>
      <c r="E1" s="64"/>
      <c r="F1" s="64"/>
    </row>
    <row r="2" spans="1:7" x14ac:dyDescent="0.3">
      <c r="A2" s="27" t="s">
        <v>53</v>
      </c>
      <c r="B2" s="27"/>
      <c r="C2" s="27"/>
      <c r="D2" s="27"/>
      <c r="E2" s="27"/>
      <c r="F2" s="27"/>
      <c r="G2" s="17"/>
    </row>
    <row r="3" spans="1:7" thickBot="1" x14ac:dyDescent="0.3">
      <c r="A3" s="2"/>
      <c r="B3" s="2"/>
      <c r="C3" s="2"/>
      <c r="D3" s="2"/>
      <c r="E3" s="2"/>
      <c r="F3" s="2"/>
    </row>
    <row r="4" spans="1:7" thickBot="1" x14ac:dyDescent="0.3">
      <c r="A4" s="18" t="s">
        <v>54</v>
      </c>
      <c r="B4" s="18" t="s">
        <v>55</v>
      </c>
      <c r="C4" s="18" t="s">
        <v>56</v>
      </c>
      <c r="D4" s="18" t="s">
        <v>57</v>
      </c>
      <c r="E4" s="18" t="s">
        <v>58</v>
      </c>
      <c r="F4" s="18" t="s">
        <v>59</v>
      </c>
    </row>
    <row r="5" spans="1:7" x14ac:dyDescent="0.3">
      <c r="A5" s="19" t="s">
        <v>35</v>
      </c>
      <c r="B5" s="20">
        <f>SLOPE(Returns!$F$4:$F$63,Returns!$B$4:$B$63)</f>
        <v>2.7915455117456096</v>
      </c>
      <c r="C5" s="20">
        <f>RSQ(Returns!$F$4:$F$63,Returns!$B$4:$B$63)</f>
        <v>0.37958264659670621</v>
      </c>
      <c r="D5" s="21">
        <f>_xlfn.STDEV.S(Returns!$F$4:$F$63)</f>
        <v>0.1993767620589863</v>
      </c>
      <c r="E5" s="21">
        <f>INTERCEPT(Returns!$F$4:$F$63,Returns!$B$4:$B$63)</f>
        <v>1.6136255143015286E-2</v>
      </c>
      <c r="F5" s="19" t="s">
        <v>60</v>
      </c>
    </row>
    <row r="6" spans="1:7" x14ac:dyDescent="0.3">
      <c r="A6" s="22" t="s">
        <v>34</v>
      </c>
      <c r="B6" s="23">
        <f>SLOPE(Returns!$E$4:$E$63,Returns!$B$4:$B$63)</f>
        <v>3.1436580169857851</v>
      </c>
      <c r="C6" s="23">
        <f>RSQ(Returns!$E$4:$E$63,Returns!$B$4:$B$63)</f>
        <v>0.47315717912308219</v>
      </c>
      <c r="D6" s="24">
        <f>_xlfn.STDEV.S(Returns!$E$4:$E$63)</f>
        <v>0.20110162452442482</v>
      </c>
      <c r="E6" s="24">
        <f>INTERCEPT(Returns!$E$4:$E$63,Returns!$B$4:$B$63)</f>
        <v>2.0141742433106256E-2</v>
      </c>
      <c r="F6" s="22" t="s">
        <v>60</v>
      </c>
    </row>
    <row r="7" spans="1:7" x14ac:dyDescent="0.3">
      <c r="A7" s="22" t="s">
        <v>37</v>
      </c>
      <c r="B7" s="23">
        <f>SLOPE(Returns!$H$4:$H$63,Returns!$B$4:$B$63)</f>
        <v>1.3628825877194999</v>
      </c>
      <c r="C7" s="23">
        <f>RSQ(Returns!$H$4:$H$63,Returns!$B$4:$B$63)</f>
        <v>0.42534138764273577</v>
      </c>
      <c r="D7" s="24">
        <f>_xlfn.STDEV.S(Returns!$H$4:$H$63)</f>
        <v>9.1954422635012523E-2</v>
      </c>
      <c r="E7" s="24">
        <f>INTERCEPT(Returns!$H$4:$H$63,Returns!$B$4:$B$63)</f>
        <v>1.3161867878026116E-2</v>
      </c>
      <c r="F7" s="22" t="s">
        <v>60</v>
      </c>
    </row>
    <row r="8" spans="1:7" x14ac:dyDescent="0.3">
      <c r="A8" s="22" t="s">
        <v>38</v>
      </c>
      <c r="B8" s="23">
        <f>SLOPE(Returns!$I$4:$I$63,Returns!$B$4:$B$63)</f>
        <v>2.238502777343653</v>
      </c>
      <c r="C8" s="23">
        <f>RSQ(Returns!$I$4:$I$63,Returns!$B$4:$B$63)</f>
        <v>0.62859061576796904</v>
      </c>
      <c r="D8" s="24">
        <f>_xlfn.STDEV.S(Returns!$I$4:$I$63)</f>
        <v>0.1242386408576398</v>
      </c>
      <c r="E8" s="24">
        <f>INTERCEPT(Returns!$I$4:$I$63,Returns!$B$4:$B$63)</f>
        <v>-3.3897717031867447E-3</v>
      </c>
      <c r="F8" s="22" t="s">
        <v>60</v>
      </c>
    </row>
    <row r="9" spans="1:7" x14ac:dyDescent="0.3">
      <c r="A9" s="25" t="s">
        <v>33</v>
      </c>
      <c r="B9" s="23">
        <f>SLOPE(Returns!$D$4:$D$63,Returns!$B$4:$B$63)</f>
        <v>2.4257070716660705</v>
      </c>
      <c r="C9" s="23">
        <f>RSQ(Returns!$D$4:$D$63,Returns!$B$4:$B$63)</f>
        <v>0.63483026805094367</v>
      </c>
      <c r="D9" s="24">
        <f>_xlfn.STDEV.S(Returns!$D$4:$D$63)</f>
        <v>0.13396536828396211</v>
      </c>
      <c r="E9" s="24">
        <f>INTERCEPT(Returns!$D$4:$D$63,Returns!$B$4:$B$63)</f>
        <v>-1.1211747245492249E-2</v>
      </c>
      <c r="F9" s="22" t="s">
        <v>60</v>
      </c>
    </row>
    <row r="10" spans="1:7" x14ac:dyDescent="0.3">
      <c r="A10" s="25" t="s">
        <v>36</v>
      </c>
      <c r="B10" s="23">
        <f>SLOPE(Returns!$G$4:$G$63,Returns!$B$4:$B$63)</f>
        <v>2.3769287261312892</v>
      </c>
      <c r="C10" s="23">
        <f>RSQ(Returns!$G$4:$G$63,Returns!$B$4:$B$63)</f>
        <v>0.51626541003138193</v>
      </c>
      <c r="D10" s="24">
        <f>_xlfn.STDEV.S(Returns!$G$4:$G$63)</f>
        <v>0.14556690421275717</v>
      </c>
      <c r="E10" s="24">
        <f>INTERCEPT(Returns!$G$4:$G$63,Returns!$B$4:$B$63)</f>
        <v>-5.9764894816351742E-3</v>
      </c>
      <c r="F10" s="22" t="s">
        <v>60</v>
      </c>
    </row>
    <row r="11" spans="1:7" x14ac:dyDescent="0.3">
      <c r="A11" s="25" t="s">
        <v>32</v>
      </c>
      <c r="B11" s="26">
        <f>SLOPE(Returns!$C$4:$C$63,Returns!$B$4:$B$63)</f>
        <v>1.3474388692203747</v>
      </c>
      <c r="C11" s="23">
        <f>RSQ(Returns!$C$4:$C$63,Returns!$B$4:$B$63)</f>
        <v>0.44415886642634667</v>
      </c>
      <c r="D11" s="24">
        <f>_xlfn.STDEV.S(Returns!$C$4:$C$63)</f>
        <v>8.8965762196829376E-2</v>
      </c>
      <c r="E11" s="24">
        <f>INTERCEPT(Returns!$C$4:$C$63,Returns!$B$4:$B$63)</f>
        <v>-2.2482180931665523E-3</v>
      </c>
      <c r="F11" s="22" t="s">
        <v>60</v>
      </c>
    </row>
    <row r="12" spans="1:7" x14ac:dyDescent="0.3">
      <c r="A12" s="25" t="s">
        <v>39</v>
      </c>
      <c r="B12" s="26">
        <f>SLOPE(Returns!$J$4:$J$63,Returns!$B$4:$B$63)</f>
        <v>1.6613447015628491</v>
      </c>
      <c r="C12" s="23">
        <f>RSQ(Returns!$J$4:$J$63,Returns!$B$4:$B$63)</f>
        <v>0.49586114180429586</v>
      </c>
      <c r="D12" s="24">
        <f>_xlfn.STDEV.S(Returns!$J$4:$J$63)</f>
        <v>0.10381562272272996</v>
      </c>
      <c r="E12" s="24">
        <f>INTERCEPT(Returns!$J$4:$J$63,Returns!$B$4:$B$63)</f>
        <v>3.7961425879496254E-3</v>
      </c>
      <c r="F12" s="22" t="s">
        <v>60</v>
      </c>
    </row>
  </sheetData>
  <mergeCells count="2">
    <mergeCell ref="A2:F2"/>
    <mergeCell ref="B1:F1"/>
  </mergeCell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0D79-2137-4A5A-A315-0C75B6526843}">
  <dimension ref="A1:XFD12"/>
  <sheetViews>
    <sheetView workbookViewId="0"/>
  </sheetViews>
  <sheetFormatPr defaultRowHeight="14.4" x14ac:dyDescent="0.3"/>
  <cols>
    <col min="1" max="1" width="17" bestFit="1" customWidth="1"/>
    <col min="2" max="2" width="19.77734375" bestFit="1" customWidth="1"/>
    <col min="3" max="3" width="21.44140625" bestFit="1" customWidth="1"/>
    <col min="4" max="4" width="13.77734375" bestFit="1" customWidth="1"/>
    <col min="5" max="5" width="10.5546875" bestFit="1" customWidth="1"/>
    <col min="6" max="6" width="10.21875" bestFit="1" customWidth="1"/>
    <col min="7" max="7" width="12.77734375" bestFit="1" customWidth="1"/>
    <col min="8" max="8" width="14.44140625" bestFit="1" customWidth="1"/>
    <col min="9" max="9" width="8.88671875" customWidth="1"/>
  </cols>
  <sheetData>
    <row r="1" spans="1:1024 1026:2048 2050:3072 3074:4096 4098:5120 5122:6144 6146:7168 7170:8192 8194:9216 9218:10240 10242:11264 11266:12288 12290:13312 13314:14336 14338:15360 15362:16384" ht="21.6" thickBot="1" x14ac:dyDescent="0.35">
      <c r="A1" s="1" t="s">
        <v>61</v>
      </c>
      <c r="B1" s="41" t="s">
        <v>62</v>
      </c>
      <c r="C1" s="41"/>
      <c r="D1" s="41"/>
      <c r="E1" s="41"/>
      <c r="F1" s="41"/>
      <c r="G1" s="41"/>
      <c r="H1" s="41"/>
    </row>
    <row r="2" spans="1:1024 1026:2048 2050:3072 3074:4096 4098:5120 5122:6144 6146:7168 7170:8192 8194:9216 9218:10240 10242:11264 11266:12288 12290:13312 13314:14336 14338:15360 15362:16384" x14ac:dyDescent="0.3">
      <c r="A2" s="28"/>
      <c r="B2" s="42" t="s">
        <v>63</v>
      </c>
      <c r="C2" s="42"/>
      <c r="D2" s="42"/>
      <c r="E2" s="43" t="s">
        <v>64</v>
      </c>
      <c r="F2" s="43"/>
      <c r="G2" s="43"/>
      <c r="H2" s="43"/>
      <c r="J2" s="44"/>
      <c r="K2" s="44"/>
      <c r="L2" s="44"/>
      <c r="M2" s="44"/>
      <c r="N2" s="44"/>
      <c r="O2" s="44"/>
      <c r="P2" s="44"/>
      <c r="R2" s="44"/>
      <c r="S2" s="44"/>
      <c r="T2" s="44"/>
      <c r="U2" s="44"/>
      <c r="V2" s="44"/>
      <c r="W2" s="44"/>
      <c r="X2" s="44"/>
      <c r="Z2" s="44"/>
      <c r="AA2" s="44"/>
      <c r="AB2" s="44"/>
      <c r="AC2" s="44"/>
      <c r="AD2" s="44"/>
      <c r="AE2" s="44"/>
      <c r="AF2" s="44"/>
      <c r="AH2" s="44"/>
      <c r="AI2" s="44"/>
      <c r="AJ2" s="44"/>
      <c r="AK2" s="44"/>
      <c r="AL2" s="44"/>
      <c r="AM2" s="44"/>
      <c r="AN2" s="44"/>
      <c r="AP2" s="44"/>
      <c r="AQ2" s="44"/>
      <c r="AR2" s="44"/>
      <c r="AS2" s="44"/>
      <c r="AT2" s="44"/>
      <c r="AU2" s="44"/>
      <c r="AV2" s="44"/>
      <c r="AX2" s="44"/>
      <c r="AY2" s="44"/>
      <c r="AZ2" s="44"/>
      <c r="BA2" s="44"/>
      <c r="BB2" s="44"/>
      <c r="BC2" s="44"/>
      <c r="BD2" s="44"/>
      <c r="BF2" s="44"/>
      <c r="BG2" s="44"/>
      <c r="BH2" s="44"/>
      <c r="BI2" s="44"/>
      <c r="BJ2" s="44"/>
      <c r="BK2" s="44"/>
      <c r="BL2" s="44"/>
      <c r="BN2" s="44"/>
      <c r="BO2" s="44"/>
      <c r="BP2" s="44"/>
      <c r="BQ2" s="44"/>
      <c r="BR2" s="44"/>
      <c r="BS2" s="44"/>
      <c r="BT2" s="44"/>
      <c r="BV2" s="44"/>
      <c r="BW2" s="44"/>
      <c r="BX2" s="44"/>
      <c r="BY2" s="44"/>
      <c r="BZ2" s="44"/>
      <c r="CA2" s="44"/>
      <c r="CB2" s="44"/>
      <c r="CD2" s="44"/>
      <c r="CE2" s="44"/>
      <c r="CF2" s="44"/>
      <c r="CG2" s="44"/>
      <c r="CH2" s="44"/>
      <c r="CI2" s="44"/>
      <c r="CJ2" s="44"/>
      <c r="CL2" s="44"/>
      <c r="CM2" s="44"/>
      <c r="CN2" s="44"/>
      <c r="CO2" s="44"/>
      <c r="CP2" s="44"/>
      <c r="CQ2" s="44"/>
      <c r="CR2" s="44"/>
      <c r="CT2" s="44"/>
      <c r="CU2" s="44"/>
      <c r="CV2" s="44"/>
      <c r="CW2" s="44"/>
      <c r="CX2" s="44"/>
      <c r="CY2" s="44"/>
      <c r="CZ2" s="44"/>
      <c r="DB2" s="44"/>
      <c r="DC2" s="44"/>
      <c r="DD2" s="44"/>
      <c r="DE2" s="44"/>
      <c r="DF2" s="44"/>
      <c r="DG2" s="44"/>
      <c r="DH2" s="44"/>
      <c r="DJ2" s="44"/>
      <c r="DK2" s="44"/>
      <c r="DL2" s="44"/>
      <c r="DM2" s="44"/>
      <c r="DN2" s="44"/>
      <c r="DO2" s="44"/>
      <c r="DP2" s="44"/>
      <c r="DR2" s="44"/>
      <c r="DS2" s="44"/>
      <c r="DT2" s="44"/>
      <c r="DU2" s="44"/>
      <c r="DV2" s="44"/>
      <c r="DW2" s="44"/>
      <c r="DX2" s="44"/>
      <c r="DZ2" s="44"/>
      <c r="EA2" s="44"/>
      <c r="EB2" s="44"/>
      <c r="EC2" s="44"/>
      <c r="ED2" s="44"/>
      <c r="EE2" s="44"/>
      <c r="EF2" s="44"/>
      <c r="EH2" s="44"/>
      <c r="EI2" s="44"/>
      <c r="EJ2" s="44"/>
      <c r="EK2" s="44"/>
      <c r="EL2" s="44"/>
      <c r="EM2" s="44"/>
      <c r="EN2" s="44"/>
      <c r="EP2" s="44"/>
      <c r="EQ2" s="44"/>
      <c r="ER2" s="44"/>
      <c r="ES2" s="44"/>
      <c r="ET2" s="44"/>
      <c r="EU2" s="44"/>
      <c r="EV2" s="44"/>
      <c r="EX2" s="44"/>
      <c r="EY2" s="44"/>
      <c r="EZ2" s="44"/>
      <c r="FA2" s="44"/>
      <c r="FB2" s="44"/>
      <c r="FC2" s="44"/>
      <c r="FD2" s="44"/>
      <c r="FF2" s="44"/>
      <c r="FG2" s="44"/>
      <c r="FH2" s="44"/>
      <c r="FI2" s="44"/>
      <c r="FJ2" s="44"/>
      <c r="FK2" s="44"/>
      <c r="FL2" s="44"/>
      <c r="FN2" s="44"/>
      <c r="FO2" s="44"/>
      <c r="FP2" s="44"/>
      <c r="FQ2" s="44"/>
      <c r="FR2" s="44"/>
      <c r="FS2" s="44"/>
      <c r="FT2" s="44"/>
      <c r="FV2" s="44"/>
      <c r="FW2" s="44"/>
      <c r="FX2" s="44"/>
      <c r="FY2" s="44"/>
      <c r="FZ2" s="44"/>
      <c r="GA2" s="44"/>
      <c r="GB2" s="44"/>
      <c r="GD2" s="44"/>
      <c r="GE2" s="44"/>
      <c r="GF2" s="44"/>
      <c r="GG2" s="44"/>
      <c r="GH2" s="44"/>
      <c r="GI2" s="44"/>
      <c r="GJ2" s="44"/>
      <c r="GL2" s="44"/>
      <c r="GM2" s="44"/>
      <c r="GN2" s="44"/>
      <c r="GO2" s="44"/>
      <c r="GP2" s="44"/>
      <c r="GQ2" s="44"/>
      <c r="GR2" s="44"/>
      <c r="GT2" s="44"/>
      <c r="GU2" s="44"/>
      <c r="GV2" s="44"/>
      <c r="GW2" s="44"/>
      <c r="GX2" s="44"/>
      <c r="GY2" s="44"/>
      <c r="GZ2" s="44"/>
      <c r="HB2" s="44"/>
      <c r="HC2" s="44"/>
      <c r="HD2" s="44"/>
      <c r="HE2" s="44"/>
      <c r="HF2" s="44"/>
      <c r="HG2" s="44"/>
      <c r="HH2" s="44"/>
      <c r="HJ2" s="44"/>
      <c r="HK2" s="44"/>
      <c r="HL2" s="44"/>
      <c r="HM2" s="44"/>
      <c r="HN2" s="44"/>
      <c r="HO2" s="44"/>
      <c r="HP2" s="44"/>
      <c r="HR2" s="44"/>
      <c r="HS2" s="44"/>
      <c r="HT2" s="44"/>
      <c r="HU2" s="44"/>
      <c r="HV2" s="44"/>
      <c r="HW2" s="44"/>
      <c r="HX2" s="44"/>
      <c r="HZ2" s="44"/>
      <c r="IA2" s="44"/>
      <c r="IB2" s="44"/>
      <c r="IC2" s="44"/>
      <c r="ID2" s="44"/>
      <c r="IE2" s="44"/>
      <c r="IF2" s="44"/>
      <c r="IH2" s="44"/>
      <c r="II2" s="44"/>
      <c r="IJ2" s="44"/>
      <c r="IK2" s="44"/>
      <c r="IL2" s="44"/>
      <c r="IM2" s="44"/>
      <c r="IN2" s="44"/>
      <c r="IP2" s="44"/>
      <c r="IQ2" s="44"/>
      <c r="IR2" s="44"/>
      <c r="IS2" s="44"/>
      <c r="IT2" s="44"/>
      <c r="IU2" s="44"/>
      <c r="IV2" s="44"/>
      <c r="IX2" s="44"/>
      <c r="IY2" s="44"/>
      <c r="IZ2" s="44"/>
      <c r="JA2" s="44"/>
      <c r="JB2" s="44"/>
      <c r="JC2" s="44"/>
      <c r="JD2" s="44"/>
      <c r="JF2" s="44"/>
      <c r="JG2" s="44"/>
      <c r="JH2" s="44"/>
      <c r="JI2" s="44"/>
      <c r="JJ2" s="44"/>
      <c r="JK2" s="44"/>
      <c r="JL2" s="44"/>
      <c r="JN2" s="44"/>
      <c r="JO2" s="44"/>
      <c r="JP2" s="44"/>
      <c r="JQ2" s="44"/>
      <c r="JR2" s="44"/>
      <c r="JS2" s="44"/>
      <c r="JT2" s="44"/>
      <c r="JV2" s="44"/>
      <c r="JW2" s="44"/>
      <c r="JX2" s="44"/>
      <c r="JY2" s="44"/>
      <c r="JZ2" s="44"/>
      <c r="KA2" s="44"/>
      <c r="KB2" s="44"/>
      <c r="KD2" s="44"/>
      <c r="KE2" s="44"/>
      <c r="KF2" s="44"/>
      <c r="KG2" s="44"/>
      <c r="KH2" s="44"/>
      <c r="KI2" s="44"/>
      <c r="KJ2" s="44"/>
      <c r="KL2" s="44"/>
      <c r="KM2" s="44"/>
      <c r="KN2" s="44"/>
      <c r="KO2" s="44"/>
      <c r="KP2" s="44"/>
      <c r="KQ2" s="44"/>
      <c r="KR2" s="44"/>
      <c r="KT2" s="44"/>
      <c r="KU2" s="44"/>
      <c r="KV2" s="44"/>
      <c r="KW2" s="44"/>
      <c r="KX2" s="44"/>
      <c r="KY2" s="44"/>
      <c r="KZ2" s="44"/>
      <c r="LB2" s="44"/>
      <c r="LC2" s="44"/>
      <c r="LD2" s="44"/>
      <c r="LE2" s="44"/>
      <c r="LF2" s="44"/>
      <c r="LG2" s="44"/>
      <c r="LH2" s="44"/>
      <c r="LJ2" s="44"/>
      <c r="LK2" s="44"/>
      <c r="LL2" s="44"/>
      <c r="LM2" s="44"/>
      <c r="LN2" s="44"/>
      <c r="LO2" s="44"/>
      <c r="LP2" s="44"/>
      <c r="LR2" s="44"/>
      <c r="LS2" s="44"/>
      <c r="LT2" s="44"/>
      <c r="LU2" s="44"/>
      <c r="LV2" s="44"/>
      <c r="LW2" s="44"/>
      <c r="LX2" s="44"/>
      <c r="LZ2" s="44"/>
      <c r="MA2" s="44"/>
      <c r="MB2" s="44"/>
      <c r="MC2" s="44"/>
      <c r="MD2" s="44"/>
      <c r="ME2" s="44"/>
      <c r="MF2" s="44"/>
      <c r="MH2" s="44"/>
      <c r="MI2" s="44"/>
      <c r="MJ2" s="44"/>
      <c r="MK2" s="44"/>
      <c r="ML2" s="44"/>
      <c r="MM2" s="44"/>
      <c r="MN2" s="44"/>
      <c r="MP2" s="44"/>
      <c r="MQ2" s="44"/>
      <c r="MR2" s="44"/>
      <c r="MS2" s="44"/>
      <c r="MT2" s="44"/>
      <c r="MU2" s="44"/>
      <c r="MV2" s="44"/>
      <c r="MX2" s="44"/>
      <c r="MY2" s="44"/>
      <c r="MZ2" s="44"/>
      <c r="NA2" s="44"/>
      <c r="NB2" s="44"/>
      <c r="NC2" s="44"/>
      <c r="ND2" s="44"/>
      <c r="NF2" s="44"/>
      <c r="NG2" s="44"/>
      <c r="NH2" s="44"/>
      <c r="NI2" s="44"/>
      <c r="NJ2" s="44"/>
      <c r="NK2" s="44"/>
      <c r="NL2" s="44"/>
      <c r="NN2" s="44"/>
      <c r="NO2" s="44"/>
      <c r="NP2" s="44"/>
      <c r="NQ2" s="44"/>
      <c r="NR2" s="44"/>
      <c r="NS2" s="44"/>
      <c r="NT2" s="44"/>
      <c r="NV2" s="44"/>
      <c r="NW2" s="44"/>
      <c r="NX2" s="44"/>
      <c r="NY2" s="44"/>
      <c r="NZ2" s="44"/>
      <c r="OA2" s="44"/>
      <c r="OB2" s="44"/>
      <c r="OD2" s="44"/>
      <c r="OE2" s="44"/>
      <c r="OF2" s="44"/>
      <c r="OG2" s="44"/>
      <c r="OH2" s="44"/>
      <c r="OI2" s="44"/>
      <c r="OJ2" s="44"/>
      <c r="OL2" s="44"/>
      <c r="OM2" s="44"/>
      <c r="ON2" s="44"/>
      <c r="OO2" s="44"/>
      <c r="OP2" s="44"/>
      <c r="OQ2" s="44"/>
      <c r="OR2" s="44"/>
      <c r="OT2" s="44"/>
      <c r="OU2" s="44"/>
      <c r="OV2" s="44"/>
      <c r="OW2" s="44"/>
      <c r="OX2" s="44"/>
      <c r="OY2" s="44"/>
      <c r="OZ2" s="44"/>
      <c r="PB2" s="44"/>
      <c r="PC2" s="44"/>
      <c r="PD2" s="44"/>
      <c r="PE2" s="44"/>
      <c r="PF2" s="44"/>
      <c r="PG2" s="44"/>
      <c r="PH2" s="44"/>
      <c r="PJ2" s="44"/>
      <c r="PK2" s="44"/>
      <c r="PL2" s="44"/>
      <c r="PM2" s="44"/>
      <c r="PN2" s="44"/>
      <c r="PO2" s="44"/>
      <c r="PP2" s="44"/>
      <c r="PR2" s="44"/>
      <c r="PS2" s="44"/>
      <c r="PT2" s="44"/>
      <c r="PU2" s="44"/>
      <c r="PV2" s="44"/>
      <c r="PW2" s="44"/>
      <c r="PX2" s="44"/>
      <c r="PZ2" s="44"/>
      <c r="QA2" s="44"/>
      <c r="QB2" s="44"/>
      <c r="QC2" s="44"/>
      <c r="QD2" s="44"/>
      <c r="QE2" s="44"/>
      <c r="QF2" s="44"/>
      <c r="QH2" s="44"/>
      <c r="QI2" s="44"/>
      <c r="QJ2" s="44"/>
      <c r="QK2" s="44"/>
      <c r="QL2" s="44"/>
      <c r="QM2" s="44"/>
      <c r="QN2" s="44"/>
      <c r="QP2" s="44"/>
      <c r="QQ2" s="44"/>
      <c r="QR2" s="44"/>
      <c r="QS2" s="44"/>
      <c r="QT2" s="44"/>
      <c r="QU2" s="44"/>
      <c r="QV2" s="44"/>
      <c r="QX2" s="44"/>
      <c r="QY2" s="44"/>
      <c r="QZ2" s="44"/>
      <c r="RA2" s="44"/>
      <c r="RB2" s="44"/>
      <c r="RC2" s="44"/>
      <c r="RD2" s="44"/>
      <c r="RF2" s="44"/>
      <c r="RG2" s="44"/>
      <c r="RH2" s="44"/>
      <c r="RI2" s="44"/>
      <c r="RJ2" s="44"/>
      <c r="RK2" s="44"/>
      <c r="RL2" s="44"/>
      <c r="RN2" s="44"/>
      <c r="RO2" s="44"/>
      <c r="RP2" s="44"/>
      <c r="RQ2" s="44"/>
      <c r="RR2" s="44"/>
      <c r="RS2" s="44"/>
      <c r="RT2" s="44"/>
      <c r="RV2" s="44"/>
      <c r="RW2" s="44"/>
      <c r="RX2" s="44"/>
      <c r="RY2" s="44"/>
      <c r="RZ2" s="44"/>
      <c r="SA2" s="44"/>
      <c r="SB2" s="44"/>
      <c r="SD2" s="44"/>
      <c r="SE2" s="44"/>
      <c r="SF2" s="44"/>
      <c r="SG2" s="44"/>
      <c r="SH2" s="44"/>
      <c r="SI2" s="44"/>
      <c r="SJ2" s="44"/>
      <c r="SL2" s="44"/>
      <c r="SM2" s="44"/>
      <c r="SN2" s="44"/>
      <c r="SO2" s="44"/>
      <c r="SP2" s="44"/>
      <c r="SQ2" s="44"/>
      <c r="SR2" s="44"/>
      <c r="ST2" s="44"/>
      <c r="SU2" s="44"/>
      <c r="SV2" s="44"/>
      <c r="SW2" s="44"/>
      <c r="SX2" s="44"/>
      <c r="SY2" s="44"/>
      <c r="SZ2" s="44"/>
      <c r="TB2" s="44"/>
      <c r="TC2" s="44"/>
      <c r="TD2" s="44"/>
      <c r="TE2" s="44"/>
      <c r="TF2" s="44"/>
      <c r="TG2" s="44"/>
      <c r="TH2" s="44"/>
      <c r="TJ2" s="44"/>
      <c r="TK2" s="44"/>
      <c r="TL2" s="44"/>
      <c r="TM2" s="44"/>
      <c r="TN2" s="44"/>
      <c r="TO2" s="44"/>
      <c r="TP2" s="44"/>
      <c r="TR2" s="44"/>
      <c r="TS2" s="44"/>
      <c r="TT2" s="44"/>
      <c r="TU2" s="44"/>
      <c r="TV2" s="44"/>
      <c r="TW2" s="44"/>
      <c r="TX2" s="44"/>
      <c r="TZ2" s="44"/>
      <c r="UA2" s="44"/>
      <c r="UB2" s="44"/>
      <c r="UC2" s="44"/>
      <c r="UD2" s="44"/>
      <c r="UE2" s="44"/>
      <c r="UF2" s="44"/>
      <c r="UH2" s="44"/>
      <c r="UI2" s="44"/>
      <c r="UJ2" s="44"/>
      <c r="UK2" s="44"/>
      <c r="UL2" s="44"/>
      <c r="UM2" s="44"/>
      <c r="UN2" s="44"/>
      <c r="UP2" s="44"/>
      <c r="UQ2" s="44"/>
      <c r="UR2" s="44"/>
      <c r="US2" s="44"/>
      <c r="UT2" s="44"/>
      <c r="UU2" s="44"/>
      <c r="UV2" s="44"/>
      <c r="UX2" s="44"/>
      <c r="UY2" s="44"/>
      <c r="UZ2" s="44"/>
      <c r="VA2" s="44"/>
      <c r="VB2" s="44"/>
      <c r="VC2" s="44"/>
      <c r="VD2" s="44"/>
      <c r="VF2" s="44"/>
      <c r="VG2" s="44"/>
      <c r="VH2" s="44"/>
      <c r="VI2" s="44"/>
      <c r="VJ2" s="44"/>
      <c r="VK2" s="44"/>
      <c r="VL2" s="44"/>
      <c r="VN2" s="44"/>
      <c r="VO2" s="44"/>
      <c r="VP2" s="44"/>
      <c r="VQ2" s="44"/>
      <c r="VR2" s="44"/>
      <c r="VS2" s="44"/>
      <c r="VT2" s="44"/>
      <c r="VV2" s="44"/>
      <c r="VW2" s="44"/>
      <c r="VX2" s="44"/>
      <c r="VY2" s="44"/>
      <c r="VZ2" s="44"/>
      <c r="WA2" s="44"/>
      <c r="WB2" s="44"/>
      <c r="WD2" s="44"/>
      <c r="WE2" s="44"/>
      <c r="WF2" s="44"/>
      <c r="WG2" s="44"/>
      <c r="WH2" s="44"/>
      <c r="WI2" s="44"/>
      <c r="WJ2" s="44"/>
      <c r="WL2" s="44"/>
      <c r="WM2" s="44"/>
      <c r="WN2" s="44"/>
      <c r="WO2" s="44"/>
      <c r="WP2" s="44"/>
      <c r="WQ2" s="44"/>
      <c r="WR2" s="44"/>
      <c r="WT2" s="44"/>
      <c r="WU2" s="44"/>
      <c r="WV2" s="44"/>
      <c r="WW2" s="44"/>
      <c r="WX2" s="44"/>
      <c r="WY2" s="44"/>
      <c r="WZ2" s="44"/>
      <c r="XB2" s="44"/>
      <c r="XC2" s="44"/>
      <c r="XD2" s="44"/>
      <c r="XE2" s="44"/>
      <c r="XF2" s="44"/>
      <c r="XG2" s="44"/>
      <c r="XH2" s="44"/>
      <c r="XJ2" s="44"/>
      <c r="XK2" s="44"/>
      <c r="XL2" s="44"/>
      <c r="XM2" s="44"/>
      <c r="XN2" s="44"/>
      <c r="XO2" s="44"/>
      <c r="XP2" s="44"/>
      <c r="XR2" s="44"/>
      <c r="XS2" s="44"/>
      <c r="XT2" s="44"/>
      <c r="XU2" s="44"/>
      <c r="XV2" s="44"/>
      <c r="XW2" s="44"/>
      <c r="XX2" s="44"/>
      <c r="XZ2" s="44"/>
      <c r="YA2" s="44"/>
      <c r="YB2" s="44"/>
      <c r="YC2" s="44"/>
      <c r="YD2" s="44"/>
      <c r="YE2" s="44"/>
      <c r="YF2" s="44"/>
      <c r="YH2" s="44"/>
      <c r="YI2" s="44"/>
      <c r="YJ2" s="44"/>
      <c r="YK2" s="44"/>
      <c r="YL2" s="44"/>
      <c r="YM2" s="44"/>
      <c r="YN2" s="44"/>
      <c r="YP2" s="44"/>
      <c r="YQ2" s="44"/>
      <c r="YR2" s="44"/>
      <c r="YS2" s="44"/>
      <c r="YT2" s="44"/>
      <c r="YU2" s="44"/>
      <c r="YV2" s="44"/>
      <c r="YX2" s="44"/>
      <c r="YY2" s="44"/>
      <c r="YZ2" s="44"/>
      <c r="ZA2" s="44"/>
      <c r="ZB2" s="44"/>
      <c r="ZC2" s="44"/>
      <c r="ZD2" s="44"/>
      <c r="ZF2" s="44"/>
      <c r="ZG2" s="44"/>
      <c r="ZH2" s="44"/>
      <c r="ZI2" s="44"/>
      <c r="ZJ2" s="44"/>
      <c r="ZK2" s="44"/>
      <c r="ZL2" s="44"/>
      <c r="ZN2" s="44"/>
      <c r="ZO2" s="44"/>
      <c r="ZP2" s="44"/>
      <c r="ZQ2" s="44"/>
      <c r="ZR2" s="44"/>
      <c r="ZS2" s="44"/>
      <c r="ZT2" s="44"/>
      <c r="ZV2" s="44"/>
      <c r="ZW2" s="44"/>
      <c r="ZX2" s="44"/>
      <c r="ZY2" s="44"/>
      <c r="ZZ2" s="44"/>
      <c r="AAA2" s="44"/>
      <c r="AAB2" s="44"/>
      <c r="AAD2" s="44"/>
      <c r="AAE2" s="44"/>
      <c r="AAF2" s="44"/>
      <c r="AAG2" s="44"/>
      <c r="AAH2" s="44"/>
      <c r="AAI2" s="44"/>
      <c r="AAJ2" s="44"/>
      <c r="AAL2" s="44"/>
      <c r="AAM2" s="44"/>
      <c r="AAN2" s="44"/>
      <c r="AAO2" s="44"/>
      <c r="AAP2" s="44"/>
      <c r="AAQ2" s="44"/>
      <c r="AAR2" s="44"/>
      <c r="AAT2" s="44"/>
      <c r="AAU2" s="44"/>
      <c r="AAV2" s="44"/>
      <c r="AAW2" s="44"/>
      <c r="AAX2" s="44"/>
      <c r="AAY2" s="44"/>
      <c r="AAZ2" s="44"/>
      <c r="ABB2" s="44"/>
      <c r="ABC2" s="44"/>
      <c r="ABD2" s="44"/>
      <c r="ABE2" s="44"/>
      <c r="ABF2" s="44"/>
      <c r="ABG2" s="44"/>
      <c r="ABH2" s="44"/>
      <c r="ABJ2" s="44"/>
      <c r="ABK2" s="44"/>
      <c r="ABL2" s="44"/>
      <c r="ABM2" s="44"/>
      <c r="ABN2" s="44"/>
      <c r="ABO2" s="44"/>
      <c r="ABP2" s="44"/>
      <c r="ABR2" s="44"/>
      <c r="ABS2" s="44"/>
      <c r="ABT2" s="44"/>
      <c r="ABU2" s="44"/>
      <c r="ABV2" s="44"/>
      <c r="ABW2" s="44"/>
      <c r="ABX2" s="44"/>
      <c r="ABZ2" s="44"/>
      <c r="ACA2" s="44"/>
      <c r="ACB2" s="44"/>
      <c r="ACC2" s="44"/>
      <c r="ACD2" s="44"/>
      <c r="ACE2" s="44"/>
      <c r="ACF2" s="44"/>
      <c r="ACH2" s="44"/>
      <c r="ACI2" s="44"/>
      <c r="ACJ2" s="44"/>
      <c r="ACK2" s="44"/>
      <c r="ACL2" s="44"/>
      <c r="ACM2" s="44"/>
      <c r="ACN2" s="44"/>
      <c r="ACP2" s="44"/>
      <c r="ACQ2" s="44"/>
      <c r="ACR2" s="44"/>
      <c r="ACS2" s="44"/>
      <c r="ACT2" s="44"/>
      <c r="ACU2" s="44"/>
      <c r="ACV2" s="44"/>
      <c r="ACX2" s="44"/>
      <c r="ACY2" s="44"/>
      <c r="ACZ2" s="44"/>
      <c r="ADA2" s="44"/>
      <c r="ADB2" s="44"/>
      <c r="ADC2" s="44"/>
      <c r="ADD2" s="44"/>
      <c r="ADF2" s="44"/>
      <c r="ADG2" s="44"/>
      <c r="ADH2" s="44"/>
      <c r="ADI2" s="44"/>
      <c r="ADJ2" s="44"/>
      <c r="ADK2" s="44"/>
      <c r="ADL2" s="44"/>
      <c r="ADN2" s="44"/>
      <c r="ADO2" s="44"/>
      <c r="ADP2" s="44"/>
      <c r="ADQ2" s="44"/>
      <c r="ADR2" s="44"/>
      <c r="ADS2" s="44"/>
      <c r="ADT2" s="44"/>
      <c r="ADV2" s="44"/>
      <c r="ADW2" s="44"/>
      <c r="ADX2" s="44"/>
      <c r="ADY2" s="44"/>
      <c r="ADZ2" s="44"/>
      <c r="AEA2" s="44"/>
      <c r="AEB2" s="44"/>
      <c r="AED2" s="44"/>
      <c r="AEE2" s="44"/>
      <c r="AEF2" s="44"/>
      <c r="AEG2" s="44"/>
      <c r="AEH2" s="44"/>
      <c r="AEI2" s="44"/>
      <c r="AEJ2" s="44"/>
      <c r="AEL2" s="44"/>
      <c r="AEM2" s="44"/>
      <c r="AEN2" s="44"/>
      <c r="AEO2" s="44"/>
      <c r="AEP2" s="44"/>
      <c r="AEQ2" s="44"/>
      <c r="AER2" s="44"/>
      <c r="AET2" s="44"/>
      <c r="AEU2" s="44"/>
      <c r="AEV2" s="44"/>
      <c r="AEW2" s="44"/>
      <c r="AEX2" s="44"/>
      <c r="AEY2" s="44"/>
      <c r="AEZ2" s="44"/>
      <c r="AFB2" s="44"/>
      <c r="AFC2" s="44"/>
      <c r="AFD2" s="44"/>
      <c r="AFE2" s="44"/>
      <c r="AFF2" s="44"/>
      <c r="AFG2" s="44"/>
      <c r="AFH2" s="44"/>
      <c r="AFJ2" s="44"/>
      <c r="AFK2" s="44"/>
      <c r="AFL2" s="44"/>
      <c r="AFM2" s="44"/>
      <c r="AFN2" s="44"/>
      <c r="AFO2" s="44"/>
      <c r="AFP2" s="44"/>
      <c r="AFR2" s="44"/>
      <c r="AFS2" s="44"/>
      <c r="AFT2" s="44"/>
      <c r="AFU2" s="44"/>
      <c r="AFV2" s="44"/>
      <c r="AFW2" s="44"/>
      <c r="AFX2" s="44"/>
      <c r="AFZ2" s="44"/>
      <c r="AGA2" s="44"/>
      <c r="AGB2" s="44"/>
      <c r="AGC2" s="44"/>
      <c r="AGD2" s="44"/>
      <c r="AGE2" s="44"/>
      <c r="AGF2" s="44"/>
      <c r="AGH2" s="44"/>
      <c r="AGI2" s="44"/>
      <c r="AGJ2" s="44"/>
      <c r="AGK2" s="44"/>
      <c r="AGL2" s="44"/>
      <c r="AGM2" s="44"/>
      <c r="AGN2" s="44"/>
      <c r="AGP2" s="44"/>
      <c r="AGQ2" s="44"/>
      <c r="AGR2" s="44"/>
      <c r="AGS2" s="44"/>
      <c r="AGT2" s="44"/>
      <c r="AGU2" s="44"/>
      <c r="AGV2" s="44"/>
      <c r="AGX2" s="44"/>
      <c r="AGY2" s="44"/>
      <c r="AGZ2" s="44"/>
      <c r="AHA2" s="44"/>
      <c r="AHB2" s="44"/>
      <c r="AHC2" s="44"/>
      <c r="AHD2" s="44"/>
      <c r="AHF2" s="44"/>
      <c r="AHG2" s="44"/>
      <c r="AHH2" s="44"/>
      <c r="AHI2" s="44"/>
      <c r="AHJ2" s="44"/>
      <c r="AHK2" s="44"/>
      <c r="AHL2" s="44"/>
      <c r="AHN2" s="44"/>
      <c r="AHO2" s="44"/>
      <c r="AHP2" s="44"/>
      <c r="AHQ2" s="44"/>
      <c r="AHR2" s="44"/>
      <c r="AHS2" s="44"/>
      <c r="AHT2" s="44"/>
      <c r="AHV2" s="44"/>
      <c r="AHW2" s="44"/>
      <c r="AHX2" s="44"/>
      <c r="AHY2" s="44"/>
      <c r="AHZ2" s="44"/>
      <c r="AIA2" s="44"/>
      <c r="AIB2" s="44"/>
      <c r="AID2" s="44"/>
      <c r="AIE2" s="44"/>
      <c r="AIF2" s="44"/>
      <c r="AIG2" s="44"/>
      <c r="AIH2" s="44"/>
      <c r="AII2" s="44"/>
      <c r="AIJ2" s="44"/>
      <c r="AIL2" s="44"/>
      <c r="AIM2" s="44"/>
      <c r="AIN2" s="44"/>
      <c r="AIO2" s="44"/>
      <c r="AIP2" s="44"/>
      <c r="AIQ2" s="44"/>
      <c r="AIR2" s="44"/>
      <c r="AIT2" s="44"/>
      <c r="AIU2" s="44"/>
      <c r="AIV2" s="44"/>
      <c r="AIW2" s="44"/>
      <c r="AIX2" s="44"/>
      <c r="AIY2" s="44"/>
      <c r="AIZ2" s="44"/>
      <c r="AJB2" s="44"/>
      <c r="AJC2" s="44"/>
      <c r="AJD2" s="44"/>
      <c r="AJE2" s="44"/>
      <c r="AJF2" s="44"/>
      <c r="AJG2" s="44"/>
      <c r="AJH2" s="44"/>
      <c r="AJJ2" s="44"/>
      <c r="AJK2" s="44"/>
      <c r="AJL2" s="44"/>
      <c r="AJM2" s="44"/>
      <c r="AJN2" s="44"/>
      <c r="AJO2" s="44"/>
      <c r="AJP2" s="44"/>
      <c r="AJR2" s="44"/>
      <c r="AJS2" s="44"/>
      <c r="AJT2" s="44"/>
      <c r="AJU2" s="44"/>
      <c r="AJV2" s="44"/>
      <c r="AJW2" s="44"/>
      <c r="AJX2" s="44"/>
      <c r="AJZ2" s="44"/>
      <c r="AKA2" s="44"/>
      <c r="AKB2" s="44"/>
      <c r="AKC2" s="44"/>
      <c r="AKD2" s="44"/>
      <c r="AKE2" s="44"/>
      <c r="AKF2" s="44"/>
      <c r="AKH2" s="44"/>
      <c r="AKI2" s="44"/>
      <c r="AKJ2" s="44"/>
      <c r="AKK2" s="44"/>
      <c r="AKL2" s="44"/>
      <c r="AKM2" s="44"/>
      <c r="AKN2" s="44"/>
      <c r="AKP2" s="44"/>
      <c r="AKQ2" s="44"/>
      <c r="AKR2" s="44"/>
      <c r="AKS2" s="44"/>
      <c r="AKT2" s="44"/>
      <c r="AKU2" s="44"/>
      <c r="AKV2" s="44"/>
      <c r="AKX2" s="44"/>
      <c r="AKY2" s="44"/>
      <c r="AKZ2" s="44"/>
      <c r="ALA2" s="44"/>
      <c r="ALB2" s="44"/>
      <c r="ALC2" s="44"/>
      <c r="ALD2" s="44"/>
      <c r="ALF2" s="44"/>
      <c r="ALG2" s="44"/>
      <c r="ALH2" s="44"/>
      <c r="ALI2" s="44"/>
      <c r="ALJ2" s="44"/>
      <c r="ALK2" s="44"/>
      <c r="ALL2" s="44"/>
      <c r="ALN2" s="44"/>
      <c r="ALO2" s="44"/>
      <c r="ALP2" s="44"/>
      <c r="ALQ2" s="44"/>
      <c r="ALR2" s="44"/>
      <c r="ALS2" s="44"/>
      <c r="ALT2" s="44"/>
      <c r="ALV2" s="44"/>
      <c r="ALW2" s="44"/>
      <c r="ALX2" s="44"/>
      <c r="ALY2" s="44"/>
      <c r="ALZ2" s="44"/>
      <c r="AMA2" s="44"/>
      <c r="AMB2" s="44"/>
      <c r="AMD2" s="44"/>
      <c r="AME2" s="44"/>
      <c r="AMF2" s="44"/>
      <c r="AMG2" s="44"/>
      <c r="AMH2" s="44"/>
      <c r="AMI2" s="44"/>
      <c r="AMJ2" s="44"/>
      <c r="AML2" s="44"/>
      <c r="AMM2" s="44"/>
      <c r="AMN2" s="44"/>
      <c r="AMO2" s="44"/>
      <c r="AMP2" s="44"/>
      <c r="AMQ2" s="44"/>
      <c r="AMR2" s="44"/>
      <c r="AMT2" s="44"/>
      <c r="AMU2" s="44"/>
      <c r="AMV2" s="44"/>
      <c r="AMW2" s="44"/>
      <c r="AMX2" s="44"/>
      <c r="AMY2" s="44"/>
      <c r="AMZ2" s="44"/>
      <c r="ANB2" s="44"/>
      <c r="ANC2" s="44"/>
      <c r="AND2" s="44"/>
      <c r="ANE2" s="44"/>
      <c r="ANF2" s="44"/>
      <c r="ANG2" s="44"/>
      <c r="ANH2" s="44"/>
      <c r="ANJ2" s="44"/>
      <c r="ANK2" s="44"/>
      <c r="ANL2" s="44"/>
      <c r="ANM2" s="44"/>
      <c r="ANN2" s="44"/>
      <c r="ANO2" s="44"/>
      <c r="ANP2" s="44"/>
      <c r="ANR2" s="44"/>
      <c r="ANS2" s="44"/>
      <c r="ANT2" s="44"/>
      <c r="ANU2" s="44"/>
      <c r="ANV2" s="44"/>
      <c r="ANW2" s="44"/>
      <c r="ANX2" s="44"/>
      <c r="ANZ2" s="44"/>
      <c r="AOA2" s="44"/>
      <c r="AOB2" s="44"/>
      <c r="AOC2" s="44"/>
      <c r="AOD2" s="44"/>
      <c r="AOE2" s="44"/>
      <c r="AOF2" s="44"/>
      <c r="AOH2" s="44"/>
      <c r="AOI2" s="44"/>
      <c r="AOJ2" s="44"/>
      <c r="AOK2" s="44"/>
      <c r="AOL2" s="44"/>
      <c r="AOM2" s="44"/>
      <c r="AON2" s="44"/>
      <c r="AOP2" s="44"/>
      <c r="AOQ2" s="44"/>
      <c r="AOR2" s="44"/>
      <c r="AOS2" s="44"/>
      <c r="AOT2" s="44"/>
      <c r="AOU2" s="44"/>
      <c r="AOV2" s="44"/>
      <c r="AOX2" s="44"/>
      <c r="AOY2" s="44"/>
      <c r="AOZ2" s="44"/>
      <c r="APA2" s="44"/>
      <c r="APB2" s="44"/>
      <c r="APC2" s="44"/>
      <c r="APD2" s="44"/>
      <c r="APF2" s="44"/>
      <c r="APG2" s="44"/>
      <c r="APH2" s="44"/>
      <c r="API2" s="44"/>
      <c r="APJ2" s="44"/>
      <c r="APK2" s="44"/>
      <c r="APL2" s="44"/>
      <c r="APN2" s="44"/>
      <c r="APO2" s="44"/>
      <c r="APP2" s="44"/>
      <c r="APQ2" s="44"/>
      <c r="APR2" s="44"/>
      <c r="APS2" s="44"/>
      <c r="APT2" s="44"/>
      <c r="APV2" s="44"/>
      <c r="APW2" s="44"/>
      <c r="APX2" s="44"/>
      <c r="APY2" s="44"/>
      <c r="APZ2" s="44"/>
      <c r="AQA2" s="44"/>
      <c r="AQB2" s="44"/>
      <c r="AQD2" s="44"/>
      <c r="AQE2" s="44"/>
      <c r="AQF2" s="44"/>
      <c r="AQG2" s="44"/>
      <c r="AQH2" s="44"/>
      <c r="AQI2" s="44"/>
      <c r="AQJ2" s="44"/>
      <c r="AQL2" s="44"/>
      <c r="AQM2" s="44"/>
      <c r="AQN2" s="44"/>
      <c r="AQO2" s="44"/>
      <c r="AQP2" s="44"/>
      <c r="AQQ2" s="44"/>
      <c r="AQR2" s="44"/>
      <c r="AQT2" s="44"/>
      <c r="AQU2" s="44"/>
      <c r="AQV2" s="44"/>
      <c r="AQW2" s="44"/>
      <c r="AQX2" s="44"/>
      <c r="AQY2" s="44"/>
      <c r="AQZ2" s="44"/>
      <c r="ARB2" s="44"/>
      <c r="ARC2" s="44"/>
      <c r="ARD2" s="44"/>
      <c r="ARE2" s="44"/>
      <c r="ARF2" s="44"/>
      <c r="ARG2" s="44"/>
      <c r="ARH2" s="44"/>
      <c r="ARJ2" s="44"/>
      <c r="ARK2" s="44"/>
      <c r="ARL2" s="44"/>
      <c r="ARM2" s="44"/>
      <c r="ARN2" s="44"/>
      <c r="ARO2" s="44"/>
      <c r="ARP2" s="44"/>
      <c r="ARR2" s="44"/>
      <c r="ARS2" s="44"/>
      <c r="ART2" s="44"/>
      <c r="ARU2" s="44"/>
      <c r="ARV2" s="44"/>
      <c r="ARW2" s="44"/>
      <c r="ARX2" s="44"/>
      <c r="ARZ2" s="44"/>
      <c r="ASA2" s="44"/>
      <c r="ASB2" s="44"/>
      <c r="ASC2" s="44"/>
      <c r="ASD2" s="44"/>
      <c r="ASE2" s="44"/>
      <c r="ASF2" s="44"/>
      <c r="ASH2" s="44"/>
      <c r="ASI2" s="44"/>
      <c r="ASJ2" s="44"/>
      <c r="ASK2" s="44"/>
      <c r="ASL2" s="44"/>
      <c r="ASM2" s="44"/>
      <c r="ASN2" s="44"/>
      <c r="ASP2" s="44"/>
      <c r="ASQ2" s="44"/>
      <c r="ASR2" s="44"/>
      <c r="ASS2" s="44"/>
      <c r="AST2" s="44"/>
      <c r="ASU2" s="44"/>
      <c r="ASV2" s="44"/>
      <c r="ASX2" s="44"/>
      <c r="ASY2" s="44"/>
      <c r="ASZ2" s="44"/>
      <c r="ATA2" s="44"/>
      <c r="ATB2" s="44"/>
      <c r="ATC2" s="44"/>
      <c r="ATD2" s="44"/>
      <c r="ATF2" s="44"/>
      <c r="ATG2" s="44"/>
      <c r="ATH2" s="44"/>
      <c r="ATI2" s="44"/>
      <c r="ATJ2" s="44"/>
      <c r="ATK2" s="44"/>
      <c r="ATL2" s="44"/>
      <c r="ATN2" s="44"/>
      <c r="ATO2" s="44"/>
      <c r="ATP2" s="44"/>
      <c r="ATQ2" s="44"/>
      <c r="ATR2" s="44"/>
      <c r="ATS2" s="44"/>
      <c r="ATT2" s="44"/>
      <c r="ATV2" s="44"/>
      <c r="ATW2" s="44"/>
      <c r="ATX2" s="44"/>
      <c r="ATY2" s="44"/>
      <c r="ATZ2" s="44"/>
      <c r="AUA2" s="44"/>
      <c r="AUB2" s="44"/>
      <c r="AUD2" s="44"/>
      <c r="AUE2" s="44"/>
      <c r="AUF2" s="44"/>
      <c r="AUG2" s="44"/>
      <c r="AUH2" s="44"/>
      <c r="AUI2" s="44"/>
      <c r="AUJ2" s="44"/>
      <c r="AUL2" s="44"/>
      <c r="AUM2" s="44"/>
      <c r="AUN2" s="44"/>
      <c r="AUO2" s="44"/>
      <c r="AUP2" s="44"/>
      <c r="AUQ2" s="44"/>
      <c r="AUR2" s="44"/>
      <c r="AUT2" s="44"/>
      <c r="AUU2" s="44"/>
      <c r="AUV2" s="44"/>
      <c r="AUW2" s="44"/>
      <c r="AUX2" s="44"/>
      <c r="AUY2" s="44"/>
      <c r="AUZ2" s="44"/>
      <c r="AVB2" s="44"/>
      <c r="AVC2" s="44"/>
      <c r="AVD2" s="44"/>
      <c r="AVE2" s="44"/>
      <c r="AVF2" s="44"/>
      <c r="AVG2" s="44"/>
      <c r="AVH2" s="44"/>
      <c r="AVJ2" s="44"/>
      <c r="AVK2" s="44"/>
      <c r="AVL2" s="44"/>
      <c r="AVM2" s="44"/>
      <c r="AVN2" s="44"/>
      <c r="AVO2" s="44"/>
      <c r="AVP2" s="44"/>
      <c r="AVR2" s="44"/>
      <c r="AVS2" s="44"/>
      <c r="AVT2" s="44"/>
      <c r="AVU2" s="44"/>
      <c r="AVV2" s="44"/>
      <c r="AVW2" s="44"/>
      <c r="AVX2" s="44"/>
      <c r="AVZ2" s="44"/>
      <c r="AWA2" s="44"/>
      <c r="AWB2" s="44"/>
      <c r="AWC2" s="44"/>
      <c r="AWD2" s="44"/>
      <c r="AWE2" s="44"/>
      <c r="AWF2" s="44"/>
      <c r="AWH2" s="44"/>
      <c r="AWI2" s="44"/>
      <c r="AWJ2" s="44"/>
      <c r="AWK2" s="44"/>
      <c r="AWL2" s="44"/>
      <c r="AWM2" s="44"/>
      <c r="AWN2" s="44"/>
      <c r="AWP2" s="44"/>
      <c r="AWQ2" s="44"/>
      <c r="AWR2" s="44"/>
      <c r="AWS2" s="44"/>
      <c r="AWT2" s="44"/>
      <c r="AWU2" s="44"/>
      <c r="AWV2" s="44"/>
      <c r="AWX2" s="44"/>
      <c r="AWY2" s="44"/>
      <c r="AWZ2" s="44"/>
      <c r="AXA2" s="44"/>
      <c r="AXB2" s="44"/>
      <c r="AXC2" s="44"/>
      <c r="AXD2" s="44"/>
      <c r="AXF2" s="44"/>
      <c r="AXG2" s="44"/>
      <c r="AXH2" s="44"/>
      <c r="AXI2" s="44"/>
      <c r="AXJ2" s="44"/>
      <c r="AXK2" s="44"/>
      <c r="AXL2" s="44"/>
      <c r="AXN2" s="44"/>
      <c r="AXO2" s="44"/>
      <c r="AXP2" s="44"/>
      <c r="AXQ2" s="44"/>
      <c r="AXR2" s="44"/>
      <c r="AXS2" s="44"/>
      <c r="AXT2" s="44"/>
      <c r="AXV2" s="44"/>
      <c r="AXW2" s="44"/>
      <c r="AXX2" s="44"/>
      <c r="AXY2" s="44"/>
      <c r="AXZ2" s="44"/>
      <c r="AYA2" s="44"/>
      <c r="AYB2" s="44"/>
      <c r="AYD2" s="44"/>
      <c r="AYE2" s="44"/>
      <c r="AYF2" s="44"/>
      <c r="AYG2" s="44"/>
      <c r="AYH2" s="44"/>
      <c r="AYI2" s="44"/>
      <c r="AYJ2" s="44"/>
      <c r="AYL2" s="44"/>
      <c r="AYM2" s="44"/>
      <c r="AYN2" s="44"/>
      <c r="AYO2" s="44"/>
      <c r="AYP2" s="44"/>
      <c r="AYQ2" s="44"/>
      <c r="AYR2" s="44"/>
      <c r="AYT2" s="44"/>
      <c r="AYU2" s="44"/>
      <c r="AYV2" s="44"/>
      <c r="AYW2" s="44"/>
      <c r="AYX2" s="44"/>
      <c r="AYY2" s="44"/>
      <c r="AYZ2" s="44"/>
      <c r="AZB2" s="44"/>
      <c r="AZC2" s="44"/>
      <c r="AZD2" s="44"/>
      <c r="AZE2" s="44"/>
      <c r="AZF2" s="44"/>
      <c r="AZG2" s="44"/>
      <c r="AZH2" s="44"/>
      <c r="AZJ2" s="44"/>
      <c r="AZK2" s="44"/>
      <c r="AZL2" s="44"/>
      <c r="AZM2" s="44"/>
      <c r="AZN2" s="44"/>
      <c r="AZO2" s="44"/>
      <c r="AZP2" s="44"/>
      <c r="AZR2" s="44"/>
      <c r="AZS2" s="44"/>
      <c r="AZT2" s="44"/>
      <c r="AZU2" s="44"/>
      <c r="AZV2" s="44"/>
      <c r="AZW2" s="44"/>
      <c r="AZX2" s="44"/>
      <c r="AZZ2" s="44"/>
      <c r="BAA2" s="44"/>
      <c r="BAB2" s="44"/>
      <c r="BAC2" s="44"/>
      <c r="BAD2" s="44"/>
      <c r="BAE2" s="44"/>
      <c r="BAF2" s="44"/>
      <c r="BAH2" s="44"/>
      <c r="BAI2" s="44"/>
      <c r="BAJ2" s="44"/>
      <c r="BAK2" s="44"/>
      <c r="BAL2" s="44"/>
      <c r="BAM2" s="44"/>
      <c r="BAN2" s="44"/>
      <c r="BAP2" s="44"/>
      <c r="BAQ2" s="44"/>
      <c r="BAR2" s="44"/>
      <c r="BAS2" s="44"/>
      <c r="BAT2" s="44"/>
      <c r="BAU2" s="44"/>
      <c r="BAV2" s="44"/>
      <c r="BAX2" s="44"/>
      <c r="BAY2" s="44"/>
      <c r="BAZ2" s="44"/>
      <c r="BBA2" s="44"/>
      <c r="BBB2" s="44"/>
      <c r="BBC2" s="44"/>
      <c r="BBD2" s="44"/>
      <c r="BBF2" s="44"/>
      <c r="BBG2" s="44"/>
      <c r="BBH2" s="44"/>
      <c r="BBI2" s="44"/>
      <c r="BBJ2" s="44"/>
      <c r="BBK2" s="44"/>
      <c r="BBL2" s="44"/>
      <c r="BBN2" s="44"/>
      <c r="BBO2" s="44"/>
      <c r="BBP2" s="44"/>
      <c r="BBQ2" s="44"/>
      <c r="BBR2" s="44"/>
      <c r="BBS2" s="44"/>
      <c r="BBT2" s="44"/>
      <c r="BBV2" s="44"/>
      <c r="BBW2" s="44"/>
      <c r="BBX2" s="44"/>
      <c r="BBY2" s="44"/>
      <c r="BBZ2" s="44"/>
      <c r="BCA2" s="44"/>
      <c r="BCB2" s="44"/>
      <c r="BCD2" s="44"/>
      <c r="BCE2" s="44"/>
      <c r="BCF2" s="44"/>
      <c r="BCG2" s="44"/>
      <c r="BCH2" s="44"/>
      <c r="BCI2" s="44"/>
      <c r="BCJ2" s="44"/>
      <c r="BCL2" s="44"/>
      <c r="BCM2" s="44"/>
      <c r="BCN2" s="44"/>
      <c r="BCO2" s="44"/>
      <c r="BCP2" s="44"/>
      <c r="BCQ2" s="44"/>
      <c r="BCR2" s="44"/>
      <c r="BCT2" s="44"/>
      <c r="BCU2" s="44"/>
      <c r="BCV2" s="44"/>
      <c r="BCW2" s="44"/>
      <c r="BCX2" s="44"/>
      <c r="BCY2" s="44"/>
      <c r="BCZ2" s="44"/>
      <c r="BDB2" s="44"/>
      <c r="BDC2" s="44"/>
      <c r="BDD2" s="44"/>
      <c r="BDE2" s="44"/>
      <c r="BDF2" s="44"/>
      <c r="BDG2" s="44"/>
      <c r="BDH2" s="44"/>
      <c r="BDJ2" s="44"/>
      <c r="BDK2" s="44"/>
      <c r="BDL2" s="44"/>
      <c r="BDM2" s="44"/>
      <c r="BDN2" s="44"/>
      <c r="BDO2" s="44"/>
      <c r="BDP2" s="44"/>
      <c r="BDR2" s="44"/>
      <c r="BDS2" s="44"/>
      <c r="BDT2" s="44"/>
      <c r="BDU2" s="44"/>
      <c r="BDV2" s="44"/>
      <c r="BDW2" s="44"/>
      <c r="BDX2" s="44"/>
      <c r="BDZ2" s="44"/>
      <c r="BEA2" s="44"/>
      <c r="BEB2" s="44"/>
      <c r="BEC2" s="44"/>
      <c r="BED2" s="44"/>
      <c r="BEE2" s="44"/>
      <c r="BEF2" s="44"/>
      <c r="BEH2" s="44"/>
      <c r="BEI2" s="44"/>
      <c r="BEJ2" s="44"/>
      <c r="BEK2" s="44"/>
      <c r="BEL2" s="44"/>
      <c r="BEM2" s="44"/>
      <c r="BEN2" s="44"/>
      <c r="BEP2" s="44"/>
      <c r="BEQ2" s="44"/>
      <c r="BER2" s="44"/>
      <c r="BES2" s="44"/>
      <c r="BET2" s="44"/>
      <c r="BEU2" s="44"/>
      <c r="BEV2" s="44"/>
      <c r="BEX2" s="44"/>
      <c r="BEY2" s="44"/>
      <c r="BEZ2" s="44"/>
      <c r="BFA2" s="44"/>
      <c r="BFB2" s="44"/>
      <c r="BFC2" s="44"/>
      <c r="BFD2" s="44"/>
      <c r="BFF2" s="44"/>
      <c r="BFG2" s="44"/>
      <c r="BFH2" s="44"/>
      <c r="BFI2" s="44"/>
      <c r="BFJ2" s="44"/>
      <c r="BFK2" s="44"/>
      <c r="BFL2" s="44"/>
      <c r="BFN2" s="44"/>
      <c r="BFO2" s="44"/>
      <c r="BFP2" s="44"/>
      <c r="BFQ2" s="44"/>
      <c r="BFR2" s="44"/>
      <c r="BFS2" s="44"/>
      <c r="BFT2" s="44"/>
      <c r="BFV2" s="44"/>
      <c r="BFW2" s="44"/>
      <c r="BFX2" s="44"/>
      <c r="BFY2" s="44"/>
      <c r="BFZ2" s="44"/>
      <c r="BGA2" s="44"/>
      <c r="BGB2" s="44"/>
      <c r="BGD2" s="44"/>
      <c r="BGE2" s="44"/>
      <c r="BGF2" s="44"/>
      <c r="BGG2" s="44"/>
      <c r="BGH2" s="44"/>
      <c r="BGI2" s="44"/>
      <c r="BGJ2" s="44"/>
      <c r="BGL2" s="44"/>
      <c r="BGM2" s="44"/>
      <c r="BGN2" s="44"/>
      <c r="BGO2" s="44"/>
      <c r="BGP2" s="44"/>
      <c r="BGQ2" s="44"/>
      <c r="BGR2" s="44"/>
      <c r="BGT2" s="44"/>
      <c r="BGU2" s="44"/>
      <c r="BGV2" s="44"/>
      <c r="BGW2" s="44"/>
      <c r="BGX2" s="44"/>
      <c r="BGY2" s="44"/>
      <c r="BGZ2" s="44"/>
      <c r="BHB2" s="44"/>
      <c r="BHC2" s="44"/>
      <c r="BHD2" s="44"/>
      <c r="BHE2" s="44"/>
      <c r="BHF2" s="44"/>
      <c r="BHG2" s="44"/>
      <c r="BHH2" s="44"/>
      <c r="BHJ2" s="44"/>
      <c r="BHK2" s="44"/>
      <c r="BHL2" s="44"/>
      <c r="BHM2" s="44"/>
      <c r="BHN2" s="44"/>
      <c r="BHO2" s="44"/>
      <c r="BHP2" s="44"/>
      <c r="BHR2" s="44"/>
      <c r="BHS2" s="44"/>
      <c r="BHT2" s="44"/>
      <c r="BHU2" s="44"/>
      <c r="BHV2" s="44"/>
      <c r="BHW2" s="44"/>
      <c r="BHX2" s="44"/>
      <c r="BHZ2" s="44"/>
      <c r="BIA2" s="44"/>
      <c r="BIB2" s="44"/>
      <c r="BIC2" s="44"/>
      <c r="BID2" s="44"/>
      <c r="BIE2" s="44"/>
      <c r="BIF2" s="44"/>
      <c r="BIH2" s="44"/>
      <c r="BII2" s="44"/>
      <c r="BIJ2" s="44"/>
      <c r="BIK2" s="44"/>
      <c r="BIL2" s="44"/>
      <c r="BIM2" s="44"/>
      <c r="BIN2" s="44"/>
      <c r="BIP2" s="44"/>
      <c r="BIQ2" s="44"/>
      <c r="BIR2" s="44"/>
      <c r="BIS2" s="44"/>
      <c r="BIT2" s="44"/>
      <c r="BIU2" s="44"/>
      <c r="BIV2" s="44"/>
      <c r="BIX2" s="44"/>
      <c r="BIY2" s="44"/>
      <c r="BIZ2" s="44"/>
      <c r="BJA2" s="44"/>
      <c r="BJB2" s="44"/>
      <c r="BJC2" s="44"/>
      <c r="BJD2" s="44"/>
      <c r="BJF2" s="44"/>
      <c r="BJG2" s="44"/>
      <c r="BJH2" s="44"/>
      <c r="BJI2" s="44"/>
      <c r="BJJ2" s="44"/>
      <c r="BJK2" s="44"/>
      <c r="BJL2" s="44"/>
      <c r="BJN2" s="44"/>
      <c r="BJO2" s="44"/>
      <c r="BJP2" s="44"/>
      <c r="BJQ2" s="44"/>
      <c r="BJR2" s="44"/>
      <c r="BJS2" s="44"/>
      <c r="BJT2" s="44"/>
      <c r="BJV2" s="44"/>
      <c r="BJW2" s="44"/>
      <c r="BJX2" s="44"/>
      <c r="BJY2" s="44"/>
      <c r="BJZ2" s="44"/>
      <c r="BKA2" s="44"/>
      <c r="BKB2" s="44"/>
      <c r="BKD2" s="44"/>
      <c r="BKE2" s="44"/>
      <c r="BKF2" s="44"/>
      <c r="BKG2" s="44"/>
      <c r="BKH2" s="44"/>
      <c r="BKI2" s="44"/>
      <c r="BKJ2" s="44"/>
      <c r="BKL2" s="44"/>
      <c r="BKM2" s="44"/>
      <c r="BKN2" s="44"/>
      <c r="BKO2" s="44"/>
      <c r="BKP2" s="44"/>
      <c r="BKQ2" s="44"/>
      <c r="BKR2" s="44"/>
      <c r="BKT2" s="44"/>
      <c r="BKU2" s="44"/>
      <c r="BKV2" s="44"/>
      <c r="BKW2" s="44"/>
      <c r="BKX2" s="44"/>
      <c r="BKY2" s="44"/>
      <c r="BKZ2" s="44"/>
      <c r="BLB2" s="44"/>
      <c r="BLC2" s="44"/>
      <c r="BLD2" s="44"/>
      <c r="BLE2" s="44"/>
      <c r="BLF2" s="44"/>
      <c r="BLG2" s="44"/>
      <c r="BLH2" s="44"/>
      <c r="BLJ2" s="44"/>
      <c r="BLK2" s="44"/>
      <c r="BLL2" s="44"/>
      <c r="BLM2" s="44"/>
      <c r="BLN2" s="44"/>
      <c r="BLO2" s="44"/>
      <c r="BLP2" s="44"/>
      <c r="BLR2" s="44"/>
      <c r="BLS2" s="44"/>
      <c r="BLT2" s="44"/>
      <c r="BLU2" s="44"/>
      <c r="BLV2" s="44"/>
      <c r="BLW2" s="44"/>
      <c r="BLX2" s="44"/>
      <c r="BLZ2" s="44"/>
      <c r="BMA2" s="44"/>
      <c r="BMB2" s="44"/>
      <c r="BMC2" s="44"/>
      <c r="BMD2" s="44"/>
      <c r="BME2" s="44"/>
      <c r="BMF2" s="44"/>
      <c r="BMH2" s="44"/>
      <c r="BMI2" s="44"/>
      <c r="BMJ2" s="44"/>
      <c r="BMK2" s="44"/>
      <c r="BML2" s="44"/>
      <c r="BMM2" s="44"/>
      <c r="BMN2" s="44"/>
      <c r="BMP2" s="44"/>
      <c r="BMQ2" s="44"/>
      <c r="BMR2" s="44"/>
      <c r="BMS2" s="44"/>
      <c r="BMT2" s="44"/>
      <c r="BMU2" s="44"/>
      <c r="BMV2" s="44"/>
      <c r="BMX2" s="44"/>
      <c r="BMY2" s="44"/>
      <c r="BMZ2" s="44"/>
      <c r="BNA2" s="44"/>
      <c r="BNB2" s="44"/>
      <c r="BNC2" s="44"/>
      <c r="BND2" s="44"/>
      <c r="BNF2" s="44"/>
      <c r="BNG2" s="44"/>
      <c r="BNH2" s="44"/>
      <c r="BNI2" s="44"/>
      <c r="BNJ2" s="44"/>
      <c r="BNK2" s="44"/>
      <c r="BNL2" s="44"/>
      <c r="BNN2" s="44"/>
      <c r="BNO2" s="44"/>
      <c r="BNP2" s="44"/>
      <c r="BNQ2" s="44"/>
      <c r="BNR2" s="44"/>
      <c r="BNS2" s="44"/>
      <c r="BNT2" s="44"/>
      <c r="BNV2" s="44"/>
      <c r="BNW2" s="44"/>
      <c r="BNX2" s="44"/>
      <c r="BNY2" s="44"/>
      <c r="BNZ2" s="44"/>
      <c r="BOA2" s="44"/>
      <c r="BOB2" s="44"/>
      <c r="BOD2" s="44"/>
      <c r="BOE2" s="44"/>
      <c r="BOF2" s="44"/>
      <c r="BOG2" s="44"/>
      <c r="BOH2" s="44"/>
      <c r="BOI2" s="44"/>
      <c r="BOJ2" s="44"/>
      <c r="BOL2" s="44"/>
      <c r="BOM2" s="44"/>
      <c r="BON2" s="44"/>
      <c r="BOO2" s="44"/>
      <c r="BOP2" s="44"/>
      <c r="BOQ2" s="44"/>
      <c r="BOR2" s="44"/>
      <c r="BOT2" s="44"/>
      <c r="BOU2" s="44"/>
      <c r="BOV2" s="44"/>
      <c r="BOW2" s="44"/>
      <c r="BOX2" s="44"/>
      <c r="BOY2" s="44"/>
      <c r="BOZ2" s="44"/>
      <c r="BPB2" s="44"/>
      <c r="BPC2" s="44"/>
      <c r="BPD2" s="44"/>
      <c r="BPE2" s="44"/>
      <c r="BPF2" s="44"/>
      <c r="BPG2" s="44"/>
      <c r="BPH2" s="44"/>
      <c r="BPJ2" s="44"/>
      <c r="BPK2" s="44"/>
      <c r="BPL2" s="44"/>
      <c r="BPM2" s="44"/>
      <c r="BPN2" s="44"/>
      <c r="BPO2" s="44"/>
      <c r="BPP2" s="44"/>
      <c r="BPR2" s="44"/>
      <c r="BPS2" s="44"/>
      <c r="BPT2" s="44"/>
      <c r="BPU2" s="44"/>
      <c r="BPV2" s="44"/>
      <c r="BPW2" s="44"/>
      <c r="BPX2" s="44"/>
      <c r="BPZ2" s="44"/>
      <c r="BQA2" s="44"/>
      <c r="BQB2" s="44"/>
      <c r="BQC2" s="44"/>
      <c r="BQD2" s="44"/>
      <c r="BQE2" s="44"/>
      <c r="BQF2" s="44"/>
      <c r="BQH2" s="44"/>
      <c r="BQI2" s="44"/>
      <c r="BQJ2" s="44"/>
      <c r="BQK2" s="44"/>
      <c r="BQL2" s="44"/>
      <c r="BQM2" s="44"/>
      <c r="BQN2" s="44"/>
      <c r="BQP2" s="44"/>
      <c r="BQQ2" s="44"/>
      <c r="BQR2" s="44"/>
      <c r="BQS2" s="44"/>
      <c r="BQT2" s="44"/>
      <c r="BQU2" s="44"/>
      <c r="BQV2" s="44"/>
      <c r="BQX2" s="44"/>
      <c r="BQY2" s="44"/>
      <c r="BQZ2" s="44"/>
      <c r="BRA2" s="44"/>
      <c r="BRB2" s="44"/>
      <c r="BRC2" s="44"/>
      <c r="BRD2" s="44"/>
      <c r="BRF2" s="44"/>
      <c r="BRG2" s="44"/>
      <c r="BRH2" s="44"/>
      <c r="BRI2" s="44"/>
      <c r="BRJ2" s="44"/>
      <c r="BRK2" s="44"/>
      <c r="BRL2" s="44"/>
      <c r="BRN2" s="44"/>
      <c r="BRO2" s="44"/>
      <c r="BRP2" s="44"/>
      <c r="BRQ2" s="44"/>
      <c r="BRR2" s="44"/>
      <c r="BRS2" s="44"/>
      <c r="BRT2" s="44"/>
      <c r="BRV2" s="44"/>
      <c r="BRW2" s="44"/>
      <c r="BRX2" s="44"/>
      <c r="BRY2" s="44"/>
      <c r="BRZ2" s="44"/>
      <c r="BSA2" s="44"/>
      <c r="BSB2" s="44"/>
      <c r="BSD2" s="44"/>
      <c r="BSE2" s="44"/>
      <c r="BSF2" s="44"/>
      <c r="BSG2" s="44"/>
      <c r="BSH2" s="44"/>
      <c r="BSI2" s="44"/>
      <c r="BSJ2" s="44"/>
      <c r="BSL2" s="44"/>
      <c r="BSM2" s="44"/>
      <c r="BSN2" s="44"/>
      <c r="BSO2" s="44"/>
      <c r="BSP2" s="44"/>
      <c r="BSQ2" s="44"/>
      <c r="BSR2" s="44"/>
      <c r="BST2" s="44"/>
      <c r="BSU2" s="44"/>
      <c r="BSV2" s="44"/>
      <c r="BSW2" s="44"/>
      <c r="BSX2" s="44"/>
      <c r="BSY2" s="44"/>
      <c r="BSZ2" s="44"/>
      <c r="BTB2" s="44"/>
      <c r="BTC2" s="44"/>
      <c r="BTD2" s="44"/>
      <c r="BTE2" s="44"/>
      <c r="BTF2" s="44"/>
      <c r="BTG2" s="44"/>
      <c r="BTH2" s="44"/>
      <c r="BTJ2" s="44"/>
      <c r="BTK2" s="44"/>
      <c r="BTL2" s="44"/>
      <c r="BTM2" s="44"/>
      <c r="BTN2" s="44"/>
      <c r="BTO2" s="44"/>
      <c r="BTP2" s="44"/>
      <c r="BTR2" s="44"/>
      <c r="BTS2" s="44"/>
      <c r="BTT2" s="44"/>
      <c r="BTU2" s="44"/>
      <c r="BTV2" s="44"/>
      <c r="BTW2" s="44"/>
      <c r="BTX2" s="44"/>
      <c r="BTZ2" s="44"/>
      <c r="BUA2" s="44"/>
      <c r="BUB2" s="44"/>
      <c r="BUC2" s="44"/>
      <c r="BUD2" s="44"/>
      <c r="BUE2" s="44"/>
      <c r="BUF2" s="44"/>
      <c r="BUH2" s="44"/>
      <c r="BUI2" s="44"/>
      <c r="BUJ2" s="44"/>
      <c r="BUK2" s="44"/>
      <c r="BUL2" s="44"/>
      <c r="BUM2" s="44"/>
      <c r="BUN2" s="44"/>
      <c r="BUP2" s="44"/>
      <c r="BUQ2" s="44"/>
      <c r="BUR2" s="44"/>
      <c r="BUS2" s="44"/>
      <c r="BUT2" s="44"/>
      <c r="BUU2" s="44"/>
      <c r="BUV2" s="44"/>
      <c r="BUX2" s="44"/>
      <c r="BUY2" s="44"/>
      <c r="BUZ2" s="44"/>
      <c r="BVA2" s="44"/>
      <c r="BVB2" s="44"/>
      <c r="BVC2" s="44"/>
      <c r="BVD2" s="44"/>
      <c r="BVF2" s="44"/>
      <c r="BVG2" s="44"/>
      <c r="BVH2" s="44"/>
      <c r="BVI2" s="44"/>
      <c r="BVJ2" s="44"/>
      <c r="BVK2" s="44"/>
      <c r="BVL2" s="44"/>
      <c r="BVN2" s="44"/>
      <c r="BVO2" s="44"/>
      <c r="BVP2" s="44"/>
      <c r="BVQ2" s="44"/>
      <c r="BVR2" s="44"/>
      <c r="BVS2" s="44"/>
      <c r="BVT2" s="44"/>
      <c r="BVV2" s="44"/>
      <c r="BVW2" s="44"/>
      <c r="BVX2" s="44"/>
      <c r="BVY2" s="44"/>
      <c r="BVZ2" s="44"/>
      <c r="BWA2" s="44"/>
      <c r="BWB2" s="44"/>
      <c r="BWD2" s="44"/>
      <c r="BWE2" s="44"/>
      <c r="BWF2" s="44"/>
      <c r="BWG2" s="44"/>
      <c r="BWH2" s="44"/>
      <c r="BWI2" s="44"/>
      <c r="BWJ2" s="44"/>
      <c r="BWL2" s="44"/>
      <c r="BWM2" s="44"/>
      <c r="BWN2" s="44"/>
      <c r="BWO2" s="44"/>
      <c r="BWP2" s="44"/>
      <c r="BWQ2" s="44"/>
      <c r="BWR2" s="44"/>
      <c r="BWT2" s="44"/>
      <c r="BWU2" s="44"/>
      <c r="BWV2" s="44"/>
      <c r="BWW2" s="44"/>
      <c r="BWX2" s="44"/>
      <c r="BWY2" s="44"/>
      <c r="BWZ2" s="44"/>
      <c r="BXB2" s="44"/>
      <c r="BXC2" s="44"/>
      <c r="BXD2" s="44"/>
      <c r="BXE2" s="44"/>
      <c r="BXF2" s="44"/>
      <c r="BXG2" s="44"/>
      <c r="BXH2" s="44"/>
      <c r="BXJ2" s="44"/>
      <c r="BXK2" s="44"/>
      <c r="BXL2" s="44"/>
      <c r="BXM2" s="44"/>
      <c r="BXN2" s="44"/>
      <c r="BXO2" s="44"/>
      <c r="BXP2" s="44"/>
      <c r="BXR2" s="44"/>
      <c r="BXS2" s="44"/>
      <c r="BXT2" s="44"/>
      <c r="BXU2" s="44"/>
      <c r="BXV2" s="44"/>
      <c r="BXW2" s="44"/>
      <c r="BXX2" s="44"/>
      <c r="BXZ2" s="44"/>
      <c r="BYA2" s="44"/>
      <c r="BYB2" s="44"/>
      <c r="BYC2" s="44"/>
      <c r="BYD2" s="44"/>
      <c r="BYE2" s="44"/>
      <c r="BYF2" s="44"/>
      <c r="BYH2" s="44"/>
      <c r="BYI2" s="44"/>
      <c r="BYJ2" s="44"/>
      <c r="BYK2" s="44"/>
      <c r="BYL2" s="44"/>
      <c r="BYM2" s="44"/>
      <c r="BYN2" s="44"/>
      <c r="BYP2" s="44"/>
      <c r="BYQ2" s="44"/>
      <c r="BYR2" s="44"/>
      <c r="BYS2" s="44"/>
      <c r="BYT2" s="44"/>
      <c r="BYU2" s="44"/>
      <c r="BYV2" s="44"/>
      <c r="BYX2" s="44"/>
      <c r="BYY2" s="44"/>
      <c r="BYZ2" s="44"/>
      <c r="BZA2" s="44"/>
      <c r="BZB2" s="44"/>
      <c r="BZC2" s="44"/>
      <c r="BZD2" s="44"/>
      <c r="BZF2" s="44"/>
      <c r="BZG2" s="44"/>
      <c r="BZH2" s="44"/>
      <c r="BZI2" s="44"/>
      <c r="BZJ2" s="44"/>
      <c r="BZK2" s="44"/>
      <c r="BZL2" s="44"/>
      <c r="BZN2" s="44"/>
      <c r="BZO2" s="44"/>
      <c r="BZP2" s="44"/>
      <c r="BZQ2" s="44"/>
      <c r="BZR2" s="44"/>
      <c r="BZS2" s="44"/>
      <c r="BZT2" s="44"/>
      <c r="BZV2" s="44"/>
      <c r="BZW2" s="44"/>
      <c r="BZX2" s="44"/>
      <c r="BZY2" s="44"/>
      <c r="BZZ2" s="44"/>
      <c r="CAA2" s="44"/>
      <c r="CAB2" s="44"/>
      <c r="CAD2" s="44"/>
      <c r="CAE2" s="44"/>
      <c r="CAF2" s="44"/>
      <c r="CAG2" s="44"/>
      <c r="CAH2" s="44"/>
      <c r="CAI2" s="44"/>
      <c r="CAJ2" s="44"/>
      <c r="CAL2" s="44"/>
      <c r="CAM2" s="44"/>
      <c r="CAN2" s="44"/>
      <c r="CAO2" s="44"/>
      <c r="CAP2" s="44"/>
      <c r="CAQ2" s="44"/>
      <c r="CAR2" s="44"/>
      <c r="CAT2" s="44"/>
      <c r="CAU2" s="44"/>
      <c r="CAV2" s="44"/>
      <c r="CAW2" s="44"/>
      <c r="CAX2" s="44"/>
      <c r="CAY2" s="44"/>
      <c r="CAZ2" s="44"/>
      <c r="CBB2" s="44"/>
      <c r="CBC2" s="44"/>
      <c r="CBD2" s="44"/>
      <c r="CBE2" s="44"/>
      <c r="CBF2" s="44"/>
      <c r="CBG2" s="44"/>
      <c r="CBH2" s="44"/>
      <c r="CBJ2" s="44"/>
      <c r="CBK2" s="44"/>
      <c r="CBL2" s="44"/>
      <c r="CBM2" s="44"/>
      <c r="CBN2" s="44"/>
      <c r="CBO2" s="44"/>
      <c r="CBP2" s="44"/>
      <c r="CBR2" s="44"/>
      <c r="CBS2" s="44"/>
      <c r="CBT2" s="44"/>
      <c r="CBU2" s="44"/>
      <c r="CBV2" s="44"/>
      <c r="CBW2" s="44"/>
      <c r="CBX2" s="44"/>
      <c r="CBZ2" s="44"/>
      <c r="CCA2" s="44"/>
      <c r="CCB2" s="44"/>
      <c r="CCC2" s="44"/>
      <c r="CCD2" s="44"/>
      <c r="CCE2" s="44"/>
      <c r="CCF2" s="44"/>
      <c r="CCH2" s="44"/>
      <c r="CCI2" s="44"/>
      <c r="CCJ2" s="44"/>
      <c r="CCK2" s="44"/>
      <c r="CCL2" s="44"/>
      <c r="CCM2" s="44"/>
      <c r="CCN2" s="44"/>
      <c r="CCP2" s="44"/>
      <c r="CCQ2" s="44"/>
      <c r="CCR2" s="44"/>
      <c r="CCS2" s="44"/>
      <c r="CCT2" s="44"/>
      <c r="CCU2" s="44"/>
      <c r="CCV2" s="44"/>
      <c r="CCX2" s="44"/>
      <c r="CCY2" s="44"/>
      <c r="CCZ2" s="44"/>
      <c r="CDA2" s="44"/>
      <c r="CDB2" s="44"/>
      <c r="CDC2" s="44"/>
      <c r="CDD2" s="44"/>
      <c r="CDF2" s="44"/>
      <c r="CDG2" s="44"/>
      <c r="CDH2" s="44"/>
      <c r="CDI2" s="44"/>
      <c r="CDJ2" s="44"/>
      <c r="CDK2" s="44"/>
      <c r="CDL2" s="44"/>
      <c r="CDN2" s="44"/>
      <c r="CDO2" s="44"/>
      <c r="CDP2" s="44"/>
      <c r="CDQ2" s="44"/>
      <c r="CDR2" s="44"/>
      <c r="CDS2" s="44"/>
      <c r="CDT2" s="44"/>
      <c r="CDV2" s="44"/>
      <c r="CDW2" s="44"/>
      <c r="CDX2" s="44"/>
      <c r="CDY2" s="44"/>
      <c r="CDZ2" s="44"/>
      <c r="CEA2" s="44"/>
      <c r="CEB2" s="44"/>
      <c r="CED2" s="44"/>
      <c r="CEE2" s="44"/>
      <c r="CEF2" s="44"/>
      <c r="CEG2" s="44"/>
      <c r="CEH2" s="44"/>
      <c r="CEI2" s="44"/>
      <c r="CEJ2" s="44"/>
      <c r="CEL2" s="44"/>
      <c r="CEM2" s="44"/>
      <c r="CEN2" s="44"/>
      <c r="CEO2" s="44"/>
      <c r="CEP2" s="44"/>
      <c r="CEQ2" s="44"/>
      <c r="CER2" s="44"/>
      <c r="CET2" s="44"/>
      <c r="CEU2" s="44"/>
      <c r="CEV2" s="44"/>
      <c r="CEW2" s="44"/>
      <c r="CEX2" s="44"/>
      <c r="CEY2" s="44"/>
      <c r="CEZ2" s="44"/>
      <c r="CFB2" s="44"/>
      <c r="CFC2" s="44"/>
      <c r="CFD2" s="44"/>
      <c r="CFE2" s="44"/>
      <c r="CFF2" s="44"/>
      <c r="CFG2" s="44"/>
      <c r="CFH2" s="44"/>
      <c r="CFJ2" s="44"/>
      <c r="CFK2" s="44"/>
      <c r="CFL2" s="44"/>
      <c r="CFM2" s="44"/>
      <c r="CFN2" s="44"/>
      <c r="CFO2" s="44"/>
      <c r="CFP2" s="44"/>
      <c r="CFR2" s="44"/>
      <c r="CFS2" s="44"/>
      <c r="CFT2" s="44"/>
      <c r="CFU2" s="44"/>
      <c r="CFV2" s="44"/>
      <c r="CFW2" s="44"/>
      <c r="CFX2" s="44"/>
      <c r="CFZ2" s="44"/>
      <c r="CGA2" s="44"/>
      <c r="CGB2" s="44"/>
      <c r="CGC2" s="44"/>
      <c r="CGD2" s="44"/>
      <c r="CGE2" s="44"/>
      <c r="CGF2" s="44"/>
      <c r="CGH2" s="44"/>
      <c r="CGI2" s="44"/>
      <c r="CGJ2" s="44"/>
      <c r="CGK2" s="44"/>
      <c r="CGL2" s="44"/>
      <c r="CGM2" s="44"/>
      <c r="CGN2" s="44"/>
      <c r="CGP2" s="44"/>
      <c r="CGQ2" s="44"/>
      <c r="CGR2" s="44"/>
      <c r="CGS2" s="44"/>
      <c r="CGT2" s="44"/>
      <c r="CGU2" s="44"/>
      <c r="CGV2" s="44"/>
      <c r="CGX2" s="44"/>
      <c r="CGY2" s="44"/>
      <c r="CGZ2" s="44"/>
      <c r="CHA2" s="44"/>
      <c r="CHB2" s="44"/>
      <c r="CHC2" s="44"/>
      <c r="CHD2" s="44"/>
      <c r="CHF2" s="44"/>
      <c r="CHG2" s="44"/>
      <c r="CHH2" s="44"/>
      <c r="CHI2" s="44"/>
      <c r="CHJ2" s="44"/>
      <c r="CHK2" s="44"/>
      <c r="CHL2" s="44"/>
      <c r="CHN2" s="44"/>
      <c r="CHO2" s="44"/>
      <c r="CHP2" s="44"/>
      <c r="CHQ2" s="44"/>
      <c r="CHR2" s="44"/>
      <c r="CHS2" s="44"/>
      <c r="CHT2" s="44"/>
      <c r="CHV2" s="44"/>
      <c r="CHW2" s="44"/>
      <c r="CHX2" s="44"/>
      <c r="CHY2" s="44"/>
      <c r="CHZ2" s="44"/>
      <c r="CIA2" s="44"/>
      <c r="CIB2" s="44"/>
      <c r="CID2" s="44"/>
      <c r="CIE2" s="44"/>
      <c r="CIF2" s="44"/>
      <c r="CIG2" s="44"/>
      <c r="CIH2" s="44"/>
      <c r="CII2" s="44"/>
      <c r="CIJ2" s="44"/>
      <c r="CIL2" s="44"/>
      <c r="CIM2" s="44"/>
      <c r="CIN2" s="44"/>
      <c r="CIO2" s="44"/>
      <c r="CIP2" s="44"/>
      <c r="CIQ2" s="44"/>
      <c r="CIR2" s="44"/>
      <c r="CIT2" s="44"/>
      <c r="CIU2" s="44"/>
      <c r="CIV2" s="44"/>
      <c r="CIW2" s="44"/>
      <c r="CIX2" s="44"/>
      <c r="CIY2" s="44"/>
      <c r="CIZ2" s="44"/>
      <c r="CJB2" s="44"/>
      <c r="CJC2" s="44"/>
      <c r="CJD2" s="44"/>
      <c r="CJE2" s="44"/>
      <c r="CJF2" s="44"/>
      <c r="CJG2" s="44"/>
      <c r="CJH2" s="44"/>
      <c r="CJJ2" s="44"/>
      <c r="CJK2" s="44"/>
      <c r="CJL2" s="44"/>
      <c r="CJM2" s="44"/>
      <c r="CJN2" s="44"/>
      <c r="CJO2" s="44"/>
      <c r="CJP2" s="44"/>
      <c r="CJR2" s="44"/>
      <c r="CJS2" s="44"/>
      <c r="CJT2" s="44"/>
      <c r="CJU2" s="44"/>
      <c r="CJV2" s="44"/>
      <c r="CJW2" s="44"/>
      <c r="CJX2" s="44"/>
      <c r="CJZ2" s="44"/>
      <c r="CKA2" s="44"/>
      <c r="CKB2" s="44"/>
      <c r="CKC2" s="44"/>
      <c r="CKD2" s="44"/>
      <c r="CKE2" s="44"/>
      <c r="CKF2" s="44"/>
      <c r="CKH2" s="44"/>
      <c r="CKI2" s="44"/>
      <c r="CKJ2" s="44"/>
      <c r="CKK2" s="44"/>
      <c r="CKL2" s="44"/>
      <c r="CKM2" s="44"/>
      <c r="CKN2" s="44"/>
      <c r="CKP2" s="44"/>
      <c r="CKQ2" s="44"/>
      <c r="CKR2" s="44"/>
      <c r="CKS2" s="44"/>
      <c r="CKT2" s="44"/>
      <c r="CKU2" s="44"/>
      <c r="CKV2" s="44"/>
      <c r="CKX2" s="44"/>
      <c r="CKY2" s="44"/>
      <c r="CKZ2" s="44"/>
      <c r="CLA2" s="44"/>
      <c r="CLB2" s="44"/>
      <c r="CLC2" s="44"/>
      <c r="CLD2" s="44"/>
      <c r="CLF2" s="44"/>
      <c r="CLG2" s="44"/>
      <c r="CLH2" s="44"/>
      <c r="CLI2" s="44"/>
      <c r="CLJ2" s="44"/>
      <c r="CLK2" s="44"/>
      <c r="CLL2" s="44"/>
      <c r="CLN2" s="44"/>
      <c r="CLO2" s="44"/>
      <c r="CLP2" s="44"/>
      <c r="CLQ2" s="44"/>
      <c r="CLR2" s="44"/>
      <c r="CLS2" s="44"/>
      <c r="CLT2" s="44"/>
      <c r="CLV2" s="44"/>
      <c r="CLW2" s="44"/>
      <c r="CLX2" s="44"/>
      <c r="CLY2" s="44"/>
      <c r="CLZ2" s="44"/>
      <c r="CMA2" s="44"/>
      <c r="CMB2" s="44"/>
      <c r="CMD2" s="44"/>
      <c r="CME2" s="44"/>
      <c r="CMF2" s="44"/>
      <c r="CMG2" s="44"/>
      <c r="CMH2" s="44"/>
      <c r="CMI2" s="44"/>
      <c r="CMJ2" s="44"/>
      <c r="CML2" s="44"/>
      <c r="CMM2" s="44"/>
      <c r="CMN2" s="44"/>
      <c r="CMO2" s="44"/>
      <c r="CMP2" s="44"/>
      <c r="CMQ2" s="44"/>
      <c r="CMR2" s="44"/>
      <c r="CMT2" s="44"/>
      <c r="CMU2" s="44"/>
      <c r="CMV2" s="44"/>
      <c r="CMW2" s="44"/>
      <c r="CMX2" s="44"/>
      <c r="CMY2" s="44"/>
      <c r="CMZ2" s="44"/>
      <c r="CNB2" s="44"/>
      <c r="CNC2" s="44"/>
      <c r="CND2" s="44"/>
      <c r="CNE2" s="44"/>
      <c r="CNF2" s="44"/>
      <c r="CNG2" s="44"/>
      <c r="CNH2" s="44"/>
      <c r="CNJ2" s="44"/>
      <c r="CNK2" s="44"/>
      <c r="CNL2" s="44"/>
      <c r="CNM2" s="44"/>
      <c r="CNN2" s="44"/>
      <c r="CNO2" s="44"/>
      <c r="CNP2" s="44"/>
      <c r="CNR2" s="44"/>
      <c r="CNS2" s="44"/>
      <c r="CNT2" s="44"/>
      <c r="CNU2" s="44"/>
      <c r="CNV2" s="44"/>
      <c r="CNW2" s="44"/>
      <c r="CNX2" s="44"/>
      <c r="CNZ2" s="44"/>
      <c r="COA2" s="44"/>
      <c r="COB2" s="44"/>
      <c r="COC2" s="44"/>
      <c r="COD2" s="44"/>
      <c r="COE2" s="44"/>
      <c r="COF2" s="44"/>
      <c r="COH2" s="44"/>
      <c r="COI2" s="44"/>
      <c r="COJ2" s="44"/>
      <c r="COK2" s="44"/>
      <c r="COL2" s="44"/>
      <c r="COM2" s="44"/>
      <c r="CON2" s="44"/>
      <c r="COP2" s="44"/>
      <c r="COQ2" s="44"/>
      <c r="COR2" s="44"/>
      <c r="COS2" s="44"/>
      <c r="COT2" s="44"/>
      <c r="COU2" s="44"/>
      <c r="COV2" s="44"/>
      <c r="COX2" s="44"/>
      <c r="COY2" s="44"/>
      <c r="COZ2" s="44"/>
      <c r="CPA2" s="44"/>
      <c r="CPB2" s="44"/>
      <c r="CPC2" s="44"/>
      <c r="CPD2" s="44"/>
      <c r="CPF2" s="44"/>
      <c r="CPG2" s="44"/>
      <c r="CPH2" s="44"/>
      <c r="CPI2" s="44"/>
      <c r="CPJ2" s="44"/>
      <c r="CPK2" s="44"/>
      <c r="CPL2" s="44"/>
      <c r="CPN2" s="44"/>
      <c r="CPO2" s="44"/>
      <c r="CPP2" s="44"/>
      <c r="CPQ2" s="44"/>
      <c r="CPR2" s="44"/>
      <c r="CPS2" s="44"/>
      <c r="CPT2" s="44"/>
      <c r="CPV2" s="44"/>
      <c r="CPW2" s="44"/>
      <c r="CPX2" s="44"/>
      <c r="CPY2" s="44"/>
      <c r="CPZ2" s="44"/>
      <c r="CQA2" s="44"/>
      <c r="CQB2" s="44"/>
      <c r="CQD2" s="44"/>
      <c r="CQE2" s="44"/>
      <c r="CQF2" s="44"/>
      <c r="CQG2" s="44"/>
      <c r="CQH2" s="44"/>
      <c r="CQI2" s="44"/>
      <c r="CQJ2" s="44"/>
      <c r="CQL2" s="44"/>
      <c r="CQM2" s="44"/>
      <c r="CQN2" s="44"/>
      <c r="CQO2" s="44"/>
      <c r="CQP2" s="44"/>
      <c r="CQQ2" s="44"/>
      <c r="CQR2" s="44"/>
      <c r="CQT2" s="44"/>
      <c r="CQU2" s="44"/>
      <c r="CQV2" s="44"/>
      <c r="CQW2" s="44"/>
      <c r="CQX2" s="44"/>
      <c r="CQY2" s="44"/>
      <c r="CQZ2" s="44"/>
      <c r="CRB2" s="44"/>
      <c r="CRC2" s="44"/>
      <c r="CRD2" s="44"/>
      <c r="CRE2" s="44"/>
      <c r="CRF2" s="44"/>
      <c r="CRG2" s="44"/>
      <c r="CRH2" s="44"/>
      <c r="CRJ2" s="44"/>
      <c r="CRK2" s="44"/>
      <c r="CRL2" s="44"/>
      <c r="CRM2" s="44"/>
      <c r="CRN2" s="44"/>
      <c r="CRO2" s="44"/>
      <c r="CRP2" s="44"/>
      <c r="CRR2" s="44"/>
      <c r="CRS2" s="44"/>
      <c r="CRT2" s="44"/>
      <c r="CRU2" s="44"/>
      <c r="CRV2" s="44"/>
      <c r="CRW2" s="44"/>
      <c r="CRX2" s="44"/>
      <c r="CRZ2" s="44"/>
      <c r="CSA2" s="44"/>
      <c r="CSB2" s="44"/>
      <c r="CSC2" s="44"/>
      <c r="CSD2" s="44"/>
      <c r="CSE2" s="44"/>
      <c r="CSF2" s="44"/>
      <c r="CSH2" s="44"/>
      <c r="CSI2" s="44"/>
      <c r="CSJ2" s="44"/>
      <c r="CSK2" s="44"/>
      <c r="CSL2" s="44"/>
      <c r="CSM2" s="44"/>
      <c r="CSN2" s="44"/>
      <c r="CSP2" s="44"/>
      <c r="CSQ2" s="44"/>
      <c r="CSR2" s="44"/>
      <c r="CSS2" s="44"/>
      <c r="CST2" s="44"/>
      <c r="CSU2" s="44"/>
      <c r="CSV2" s="44"/>
      <c r="CSX2" s="44"/>
      <c r="CSY2" s="44"/>
      <c r="CSZ2" s="44"/>
      <c r="CTA2" s="44"/>
      <c r="CTB2" s="44"/>
      <c r="CTC2" s="44"/>
      <c r="CTD2" s="44"/>
      <c r="CTF2" s="44"/>
      <c r="CTG2" s="44"/>
      <c r="CTH2" s="44"/>
      <c r="CTI2" s="44"/>
      <c r="CTJ2" s="44"/>
      <c r="CTK2" s="44"/>
      <c r="CTL2" s="44"/>
      <c r="CTN2" s="44"/>
      <c r="CTO2" s="44"/>
      <c r="CTP2" s="44"/>
      <c r="CTQ2" s="44"/>
      <c r="CTR2" s="44"/>
      <c r="CTS2" s="44"/>
      <c r="CTT2" s="44"/>
      <c r="CTV2" s="44"/>
      <c r="CTW2" s="44"/>
      <c r="CTX2" s="44"/>
      <c r="CTY2" s="44"/>
      <c r="CTZ2" s="44"/>
      <c r="CUA2" s="44"/>
      <c r="CUB2" s="44"/>
      <c r="CUD2" s="44"/>
      <c r="CUE2" s="44"/>
      <c r="CUF2" s="44"/>
      <c r="CUG2" s="44"/>
      <c r="CUH2" s="44"/>
      <c r="CUI2" s="44"/>
      <c r="CUJ2" s="44"/>
      <c r="CUL2" s="44"/>
      <c r="CUM2" s="44"/>
      <c r="CUN2" s="44"/>
      <c r="CUO2" s="44"/>
      <c r="CUP2" s="44"/>
      <c r="CUQ2" s="44"/>
      <c r="CUR2" s="44"/>
      <c r="CUT2" s="44"/>
      <c r="CUU2" s="44"/>
      <c r="CUV2" s="44"/>
      <c r="CUW2" s="44"/>
      <c r="CUX2" s="44"/>
      <c r="CUY2" s="44"/>
      <c r="CUZ2" s="44"/>
      <c r="CVB2" s="44"/>
      <c r="CVC2" s="44"/>
      <c r="CVD2" s="44"/>
      <c r="CVE2" s="44"/>
      <c r="CVF2" s="44"/>
      <c r="CVG2" s="44"/>
      <c r="CVH2" s="44"/>
      <c r="CVJ2" s="44"/>
      <c r="CVK2" s="44"/>
      <c r="CVL2" s="44"/>
      <c r="CVM2" s="44"/>
      <c r="CVN2" s="44"/>
      <c r="CVO2" s="44"/>
      <c r="CVP2" s="44"/>
      <c r="CVR2" s="44"/>
      <c r="CVS2" s="44"/>
      <c r="CVT2" s="44"/>
      <c r="CVU2" s="44"/>
      <c r="CVV2" s="44"/>
      <c r="CVW2" s="44"/>
      <c r="CVX2" s="44"/>
      <c r="CVZ2" s="44"/>
      <c r="CWA2" s="44"/>
      <c r="CWB2" s="44"/>
      <c r="CWC2" s="44"/>
      <c r="CWD2" s="44"/>
      <c r="CWE2" s="44"/>
      <c r="CWF2" s="44"/>
      <c r="CWH2" s="44"/>
      <c r="CWI2" s="44"/>
      <c r="CWJ2" s="44"/>
      <c r="CWK2" s="44"/>
      <c r="CWL2" s="44"/>
      <c r="CWM2" s="44"/>
      <c r="CWN2" s="44"/>
      <c r="CWP2" s="44"/>
      <c r="CWQ2" s="44"/>
      <c r="CWR2" s="44"/>
      <c r="CWS2" s="44"/>
      <c r="CWT2" s="44"/>
      <c r="CWU2" s="44"/>
      <c r="CWV2" s="44"/>
      <c r="CWX2" s="44"/>
      <c r="CWY2" s="44"/>
      <c r="CWZ2" s="44"/>
      <c r="CXA2" s="44"/>
      <c r="CXB2" s="44"/>
      <c r="CXC2" s="44"/>
      <c r="CXD2" s="44"/>
      <c r="CXF2" s="44"/>
      <c r="CXG2" s="44"/>
      <c r="CXH2" s="44"/>
      <c r="CXI2" s="44"/>
      <c r="CXJ2" s="44"/>
      <c r="CXK2" s="44"/>
      <c r="CXL2" s="44"/>
      <c r="CXN2" s="44"/>
      <c r="CXO2" s="44"/>
      <c r="CXP2" s="44"/>
      <c r="CXQ2" s="44"/>
      <c r="CXR2" s="44"/>
      <c r="CXS2" s="44"/>
      <c r="CXT2" s="44"/>
      <c r="CXV2" s="44"/>
      <c r="CXW2" s="44"/>
      <c r="CXX2" s="44"/>
      <c r="CXY2" s="44"/>
      <c r="CXZ2" s="44"/>
      <c r="CYA2" s="44"/>
      <c r="CYB2" s="44"/>
      <c r="CYD2" s="44"/>
      <c r="CYE2" s="44"/>
      <c r="CYF2" s="44"/>
      <c r="CYG2" s="44"/>
      <c r="CYH2" s="44"/>
      <c r="CYI2" s="44"/>
      <c r="CYJ2" s="44"/>
      <c r="CYL2" s="44"/>
      <c r="CYM2" s="44"/>
      <c r="CYN2" s="44"/>
      <c r="CYO2" s="44"/>
      <c r="CYP2" s="44"/>
      <c r="CYQ2" s="44"/>
      <c r="CYR2" s="44"/>
      <c r="CYT2" s="44"/>
      <c r="CYU2" s="44"/>
      <c r="CYV2" s="44"/>
      <c r="CYW2" s="44"/>
      <c r="CYX2" s="44"/>
      <c r="CYY2" s="44"/>
      <c r="CYZ2" s="44"/>
      <c r="CZB2" s="44"/>
      <c r="CZC2" s="44"/>
      <c r="CZD2" s="44"/>
      <c r="CZE2" s="44"/>
      <c r="CZF2" s="44"/>
      <c r="CZG2" s="44"/>
      <c r="CZH2" s="44"/>
      <c r="CZJ2" s="44"/>
      <c r="CZK2" s="44"/>
      <c r="CZL2" s="44"/>
      <c r="CZM2" s="44"/>
      <c r="CZN2" s="44"/>
      <c r="CZO2" s="44"/>
      <c r="CZP2" s="44"/>
      <c r="CZR2" s="44"/>
      <c r="CZS2" s="44"/>
      <c r="CZT2" s="44"/>
      <c r="CZU2" s="44"/>
      <c r="CZV2" s="44"/>
      <c r="CZW2" s="44"/>
      <c r="CZX2" s="44"/>
      <c r="CZZ2" s="44"/>
      <c r="DAA2" s="44"/>
      <c r="DAB2" s="44"/>
      <c r="DAC2" s="44"/>
      <c r="DAD2" s="44"/>
      <c r="DAE2" s="44"/>
      <c r="DAF2" s="44"/>
      <c r="DAH2" s="44"/>
      <c r="DAI2" s="44"/>
      <c r="DAJ2" s="44"/>
      <c r="DAK2" s="44"/>
      <c r="DAL2" s="44"/>
      <c r="DAM2" s="44"/>
      <c r="DAN2" s="44"/>
      <c r="DAP2" s="44"/>
      <c r="DAQ2" s="44"/>
      <c r="DAR2" s="44"/>
      <c r="DAS2" s="44"/>
      <c r="DAT2" s="44"/>
      <c r="DAU2" s="44"/>
      <c r="DAV2" s="44"/>
      <c r="DAX2" s="44"/>
      <c r="DAY2" s="44"/>
      <c r="DAZ2" s="44"/>
      <c r="DBA2" s="44"/>
      <c r="DBB2" s="44"/>
      <c r="DBC2" s="44"/>
      <c r="DBD2" s="44"/>
      <c r="DBF2" s="44"/>
      <c r="DBG2" s="44"/>
      <c r="DBH2" s="44"/>
      <c r="DBI2" s="44"/>
      <c r="DBJ2" s="44"/>
      <c r="DBK2" s="44"/>
      <c r="DBL2" s="44"/>
      <c r="DBN2" s="44"/>
      <c r="DBO2" s="44"/>
      <c r="DBP2" s="44"/>
      <c r="DBQ2" s="44"/>
      <c r="DBR2" s="44"/>
      <c r="DBS2" s="44"/>
      <c r="DBT2" s="44"/>
      <c r="DBV2" s="44"/>
      <c r="DBW2" s="44"/>
      <c r="DBX2" s="44"/>
      <c r="DBY2" s="44"/>
      <c r="DBZ2" s="44"/>
      <c r="DCA2" s="44"/>
      <c r="DCB2" s="44"/>
      <c r="DCD2" s="44"/>
      <c r="DCE2" s="44"/>
      <c r="DCF2" s="44"/>
      <c r="DCG2" s="44"/>
      <c r="DCH2" s="44"/>
      <c r="DCI2" s="44"/>
      <c r="DCJ2" s="44"/>
      <c r="DCL2" s="44"/>
      <c r="DCM2" s="44"/>
      <c r="DCN2" s="44"/>
      <c r="DCO2" s="44"/>
      <c r="DCP2" s="44"/>
      <c r="DCQ2" s="44"/>
      <c r="DCR2" s="44"/>
      <c r="DCT2" s="44"/>
      <c r="DCU2" s="44"/>
      <c r="DCV2" s="44"/>
      <c r="DCW2" s="44"/>
      <c r="DCX2" s="44"/>
      <c r="DCY2" s="44"/>
      <c r="DCZ2" s="44"/>
      <c r="DDB2" s="44"/>
      <c r="DDC2" s="44"/>
      <c r="DDD2" s="44"/>
      <c r="DDE2" s="44"/>
      <c r="DDF2" s="44"/>
      <c r="DDG2" s="44"/>
      <c r="DDH2" s="44"/>
      <c r="DDJ2" s="44"/>
      <c r="DDK2" s="44"/>
      <c r="DDL2" s="44"/>
      <c r="DDM2" s="44"/>
      <c r="DDN2" s="44"/>
      <c r="DDO2" s="44"/>
      <c r="DDP2" s="44"/>
      <c r="DDR2" s="44"/>
      <c r="DDS2" s="44"/>
      <c r="DDT2" s="44"/>
      <c r="DDU2" s="44"/>
      <c r="DDV2" s="44"/>
      <c r="DDW2" s="44"/>
      <c r="DDX2" s="44"/>
      <c r="DDZ2" s="44"/>
      <c r="DEA2" s="44"/>
      <c r="DEB2" s="44"/>
      <c r="DEC2" s="44"/>
      <c r="DED2" s="44"/>
      <c r="DEE2" s="44"/>
      <c r="DEF2" s="44"/>
      <c r="DEH2" s="44"/>
      <c r="DEI2" s="44"/>
      <c r="DEJ2" s="44"/>
      <c r="DEK2" s="44"/>
      <c r="DEL2" s="44"/>
      <c r="DEM2" s="44"/>
      <c r="DEN2" s="44"/>
      <c r="DEP2" s="44"/>
      <c r="DEQ2" s="44"/>
      <c r="DER2" s="44"/>
      <c r="DES2" s="44"/>
      <c r="DET2" s="44"/>
      <c r="DEU2" s="44"/>
      <c r="DEV2" s="44"/>
      <c r="DEX2" s="44"/>
      <c r="DEY2" s="44"/>
      <c r="DEZ2" s="44"/>
      <c r="DFA2" s="44"/>
      <c r="DFB2" s="44"/>
      <c r="DFC2" s="44"/>
      <c r="DFD2" s="44"/>
      <c r="DFF2" s="44"/>
      <c r="DFG2" s="44"/>
      <c r="DFH2" s="44"/>
      <c r="DFI2" s="44"/>
      <c r="DFJ2" s="44"/>
      <c r="DFK2" s="44"/>
      <c r="DFL2" s="44"/>
      <c r="DFN2" s="44"/>
      <c r="DFO2" s="44"/>
      <c r="DFP2" s="44"/>
      <c r="DFQ2" s="44"/>
      <c r="DFR2" s="44"/>
      <c r="DFS2" s="44"/>
      <c r="DFT2" s="44"/>
      <c r="DFV2" s="44"/>
      <c r="DFW2" s="44"/>
      <c r="DFX2" s="44"/>
      <c r="DFY2" s="44"/>
      <c r="DFZ2" s="44"/>
      <c r="DGA2" s="44"/>
      <c r="DGB2" s="44"/>
      <c r="DGD2" s="44"/>
      <c r="DGE2" s="44"/>
      <c r="DGF2" s="44"/>
      <c r="DGG2" s="44"/>
      <c r="DGH2" s="44"/>
      <c r="DGI2" s="44"/>
      <c r="DGJ2" s="44"/>
      <c r="DGL2" s="44"/>
      <c r="DGM2" s="44"/>
      <c r="DGN2" s="44"/>
      <c r="DGO2" s="44"/>
      <c r="DGP2" s="44"/>
      <c r="DGQ2" s="44"/>
      <c r="DGR2" s="44"/>
      <c r="DGT2" s="44"/>
      <c r="DGU2" s="44"/>
      <c r="DGV2" s="44"/>
      <c r="DGW2" s="44"/>
      <c r="DGX2" s="44"/>
      <c r="DGY2" s="44"/>
      <c r="DGZ2" s="44"/>
      <c r="DHB2" s="44"/>
      <c r="DHC2" s="44"/>
      <c r="DHD2" s="44"/>
      <c r="DHE2" s="44"/>
      <c r="DHF2" s="44"/>
      <c r="DHG2" s="44"/>
      <c r="DHH2" s="44"/>
      <c r="DHJ2" s="44"/>
      <c r="DHK2" s="44"/>
      <c r="DHL2" s="44"/>
      <c r="DHM2" s="44"/>
      <c r="DHN2" s="44"/>
      <c r="DHO2" s="44"/>
      <c r="DHP2" s="44"/>
      <c r="DHR2" s="44"/>
      <c r="DHS2" s="44"/>
      <c r="DHT2" s="44"/>
      <c r="DHU2" s="44"/>
      <c r="DHV2" s="44"/>
      <c r="DHW2" s="44"/>
      <c r="DHX2" s="44"/>
      <c r="DHZ2" s="44"/>
      <c r="DIA2" s="44"/>
      <c r="DIB2" s="44"/>
      <c r="DIC2" s="44"/>
      <c r="DID2" s="44"/>
      <c r="DIE2" s="44"/>
      <c r="DIF2" s="44"/>
      <c r="DIH2" s="44"/>
      <c r="DII2" s="44"/>
      <c r="DIJ2" s="44"/>
      <c r="DIK2" s="44"/>
      <c r="DIL2" s="44"/>
      <c r="DIM2" s="44"/>
      <c r="DIN2" s="44"/>
      <c r="DIP2" s="44"/>
      <c r="DIQ2" s="44"/>
      <c r="DIR2" s="44"/>
      <c r="DIS2" s="44"/>
      <c r="DIT2" s="44"/>
      <c r="DIU2" s="44"/>
      <c r="DIV2" s="44"/>
      <c r="DIX2" s="44"/>
      <c r="DIY2" s="44"/>
      <c r="DIZ2" s="44"/>
      <c r="DJA2" s="44"/>
      <c r="DJB2" s="44"/>
      <c r="DJC2" s="44"/>
      <c r="DJD2" s="44"/>
      <c r="DJF2" s="44"/>
      <c r="DJG2" s="44"/>
      <c r="DJH2" s="44"/>
      <c r="DJI2" s="44"/>
      <c r="DJJ2" s="44"/>
      <c r="DJK2" s="44"/>
      <c r="DJL2" s="44"/>
      <c r="DJN2" s="44"/>
      <c r="DJO2" s="44"/>
      <c r="DJP2" s="44"/>
      <c r="DJQ2" s="44"/>
      <c r="DJR2" s="44"/>
      <c r="DJS2" s="44"/>
      <c r="DJT2" s="44"/>
      <c r="DJV2" s="44"/>
      <c r="DJW2" s="44"/>
      <c r="DJX2" s="44"/>
      <c r="DJY2" s="44"/>
      <c r="DJZ2" s="44"/>
      <c r="DKA2" s="44"/>
      <c r="DKB2" s="44"/>
      <c r="DKD2" s="44"/>
      <c r="DKE2" s="44"/>
      <c r="DKF2" s="44"/>
      <c r="DKG2" s="44"/>
      <c r="DKH2" s="44"/>
      <c r="DKI2" s="44"/>
      <c r="DKJ2" s="44"/>
      <c r="DKL2" s="44"/>
      <c r="DKM2" s="44"/>
      <c r="DKN2" s="44"/>
      <c r="DKO2" s="44"/>
      <c r="DKP2" s="44"/>
      <c r="DKQ2" s="44"/>
      <c r="DKR2" s="44"/>
      <c r="DKT2" s="44"/>
      <c r="DKU2" s="44"/>
      <c r="DKV2" s="44"/>
      <c r="DKW2" s="44"/>
      <c r="DKX2" s="44"/>
      <c r="DKY2" s="44"/>
      <c r="DKZ2" s="44"/>
      <c r="DLB2" s="44"/>
      <c r="DLC2" s="44"/>
      <c r="DLD2" s="44"/>
      <c r="DLE2" s="44"/>
      <c r="DLF2" s="44"/>
      <c r="DLG2" s="44"/>
      <c r="DLH2" s="44"/>
      <c r="DLJ2" s="44"/>
      <c r="DLK2" s="44"/>
      <c r="DLL2" s="44"/>
      <c r="DLM2" s="44"/>
      <c r="DLN2" s="44"/>
      <c r="DLO2" s="44"/>
      <c r="DLP2" s="44"/>
      <c r="DLR2" s="44"/>
      <c r="DLS2" s="44"/>
      <c r="DLT2" s="44"/>
      <c r="DLU2" s="44"/>
      <c r="DLV2" s="44"/>
      <c r="DLW2" s="44"/>
      <c r="DLX2" s="44"/>
      <c r="DLZ2" s="44"/>
      <c r="DMA2" s="44"/>
      <c r="DMB2" s="44"/>
      <c r="DMC2" s="44"/>
      <c r="DMD2" s="44"/>
      <c r="DME2" s="44"/>
      <c r="DMF2" s="44"/>
      <c r="DMH2" s="44"/>
      <c r="DMI2" s="44"/>
      <c r="DMJ2" s="44"/>
      <c r="DMK2" s="44"/>
      <c r="DML2" s="44"/>
      <c r="DMM2" s="44"/>
      <c r="DMN2" s="44"/>
      <c r="DMP2" s="44"/>
      <c r="DMQ2" s="44"/>
      <c r="DMR2" s="44"/>
      <c r="DMS2" s="44"/>
      <c r="DMT2" s="44"/>
      <c r="DMU2" s="44"/>
      <c r="DMV2" s="44"/>
      <c r="DMX2" s="44"/>
      <c r="DMY2" s="44"/>
      <c r="DMZ2" s="44"/>
      <c r="DNA2" s="44"/>
      <c r="DNB2" s="44"/>
      <c r="DNC2" s="44"/>
      <c r="DND2" s="44"/>
      <c r="DNF2" s="44"/>
      <c r="DNG2" s="44"/>
      <c r="DNH2" s="44"/>
      <c r="DNI2" s="44"/>
      <c r="DNJ2" s="44"/>
      <c r="DNK2" s="44"/>
      <c r="DNL2" s="44"/>
      <c r="DNN2" s="44"/>
      <c r="DNO2" s="44"/>
      <c r="DNP2" s="44"/>
      <c r="DNQ2" s="44"/>
      <c r="DNR2" s="44"/>
      <c r="DNS2" s="44"/>
      <c r="DNT2" s="44"/>
      <c r="DNV2" s="44"/>
      <c r="DNW2" s="44"/>
      <c r="DNX2" s="44"/>
      <c r="DNY2" s="44"/>
      <c r="DNZ2" s="44"/>
      <c r="DOA2" s="44"/>
      <c r="DOB2" s="44"/>
      <c r="DOD2" s="44"/>
      <c r="DOE2" s="44"/>
      <c r="DOF2" s="44"/>
      <c r="DOG2" s="44"/>
      <c r="DOH2" s="44"/>
      <c r="DOI2" s="44"/>
      <c r="DOJ2" s="44"/>
      <c r="DOL2" s="44"/>
      <c r="DOM2" s="44"/>
      <c r="DON2" s="44"/>
      <c r="DOO2" s="44"/>
      <c r="DOP2" s="44"/>
      <c r="DOQ2" s="44"/>
      <c r="DOR2" s="44"/>
      <c r="DOT2" s="44"/>
      <c r="DOU2" s="44"/>
      <c r="DOV2" s="44"/>
      <c r="DOW2" s="44"/>
      <c r="DOX2" s="44"/>
      <c r="DOY2" s="44"/>
      <c r="DOZ2" s="44"/>
      <c r="DPB2" s="44"/>
      <c r="DPC2" s="44"/>
      <c r="DPD2" s="44"/>
      <c r="DPE2" s="44"/>
      <c r="DPF2" s="44"/>
      <c r="DPG2" s="44"/>
      <c r="DPH2" s="44"/>
      <c r="DPJ2" s="44"/>
      <c r="DPK2" s="44"/>
      <c r="DPL2" s="44"/>
      <c r="DPM2" s="44"/>
      <c r="DPN2" s="44"/>
      <c r="DPO2" s="44"/>
      <c r="DPP2" s="44"/>
      <c r="DPR2" s="44"/>
      <c r="DPS2" s="44"/>
      <c r="DPT2" s="44"/>
      <c r="DPU2" s="44"/>
      <c r="DPV2" s="44"/>
      <c r="DPW2" s="44"/>
      <c r="DPX2" s="44"/>
      <c r="DPZ2" s="44"/>
      <c r="DQA2" s="44"/>
      <c r="DQB2" s="44"/>
      <c r="DQC2" s="44"/>
      <c r="DQD2" s="44"/>
      <c r="DQE2" s="44"/>
      <c r="DQF2" s="44"/>
      <c r="DQH2" s="44"/>
      <c r="DQI2" s="44"/>
      <c r="DQJ2" s="44"/>
      <c r="DQK2" s="44"/>
      <c r="DQL2" s="44"/>
      <c r="DQM2" s="44"/>
      <c r="DQN2" s="44"/>
      <c r="DQP2" s="44"/>
      <c r="DQQ2" s="44"/>
      <c r="DQR2" s="44"/>
      <c r="DQS2" s="44"/>
      <c r="DQT2" s="44"/>
      <c r="DQU2" s="44"/>
      <c r="DQV2" s="44"/>
      <c r="DQX2" s="44"/>
      <c r="DQY2" s="44"/>
      <c r="DQZ2" s="44"/>
      <c r="DRA2" s="44"/>
      <c r="DRB2" s="44"/>
      <c r="DRC2" s="44"/>
      <c r="DRD2" s="44"/>
      <c r="DRF2" s="44"/>
      <c r="DRG2" s="44"/>
      <c r="DRH2" s="44"/>
      <c r="DRI2" s="44"/>
      <c r="DRJ2" s="44"/>
      <c r="DRK2" s="44"/>
      <c r="DRL2" s="44"/>
      <c r="DRN2" s="44"/>
      <c r="DRO2" s="44"/>
      <c r="DRP2" s="44"/>
      <c r="DRQ2" s="44"/>
      <c r="DRR2" s="44"/>
      <c r="DRS2" s="44"/>
      <c r="DRT2" s="44"/>
      <c r="DRV2" s="44"/>
      <c r="DRW2" s="44"/>
      <c r="DRX2" s="44"/>
      <c r="DRY2" s="44"/>
      <c r="DRZ2" s="44"/>
      <c r="DSA2" s="44"/>
      <c r="DSB2" s="44"/>
      <c r="DSD2" s="44"/>
      <c r="DSE2" s="44"/>
      <c r="DSF2" s="44"/>
      <c r="DSG2" s="44"/>
      <c r="DSH2" s="44"/>
      <c r="DSI2" s="44"/>
      <c r="DSJ2" s="44"/>
      <c r="DSL2" s="44"/>
      <c r="DSM2" s="44"/>
      <c r="DSN2" s="44"/>
      <c r="DSO2" s="44"/>
      <c r="DSP2" s="44"/>
      <c r="DSQ2" s="44"/>
      <c r="DSR2" s="44"/>
      <c r="DST2" s="44"/>
      <c r="DSU2" s="44"/>
      <c r="DSV2" s="44"/>
      <c r="DSW2" s="44"/>
      <c r="DSX2" s="44"/>
      <c r="DSY2" s="44"/>
      <c r="DSZ2" s="44"/>
      <c r="DTB2" s="44"/>
      <c r="DTC2" s="44"/>
      <c r="DTD2" s="44"/>
      <c r="DTE2" s="44"/>
      <c r="DTF2" s="44"/>
      <c r="DTG2" s="44"/>
      <c r="DTH2" s="44"/>
      <c r="DTJ2" s="44"/>
      <c r="DTK2" s="44"/>
      <c r="DTL2" s="44"/>
      <c r="DTM2" s="44"/>
      <c r="DTN2" s="44"/>
      <c r="DTO2" s="44"/>
      <c r="DTP2" s="44"/>
      <c r="DTR2" s="44"/>
      <c r="DTS2" s="44"/>
      <c r="DTT2" s="44"/>
      <c r="DTU2" s="44"/>
      <c r="DTV2" s="44"/>
      <c r="DTW2" s="44"/>
      <c r="DTX2" s="44"/>
      <c r="DTZ2" s="44"/>
      <c r="DUA2" s="44"/>
      <c r="DUB2" s="44"/>
      <c r="DUC2" s="44"/>
      <c r="DUD2" s="44"/>
      <c r="DUE2" s="44"/>
      <c r="DUF2" s="44"/>
      <c r="DUH2" s="44"/>
      <c r="DUI2" s="44"/>
      <c r="DUJ2" s="44"/>
      <c r="DUK2" s="44"/>
      <c r="DUL2" s="44"/>
      <c r="DUM2" s="44"/>
      <c r="DUN2" s="44"/>
      <c r="DUP2" s="44"/>
      <c r="DUQ2" s="44"/>
      <c r="DUR2" s="44"/>
      <c r="DUS2" s="44"/>
      <c r="DUT2" s="44"/>
      <c r="DUU2" s="44"/>
      <c r="DUV2" s="44"/>
      <c r="DUX2" s="44"/>
      <c r="DUY2" s="44"/>
      <c r="DUZ2" s="44"/>
      <c r="DVA2" s="44"/>
      <c r="DVB2" s="44"/>
      <c r="DVC2" s="44"/>
      <c r="DVD2" s="44"/>
      <c r="DVF2" s="44"/>
      <c r="DVG2" s="44"/>
      <c r="DVH2" s="44"/>
      <c r="DVI2" s="44"/>
      <c r="DVJ2" s="44"/>
      <c r="DVK2" s="44"/>
      <c r="DVL2" s="44"/>
      <c r="DVN2" s="44"/>
      <c r="DVO2" s="44"/>
      <c r="DVP2" s="44"/>
      <c r="DVQ2" s="44"/>
      <c r="DVR2" s="44"/>
      <c r="DVS2" s="44"/>
      <c r="DVT2" s="44"/>
      <c r="DVV2" s="44"/>
      <c r="DVW2" s="44"/>
      <c r="DVX2" s="44"/>
      <c r="DVY2" s="44"/>
      <c r="DVZ2" s="44"/>
      <c r="DWA2" s="44"/>
      <c r="DWB2" s="44"/>
      <c r="DWD2" s="44"/>
      <c r="DWE2" s="44"/>
      <c r="DWF2" s="44"/>
      <c r="DWG2" s="44"/>
      <c r="DWH2" s="44"/>
      <c r="DWI2" s="44"/>
      <c r="DWJ2" s="44"/>
      <c r="DWL2" s="44"/>
      <c r="DWM2" s="44"/>
      <c r="DWN2" s="44"/>
      <c r="DWO2" s="44"/>
      <c r="DWP2" s="44"/>
      <c r="DWQ2" s="44"/>
      <c r="DWR2" s="44"/>
      <c r="DWT2" s="44"/>
      <c r="DWU2" s="44"/>
      <c r="DWV2" s="44"/>
      <c r="DWW2" s="44"/>
      <c r="DWX2" s="44"/>
      <c r="DWY2" s="44"/>
      <c r="DWZ2" s="44"/>
      <c r="DXB2" s="44"/>
      <c r="DXC2" s="44"/>
      <c r="DXD2" s="44"/>
      <c r="DXE2" s="44"/>
      <c r="DXF2" s="44"/>
      <c r="DXG2" s="44"/>
      <c r="DXH2" s="44"/>
      <c r="DXJ2" s="44"/>
      <c r="DXK2" s="44"/>
      <c r="DXL2" s="44"/>
      <c r="DXM2" s="44"/>
      <c r="DXN2" s="44"/>
      <c r="DXO2" s="44"/>
      <c r="DXP2" s="44"/>
      <c r="DXR2" s="44"/>
      <c r="DXS2" s="44"/>
      <c r="DXT2" s="44"/>
      <c r="DXU2" s="44"/>
      <c r="DXV2" s="44"/>
      <c r="DXW2" s="44"/>
      <c r="DXX2" s="44"/>
      <c r="DXZ2" s="44"/>
      <c r="DYA2" s="44"/>
      <c r="DYB2" s="44"/>
      <c r="DYC2" s="44"/>
      <c r="DYD2" s="44"/>
      <c r="DYE2" s="44"/>
      <c r="DYF2" s="44"/>
      <c r="DYH2" s="44"/>
      <c r="DYI2" s="44"/>
      <c r="DYJ2" s="44"/>
      <c r="DYK2" s="44"/>
      <c r="DYL2" s="44"/>
      <c r="DYM2" s="44"/>
      <c r="DYN2" s="44"/>
      <c r="DYP2" s="44"/>
      <c r="DYQ2" s="44"/>
      <c r="DYR2" s="44"/>
      <c r="DYS2" s="44"/>
      <c r="DYT2" s="44"/>
      <c r="DYU2" s="44"/>
      <c r="DYV2" s="44"/>
      <c r="DYX2" s="44"/>
      <c r="DYY2" s="44"/>
      <c r="DYZ2" s="44"/>
      <c r="DZA2" s="44"/>
      <c r="DZB2" s="44"/>
      <c r="DZC2" s="44"/>
      <c r="DZD2" s="44"/>
      <c r="DZF2" s="44"/>
      <c r="DZG2" s="44"/>
      <c r="DZH2" s="44"/>
      <c r="DZI2" s="44"/>
      <c r="DZJ2" s="44"/>
      <c r="DZK2" s="44"/>
      <c r="DZL2" s="44"/>
      <c r="DZN2" s="44"/>
      <c r="DZO2" s="44"/>
      <c r="DZP2" s="44"/>
      <c r="DZQ2" s="44"/>
      <c r="DZR2" s="44"/>
      <c r="DZS2" s="44"/>
      <c r="DZT2" s="44"/>
      <c r="DZV2" s="44"/>
      <c r="DZW2" s="44"/>
      <c r="DZX2" s="44"/>
      <c r="DZY2" s="44"/>
      <c r="DZZ2" s="44"/>
      <c r="EAA2" s="44"/>
      <c r="EAB2" s="44"/>
      <c r="EAD2" s="44"/>
      <c r="EAE2" s="44"/>
      <c r="EAF2" s="44"/>
      <c r="EAG2" s="44"/>
      <c r="EAH2" s="44"/>
      <c r="EAI2" s="44"/>
      <c r="EAJ2" s="44"/>
      <c r="EAL2" s="44"/>
      <c r="EAM2" s="44"/>
      <c r="EAN2" s="44"/>
      <c r="EAO2" s="44"/>
      <c r="EAP2" s="44"/>
      <c r="EAQ2" s="44"/>
      <c r="EAR2" s="44"/>
      <c r="EAT2" s="44"/>
      <c r="EAU2" s="44"/>
      <c r="EAV2" s="44"/>
      <c r="EAW2" s="44"/>
      <c r="EAX2" s="44"/>
      <c r="EAY2" s="44"/>
      <c r="EAZ2" s="44"/>
      <c r="EBB2" s="44"/>
      <c r="EBC2" s="44"/>
      <c r="EBD2" s="44"/>
      <c r="EBE2" s="44"/>
      <c r="EBF2" s="44"/>
      <c r="EBG2" s="44"/>
      <c r="EBH2" s="44"/>
      <c r="EBJ2" s="44"/>
      <c r="EBK2" s="44"/>
      <c r="EBL2" s="44"/>
      <c r="EBM2" s="44"/>
      <c r="EBN2" s="44"/>
      <c r="EBO2" s="44"/>
      <c r="EBP2" s="44"/>
      <c r="EBR2" s="44"/>
      <c r="EBS2" s="44"/>
      <c r="EBT2" s="44"/>
      <c r="EBU2" s="44"/>
      <c r="EBV2" s="44"/>
      <c r="EBW2" s="44"/>
      <c r="EBX2" s="44"/>
      <c r="EBZ2" s="44"/>
      <c r="ECA2" s="44"/>
      <c r="ECB2" s="44"/>
      <c r="ECC2" s="44"/>
      <c r="ECD2" s="44"/>
      <c r="ECE2" s="44"/>
      <c r="ECF2" s="44"/>
      <c r="ECH2" s="44"/>
      <c r="ECI2" s="44"/>
      <c r="ECJ2" s="44"/>
      <c r="ECK2" s="44"/>
      <c r="ECL2" s="44"/>
      <c r="ECM2" s="44"/>
      <c r="ECN2" s="44"/>
      <c r="ECP2" s="44"/>
      <c r="ECQ2" s="44"/>
      <c r="ECR2" s="44"/>
      <c r="ECS2" s="44"/>
      <c r="ECT2" s="44"/>
      <c r="ECU2" s="44"/>
      <c r="ECV2" s="44"/>
      <c r="ECX2" s="44"/>
      <c r="ECY2" s="44"/>
      <c r="ECZ2" s="44"/>
      <c r="EDA2" s="44"/>
      <c r="EDB2" s="44"/>
      <c r="EDC2" s="44"/>
      <c r="EDD2" s="44"/>
      <c r="EDF2" s="44"/>
      <c r="EDG2" s="44"/>
      <c r="EDH2" s="44"/>
      <c r="EDI2" s="44"/>
      <c r="EDJ2" s="44"/>
      <c r="EDK2" s="44"/>
      <c r="EDL2" s="44"/>
      <c r="EDN2" s="44"/>
      <c r="EDO2" s="44"/>
      <c r="EDP2" s="44"/>
      <c r="EDQ2" s="44"/>
      <c r="EDR2" s="44"/>
      <c r="EDS2" s="44"/>
      <c r="EDT2" s="44"/>
      <c r="EDV2" s="44"/>
      <c r="EDW2" s="44"/>
      <c r="EDX2" s="44"/>
      <c r="EDY2" s="44"/>
      <c r="EDZ2" s="44"/>
      <c r="EEA2" s="44"/>
      <c r="EEB2" s="44"/>
      <c r="EED2" s="44"/>
      <c r="EEE2" s="44"/>
      <c r="EEF2" s="44"/>
      <c r="EEG2" s="44"/>
      <c r="EEH2" s="44"/>
      <c r="EEI2" s="44"/>
      <c r="EEJ2" s="44"/>
      <c r="EEL2" s="44"/>
      <c r="EEM2" s="44"/>
      <c r="EEN2" s="44"/>
      <c r="EEO2" s="44"/>
      <c r="EEP2" s="44"/>
      <c r="EEQ2" s="44"/>
      <c r="EER2" s="44"/>
      <c r="EET2" s="44"/>
      <c r="EEU2" s="44"/>
      <c r="EEV2" s="44"/>
      <c r="EEW2" s="44"/>
      <c r="EEX2" s="44"/>
      <c r="EEY2" s="44"/>
      <c r="EEZ2" s="44"/>
      <c r="EFB2" s="44"/>
      <c r="EFC2" s="44"/>
      <c r="EFD2" s="44"/>
      <c r="EFE2" s="44"/>
      <c r="EFF2" s="44"/>
      <c r="EFG2" s="44"/>
      <c r="EFH2" s="44"/>
      <c r="EFJ2" s="44"/>
      <c r="EFK2" s="44"/>
      <c r="EFL2" s="44"/>
      <c r="EFM2" s="44"/>
      <c r="EFN2" s="44"/>
      <c r="EFO2" s="44"/>
      <c r="EFP2" s="44"/>
      <c r="EFR2" s="44"/>
      <c r="EFS2" s="44"/>
      <c r="EFT2" s="44"/>
      <c r="EFU2" s="44"/>
      <c r="EFV2" s="44"/>
      <c r="EFW2" s="44"/>
      <c r="EFX2" s="44"/>
      <c r="EFZ2" s="44"/>
      <c r="EGA2" s="44"/>
      <c r="EGB2" s="44"/>
      <c r="EGC2" s="44"/>
      <c r="EGD2" s="44"/>
      <c r="EGE2" s="44"/>
      <c r="EGF2" s="44"/>
      <c r="EGH2" s="44"/>
      <c r="EGI2" s="44"/>
      <c r="EGJ2" s="44"/>
      <c r="EGK2" s="44"/>
      <c r="EGL2" s="44"/>
      <c r="EGM2" s="44"/>
      <c r="EGN2" s="44"/>
      <c r="EGP2" s="44"/>
      <c r="EGQ2" s="44"/>
      <c r="EGR2" s="44"/>
      <c r="EGS2" s="44"/>
      <c r="EGT2" s="44"/>
      <c r="EGU2" s="44"/>
      <c r="EGV2" s="44"/>
      <c r="EGX2" s="44"/>
      <c r="EGY2" s="44"/>
      <c r="EGZ2" s="44"/>
      <c r="EHA2" s="44"/>
      <c r="EHB2" s="44"/>
      <c r="EHC2" s="44"/>
      <c r="EHD2" s="44"/>
      <c r="EHF2" s="44"/>
      <c r="EHG2" s="44"/>
      <c r="EHH2" s="44"/>
      <c r="EHI2" s="44"/>
      <c r="EHJ2" s="44"/>
      <c r="EHK2" s="44"/>
      <c r="EHL2" s="44"/>
      <c r="EHN2" s="44"/>
      <c r="EHO2" s="44"/>
      <c r="EHP2" s="44"/>
      <c r="EHQ2" s="44"/>
      <c r="EHR2" s="44"/>
      <c r="EHS2" s="44"/>
      <c r="EHT2" s="44"/>
      <c r="EHV2" s="44"/>
      <c r="EHW2" s="44"/>
      <c r="EHX2" s="44"/>
      <c r="EHY2" s="44"/>
      <c r="EHZ2" s="44"/>
      <c r="EIA2" s="44"/>
      <c r="EIB2" s="44"/>
      <c r="EID2" s="44"/>
      <c r="EIE2" s="44"/>
      <c r="EIF2" s="44"/>
      <c r="EIG2" s="44"/>
      <c r="EIH2" s="44"/>
      <c r="EII2" s="44"/>
      <c r="EIJ2" s="44"/>
      <c r="EIL2" s="44"/>
      <c r="EIM2" s="44"/>
      <c r="EIN2" s="44"/>
      <c r="EIO2" s="44"/>
      <c r="EIP2" s="44"/>
      <c r="EIQ2" s="44"/>
      <c r="EIR2" s="44"/>
      <c r="EIT2" s="44"/>
      <c r="EIU2" s="44"/>
      <c r="EIV2" s="44"/>
      <c r="EIW2" s="44"/>
      <c r="EIX2" s="44"/>
      <c r="EIY2" s="44"/>
      <c r="EIZ2" s="44"/>
      <c r="EJB2" s="44"/>
      <c r="EJC2" s="44"/>
      <c r="EJD2" s="44"/>
      <c r="EJE2" s="44"/>
      <c r="EJF2" s="44"/>
      <c r="EJG2" s="44"/>
      <c r="EJH2" s="44"/>
      <c r="EJJ2" s="44"/>
      <c r="EJK2" s="44"/>
      <c r="EJL2" s="44"/>
      <c r="EJM2" s="44"/>
      <c r="EJN2" s="44"/>
      <c r="EJO2" s="44"/>
      <c r="EJP2" s="44"/>
      <c r="EJR2" s="44"/>
      <c r="EJS2" s="44"/>
      <c r="EJT2" s="44"/>
      <c r="EJU2" s="44"/>
      <c r="EJV2" s="44"/>
      <c r="EJW2" s="44"/>
      <c r="EJX2" s="44"/>
      <c r="EJZ2" s="44"/>
      <c r="EKA2" s="44"/>
      <c r="EKB2" s="44"/>
      <c r="EKC2" s="44"/>
      <c r="EKD2" s="44"/>
      <c r="EKE2" s="44"/>
      <c r="EKF2" s="44"/>
      <c r="EKH2" s="44"/>
      <c r="EKI2" s="44"/>
      <c r="EKJ2" s="44"/>
      <c r="EKK2" s="44"/>
      <c r="EKL2" s="44"/>
      <c r="EKM2" s="44"/>
      <c r="EKN2" s="44"/>
      <c r="EKP2" s="44"/>
      <c r="EKQ2" s="44"/>
      <c r="EKR2" s="44"/>
      <c r="EKS2" s="44"/>
      <c r="EKT2" s="44"/>
      <c r="EKU2" s="44"/>
      <c r="EKV2" s="44"/>
      <c r="EKX2" s="44"/>
      <c r="EKY2" s="44"/>
      <c r="EKZ2" s="44"/>
      <c r="ELA2" s="44"/>
      <c r="ELB2" s="44"/>
      <c r="ELC2" s="44"/>
      <c r="ELD2" s="44"/>
      <c r="ELF2" s="44"/>
      <c r="ELG2" s="44"/>
      <c r="ELH2" s="44"/>
      <c r="ELI2" s="44"/>
      <c r="ELJ2" s="44"/>
      <c r="ELK2" s="44"/>
      <c r="ELL2" s="44"/>
      <c r="ELN2" s="44"/>
      <c r="ELO2" s="44"/>
      <c r="ELP2" s="44"/>
      <c r="ELQ2" s="44"/>
      <c r="ELR2" s="44"/>
      <c r="ELS2" s="44"/>
      <c r="ELT2" s="44"/>
      <c r="ELV2" s="44"/>
      <c r="ELW2" s="44"/>
      <c r="ELX2" s="44"/>
      <c r="ELY2" s="44"/>
      <c r="ELZ2" s="44"/>
      <c r="EMA2" s="44"/>
      <c r="EMB2" s="44"/>
      <c r="EMD2" s="44"/>
      <c r="EME2" s="44"/>
      <c r="EMF2" s="44"/>
      <c r="EMG2" s="44"/>
      <c r="EMH2" s="44"/>
      <c r="EMI2" s="44"/>
      <c r="EMJ2" s="44"/>
      <c r="EML2" s="44"/>
      <c r="EMM2" s="44"/>
      <c r="EMN2" s="44"/>
      <c r="EMO2" s="44"/>
      <c r="EMP2" s="44"/>
      <c r="EMQ2" s="44"/>
      <c r="EMR2" s="44"/>
      <c r="EMT2" s="44"/>
      <c r="EMU2" s="44"/>
      <c r="EMV2" s="44"/>
      <c r="EMW2" s="44"/>
      <c r="EMX2" s="44"/>
      <c r="EMY2" s="44"/>
      <c r="EMZ2" s="44"/>
      <c r="ENB2" s="44"/>
      <c r="ENC2" s="44"/>
      <c r="END2" s="44"/>
      <c r="ENE2" s="44"/>
      <c r="ENF2" s="44"/>
      <c r="ENG2" s="44"/>
      <c r="ENH2" s="44"/>
      <c r="ENJ2" s="44"/>
      <c r="ENK2" s="44"/>
      <c r="ENL2" s="44"/>
      <c r="ENM2" s="44"/>
      <c r="ENN2" s="44"/>
      <c r="ENO2" s="44"/>
      <c r="ENP2" s="44"/>
      <c r="ENR2" s="44"/>
      <c r="ENS2" s="44"/>
      <c r="ENT2" s="44"/>
      <c r="ENU2" s="44"/>
      <c r="ENV2" s="44"/>
      <c r="ENW2" s="44"/>
      <c r="ENX2" s="44"/>
      <c r="ENZ2" s="44"/>
      <c r="EOA2" s="44"/>
      <c r="EOB2" s="44"/>
      <c r="EOC2" s="44"/>
      <c r="EOD2" s="44"/>
      <c r="EOE2" s="44"/>
      <c r="EOF2" s="44"/>
      <c r="EOH2" s="44"/>
      <c r="EOI2" s="44"/>
      <c r="EOJ2" s="44"/>
      <c r="EOK2" s="44"/>
      <c r="EOL2" s="44"/>
      <c r="EOM2" s="44"/>
      <c r="EON2" s="44"/>
      <c r="EOP2" s="44"/>
      <c r="EOQ2" s="44"/>
      <c r="EOR2" s="44"/>
      <c r="EOS2" s="44"/>
      <c r="EOT2" s="44"/>
      <c r="EOU2" s="44"/>
      <c r="EOV2" s="44"/>
      <c r="EOX2" s="44"/>
      <c r="EOY2" s="44"/>
      <c r="EOZ2" s="44"/>
      <c r="EPA2" s="44"/>
      <c r="EPB2" s="44"/>
      <c r="EPC2" s="44"/>
      <c r="EPD2" s="44"/>
      <c r="EPF2" s="44"/>
      <c r="EPG2" s="44"/>
      <c r="EPH2" s="44"/>
      <c r="EPI2" s="44"/>
      <c r="EPJ2" s="44"/>
      <c r="EPK2" s="44"/>
      <c r="EPL2" s="44"/>
      <c r="EPN2" s="44"/>
      <c r="EPO2" s="44"/>
      <c r="EPP2" s="44"/>
      <c r="EPQ2" s="44"/>
      <c r="EPR2" s="44"/>
      <c r="EPS2" s="44"/>
      <c r="EPT2" s="44"/>
      <c r="EPV2" s="44"/>
      <c r="EPW2" s="44"/>
      <c r="EPX2" s="44"/>
      <c r="EPY2" s="44"/>
      <c r="EPZ2" s="44"/>
      <c r="EQA2" s="44"/>
      <c r="EQB2" s="44"/>
      <c r="EQD2" s="44"/>
      <c r="EQE2" s="44"/>
      <c r="EQF2" s="44"/>
      <c r="EQG2" s="44"/>
      <c r="EQH2" s="44"/>
      <c r="EQI2" s="44"/>
      <c r="EQJ2" s="44"/>
      <c r="EQL2" s="44"/>
      <c r="EQM2" s="44"/>
      <c r="EQN2" s="44"/>
      <c r="EQO2" s="44"/>
      <c r="EQP2" s="44"/>
      <c r="EQQ2" s="44"/>
      <c r="EQR2" s="44"/>
      <c r="EQT2" s="44"/>
      <c r="EQU2" s="44"/>
      <c r="EQV2" s="44"/>
      <c r="EQW2" s="44"/>
      <c r="EQX2" s="44"/>
      <c r="EQY2" s="44"/>
      <c r="EQZ2" s="44"/>
      <c r="ERB2" s="44"/>
      <c r="ERC2" s="44"/>
      <c r="ERD2" s="44"/>
      <c r="ERE2" s="44"/>
      <c r="ERF2" s="44"/>
      <c r="ERG2" s="44"/>
      <c r="ERH2" s="44"/>
      <c r="ERJ2" s="44"/>
      <c r="ERK2" s="44"/>
      <c r="ERL2" s="44"/>
      <c r="ERM2" s="44"/>
      <c r="ERN2" s="44"/>
      <c r="ERO2" s="44"/>
      <c r="ERP2" s="44"/>
      <c r="ERR2" s="44"/>
      <c r="ERS2" s="44"/>
      <c r="ERT2" s="44"/>
      <c r="ERU2" s="44"/>
      <c r="ERV2" s="44"/>
      <c r="ERW2" s="44"/>
      <c r="ERX2" s="44"/>
      <c r="ERZ2" s="44"/>
      <c r="ESA2" s="44"/>
      <c r="ESB2" s="44"/>
      <c r="ESC2" s="44"/>
      <c r="ESD2" s="44"/>
      <c r="ESE2" s="44"/>
      <c r="ESF2" s="44"/>
      <c r="ESH2" s="44"/>
      <c r="ESI2" s="44"/>
      <c r="ESJ2" s="44"/>
      <c r="ESK2" s="44"/>
      <c r="ESL2" s="44"/>
      <c r="ESM2" s="44"/>
      <c r="ESN2" s="44"/>
      <c r="ESP2" s="44"/>
      <c r="ESQ2" s="44"/>
      <c r="ESR2" s="44"/>
      <c r="ESS2" s="44"/>
      <c r="EST2" s="44"/>
      <c r="ESU2" s="44"/>
      <c r="ESV2" s="44"/>
      <c r="ESX2" s="44"/>
      <c r="ESY2" s="44"/>
      <c r="ESZ2" s="44"/>
      <c r="ETA2" s="44"/>
      <c r="ETB2" s="44"/>
      <c r="ETC2" s="44"/>
      <c r="ETD2" s="44"/>
      <c r="ETF2" s="44"/>
      <c r="ETG2" s="44"/>
      <c r="ETH2" s="44"/>
      <c r="ETI2" s="44"/>
      <c r="ETJ2" s="44"/>
      <c r="ETK2" s="44"/>
      <c r="ETL2" s="44"/>
      <c r="ETN2" s="44"/>
      <c r="ETO2" s="44"/>
      <c r="ETP2" s="44"/>
      <c r="ETQ2" s="44"/>
      <c r="ETR2" s="44"/>
      <c r="ETS2" s="44"/>
      <c r="ETT2" s="44"/>
      <c r="ETV2" s="44"/>
      <c r="ETW2" s="44"/>
      <c r="ETX2" s="44"/>
      <c r="ETY2" s="44"/>
      <c r="ETZ2" s="44"/>
      <c r="EUA2" s="44"/>
      <c r="EUB2" s="44"/>
      <c r="EUD2" s="44"/>
      <c r="EUE2" s="44"/>
      <c r="EUF2" s="44"/>
      <c r="EUG2" s="44"/>
      <c r="EUH2" s="44"/>
      <c r="EUI2" s="44"/>
      <c r="EUJ2" s="44"/>
      <c r="EUL2" s="44"/>
      <c r="EUM2" s="44"/>
      <c r="EUN2" s="44"/>
      <c r="EUO2" s="44"/>
      <c r="EUP2" s="44"/>
      <c r="EUQ2" s="44"/>
      <c r="EUR2" s="44"/>
      <c r="EUT2" s="44"/>
      <c r="EUU2" s="44"/>
      <c r="EUV2" s="44"/>
      <c r="EUW2" s="44"/>
      <c r="EUX2" s="44"/>
      <c r="EUY2" s="44"/>
      <c r="EUZ2" s="44"/>
      <c r="EVB2" s="44"/>
      <c r="EVC2" s="44"/>
      <c r="EVD2" s="44"/>
      <c r="EVE2" s="44"/>
      <c r="EVF2" s="44"/>
      <c r="EVG2" s="44"/>
      <c r="EVH2" s="44"/>
      <c r="EVJ2" s="44"/>
      <c r="EVK2" s="44"/>
      <c r="EVL2" s="44"/>
      <c r="EVM2" s="44"/>
      <c r="EVN2" s="44"/>
      <c r="EVO2" s="44"/>
      <c r="EVP2" s="44"/>
      <c r="EVR2" s="44"/>
      <c r="EVS2" s="44"/>
      <c r="EVT2" s="44"/>
      <c r="EVU2" s="44"/>
      <c r="EVV2" s="44"/>
      <c r="EVW2" s="44"/>
      <c r="EVX2" s="44"/>
      <c r="EVZ2" s="44"/>
      <c r="EWA2" s="44"/>
      <c r="EWB2" s="44"/>
      <c r="EWC2" s="44"/>
      <c r="EWD2" s="44"/>
      <c r="EWE2" s="44"/>
      <c r="EWF2" s="44"/>
      <c r="EWH2" s="44"/>
      <c r="EWI2" s="44"/>
      <c r="EWJ2" s="44"/>
      <c r="EWK2" s="44"/>
      <c r="EWL2" s="44"/>
      <c r="EWM2" s="44"/>
      <c r="EWN2" s="44"/>
      <c r="EWP2" s="44"/>
      <c r="EWQ2" s="44"/>
      <c r="EWR2" s="44"/>
      <c r="EWS2" s="44"/>
      <c r="EWT2" s="44"/>
      <c r="EWU2" s="44"/>
      <c r="EWV2" s="44"/>
      <c r="EWX2" s="44"/>
      <c r="EWY2" s="44"/>
      <c r="EWZ2" s="44"/>
      <c r="EXA2" s="44"/>
      <c r="EXB2" s="44"/>
      <c r="EXC2" s="44"/>
      <c r="EXD2" s="44"/>
      <c r="EXF2" s="44"/>
      <c r="EXG2" s="44"/>
      <c r="EXH2" s="44"/>
      <c r="EXI2" s="44"/>
      <c r="EXJ2" s="44"/>
      <c r="EXK2" s="44"/>
      <c r="EXL2" s="44"/>
      <c r="EXN2" s="44"/>
      <c r="EXO2" s="44"/>
      <c r="EXP2" s="44"/>
      <c r="EXQ2" s="44"/>
      <c r="EXR2" s="44"/>
      <c r="EXS2" s="44"/>
      <c r="EXT2" s="44"/>
      <c r="EXV2" s="44"/>
      <c r="EXW2" s="44"/>
      <c r="EXX2" s="44"/>
      <c r="EXY2" s="44"/>
      <c r="EXZ2" s="44"/>
      <c r="EYA2" s="44"/>
      <c r="EYB2" s="44"/>
      <c r="EYD2" s="44"/>
      <c r="EYE2" s="44"/>
      <c r="EYF2" s="44"/>
      <c r="EYG2" s="44"/>
      <c r="EYH2" s="44"/>
      <c r="EYI2" s="44"/>
      <c r="EYJ2" s="44"/>
      <c r="EYL2" s="44"/>
      <c r="EYM2" s="44"/>
      <c r="EYN2" s="44"/>
      <c r="EYO2" s="44"/>
      <c r="EYP2" s="44"/>
      <c r="EYQ2" s="44"/>
      <c r="EYR2" s="44"/>
      <c r="EYT2" s="44"/>
      <c r="EYU2" s="44"/>
      <c r="EYV2" s="44"/>
      <c r="EYW2" s="44"/>
      <c r="EYX2" s="44"/>
      <c r="EYY2" s="44"/>
      <c r="EYZ2" s="44"/>
      <c r="EZB2" s="44"/>
      <c r="EZC2" s="44"/>
      <c r="EZD2" s="44"/>
      <c r="EZE2" s="44"/>
      <c r="EZF2" s="44"/>
      <c r="EZG2" s="44"/>
      <c r="EZH2" s="44"/>
      <c r="EZJ2" s="44"/>
      <c r="EZK2" s="44"/>
      <c r="EZL2" s="44"/>
      <c r="EZM2" s="44"/>
      <c r="EZN2" s="44"/>
      <c r="EZO2" s="44"/>
      <c r="EZP2" s="44"/>
      <c r="EZR2" s="44"/>
      <c r="EZS2" s="44"/>
      <c r="EZT2" s="44"/>
      <c r="EZU2" s="44"/>
      <c r="EZV2" s="44"/>
      <c r="EZW2" s="44"/>
      <c r="EZX2" s="44"/>
      <c r="EZZ2" s="44"/>
      <c r="FAA2" s="44"/>
      <c r="FAB2" s="44"/>
      <c r="FAC2" s="44"/>
      <c r="FAD2" s="44"/>
      <c r="FAE2" s="44"/>
      <c r="FAF2" s="44"/>
      <c r="FAH2" s="44"/>
      <c r="FAI2" s="44"/>
      <c r="FAJ2" s="44"/>
      <c r="FAK2" s="44"/>
      <c r="FAL2" s="44"/>
      <c r="FAM2" s="44"/>
      <c r="FAN2" s="44"/>
      <c r="FAP2" s="44"/>
      <c r="FAQ2" s="44"/>
      <c r="FAR2" s="44"/>
      <c r="FAS2" s="44"/>
      <c r="FAT2" s="44"/>
      <c r="FAU2" s="44"/>
      <c r="FAV2" s="44"/>
      <c r="FAX2" s="44"/>
      <c r="FAY2" s="44"/>
      <c r="FAZ2" s="44"/>
      <c r="FBA2" s="44"/>
      <c r="FBB2" s="44"/>
      <c r="FBC2" s="44"/>
      <c r="FBD2" s="44"/>
      <c r="FBF2" s="44"/>
      <c r="FBG2" s="44"/>
      <c r="FBH2" s="44"/>
      <c r="FBI2" s="44"/>
      <c r="FBJ2" s="44"/>
      <c r="FBK2" s="44"/>
      <c r="FBL2" s="44"/>
      <c r="FBN2" s="44"/>
      <c r="FBO2" s="44"/>
      <c r="FBP2" s="44"/>
      <c r="FBQ2" s="44"/>
      <c r="FBR2" s="44"/>
      <c r="FBS2" s="44"/>
      <c r="FBT2" s="44"/>
      <c r="FBV2" s="44"/>
      <c r="FBW2" s="44"/>
      <c r="FBX2" s="44"/>
      <c r="FBY2" s="44"/>
      <c r="FBZ2" s="44"/>
      <c r="FCA2" s="44"/>
      <c r="FCB2" s="44"/>
      <c r="FCD2" s="44"/>
      <c r="FCE2" s="44"/>
      <c r="FCF2" s="44"/>
      <c r="FCG2" s="44"/>
      <c r="FCH2" s="44"/>
      <c r="FCI2" s="44"/>
      <c r="FCJ2" s="44"/>
      <c r="FCL2" s="44"/>
      <c r="FCM2" s="44"/>
      <c r="FCN2" s="44"/>
      <c r="FCO2" s="44"/>
      <c r="FCP2" s="44"/>
      <c r="FCQ2" s="44"/>
      <c r="FCR2" s="44"/>
      <c r="FCT2" s="44"/>
      <c r="FCU2" s="44"/>
      <c r="FCV2" s="44"/>
      <c r="FCW2" s="44"/>
      <c r="FCX2" s="44"/>
      <c r="FCY2" s="44"/>
      <c r="FCZ2" s="44"/>
      <c r="FDB2" s="44"/>
      <c r="FDC2" s="44"/>
      <c r="FDD2" s="44"/>
      <c r="FDE2" s="44"/>
      <c r="FDF2" s="44"/>
      <c r="FDG2" s="44"/>
      <c r="FDH2" s="44"/>
      <c r="FDJ2" s="44"/>
      <c r="FDK2" s="44"/>
      <c r="FDL2" s="44"/>
      <c r="FDM2" s="44"/>
      <c r="FDN2" s="44"/>
      <c r="FDO2" s="44"/>
      <c r="FDP2" s="44"/>
      <c r="FDR2" s="44"/>
      <c r="FDS2" s="44"/>
      <c r="FDT2" s="44"/>
      <c r="FDU2" s="44"/>
      <c r="FDV2" s="44"/>
      <c r="FDW2" s="44"/>
      <c r="FDX2" s="44"/>
      <c r="FDZ2" s="44"/>
      <c r="FEA2" s="44"/>
      <c r="FEB2" s="44"/>
      <c r="FEC2" s="44"/>
      <c r="FED2" s="44"/>
      <c r="FEE2" s="44"/>
      <c r="FEF2" s="44"/>
      <c r="FEH2" s="44"/>
      <c r="FEI2" s="44"/>
      <c r="FEJ2" s="44"/>
      <c r="FEK2" s="44"/>
      <c r="FEL2" s="44"/>
      <c r="FEM2" s="44"/>
      <c r="FEN2" s="44"/>
      <c r="FEP2" s="44"/>
      <c r="FEQ2" s="44"/>
      <c r="FER2" s="44"/>
      <c r="FES2" s="44"/>
      <c r="FET2" s="44"/>
      <c r="FEU2" s="44"/>
      <c r="FEV2" s="44"/>
      <c r="FEX2" s="44"/>
      <c r="FEY2" s="44"/>
      <c r="FEZ2" s="44"/>
      <c r="FFA2" s="44"/>
      <c r="FFB2" s="44"/>
      <c r="FFC2" s="44"/>
      <c r="FFD2" s="44"/>
      <c r="FFF2" s="44"/>
      <c r="FFG2" s="44"/>
      <c r="FFH2" s="44"/>
      <c r="FFI2" s="44"/>
      <c r="FFJ2" s="44"/>
      <c r="FFK2" s="44"/>
      <c r="FFL2" s="44"/>
      <c r="FFN2" s="44"/>
      <c r="FFO2" s="44"/>
      <c r="FFP2" s="44"/>
      <c r="FFQ2" s="44"/>
      <c r="FFR2" s="44"/>
      <c r="FFS2" s="44"/>
      <c r="FFT2" s="44"/>
      <c r="FFV2" s="44"/>
      <c r="FFW2" s="44"/>
      <c r="FFX2" s="44"/>
      <c r="FFY2" s="44"/>
      <c r="FFZ2" s="44"/>
      <c r="FGA2" s="44"/>
      <c r="FGB2" s="44"/>
      <c r="FGD2" s="44"/>
      <c r="FGE2" s="44"/>
      <c r="FGF2" s="44"/>
      <c r="FGG2" s="44"/>
      <c r="FGH2" s="44"/>
      <c r="FGI2" s="44"/>
      <c r="FGJ2" s="44"/>
      <c r="FGL2" s="44"/>
      <c r="FGM2" s="44"/>
      <c r="FGN2" s="44"/>
      <c r="FGO2" s="44"/>
      <c r="FGP2" s="44"/>
      <c r="FGQ2" s="44"/>
      <c r="FGR2" s="44"/>
      <c r="FGT2" s="44"/>
      <c r="FGU2" s="44"/>
      <c r="FGV2" s="44"/>
      <c r="FGW2" s="44"/>
      <c r="FGX2" s="44"/>
      <c r="FGY2" s="44"/>
      <c r="FGZ2" s="44"/>
      <c r="FHB2" s="44"/>
      <c r="FHC2" s="44"/>
      <c r="FHD2" s="44"/>
      <c r="FHE2" s="44"/>
      <c r="FHF2" s="44"/>
      <c r="FHG2" s="44"/>
      <c r="FHH2" s="44"/>
      <c r="FHJ2" s="44"/>
      <c r="FHK2" s="44"/>
      <c r="FHL2" s="44"/>
      <c r="FHM2" s="44"/>
      <c r="FHN2" s="44"/>
      <c r="FHO2" s="44"/>
      <c r="FHP2" s="44"/>
      <c r="FHR2" s="44"/>
      <c r="FHS2" s="44"/>
      <c r="FHT2" s="44"/>
      <c r="FHU2" s="44"/>
      <c r="FHV2" s="44"/>
      <c r="FHW2" s="44"/>
      <c r="FHX2" s="44"/>
      <c r="FHZ2" s="44"/>
      <c r="FIA2" s="44"/>
      <c r="FIB2" s="44"/>
      <c r="FIC2" s="44"/>
      <c r="FID2" s="44"/>
      <c r="FIE2" s="44"/>
      <c r="FIF2" s="44"/>
      <c r="FIH2" s="44"/>
      <c r="FII2" s="44"/>
      <c r="FIJ2" s="44"/>
      <c r="FIK2" s="44"/>
      <c r="FIL2" s="44"/>
      <c r="FIM2" s="44"/>
      <c r="FIN2" s="44"/>
      <c r="FIP2" s="44"/>
      <c r="FIQ2" s="44"/>
      <c r="FIR2" s="44"/>
      <c r="FIS2" s="44"/>
      <c r="FIT2" s="44"/>
      <c r="FIU2" s="44"/>
      <c r="FIV2" s="44"/>
      <c r="FIX2" s="44"/>
      <c r="FIY2" s="44"/>
      <c r="FIZ2" s="44"/>
      <c r="FJA2" s="44"/>
      <c r="FJB2" s="44"/>
      <c r="FJC2" s="44"/>
      <c r="FJD2" s="44"/>
      <c r="FJF2" s="44"/>
      <c r="FJG2" s="44"/>
      <c r="FJH2" s="44"/>
      <c r="FJI2" s="44"/>
      <c r="FJJ2" s="44"/>
      <c r="FJK2" s="44"/>
      <c r="FJL2" s="44"/>
      <c r="FJN2" s="44"/>
      <c r="FJO2" s="44"/>
      <c r="FJP2" s="44"/>
      <c r="FJQ2" s="44"/>
      <c r="FJR2" s="44"/>
      <c r="FJS2" s="44"/>
      <c r="FJT2" s="44"/>
      <c r="FJV2" s="44"/>
      <c r="FJW2" s="44"/>
      <c r="FJX2" s="44"/>
      <c r="FJY2" s="44"/>
      <c r="FJZ2" s="44"/>
      <c r="FKA2" s="44"/>
      <c r="FKB2" s="44"/>
      <c r="FKD2" s="44"/>
      <c r="FKE2" s="44"/>
      <c r="FKF2" s="44"/>
      <c r="FKG2" s="44"/>
      <c r="FKH2" s="44"/>
      <c r="FKI2" s="44"/>
      <c r="FKJ2" s="44"/>
      <c r="FKL2" s="44"/>
      <c r="FKM2" s="44"/>
      <c r="FKN2" s="44"/>
      <c r="FKO2" s="44"/>
      <c r="FKP2" s="44"/>
      <c r="FKQ2" s="44"/>
      <c r="FKR2" s="44"/>
      <c r="FKT2" s="44"/>
      <c r="FKU2" s="44"/>
      <c r="FKV2" s="44"/>
      <c r="FKW2" s="44"/>
      <c r="FKX2" s="44"/>
      <c r="FKY2" s="44"/>
      <c r="FKZ2" s="44"/>
      <c r="FLB2" s="44"/>
      <c r="FLC2" s="44"/>
      <c r="FLD2" s="44"/>
      <c r="FLE2" s="44"/>
      <c r="FLF2" s="44"/>
      <c r="FLG2" s="44"/>
      <c r="FLH2" s="44"/>
      <c r="FLJ2" s="44"/>
      <c r="FLK2" s="44"/>
      <c r="FLL2" s="44"/>
      <c r="FLM2" s="44"/>
      <c r="FLN2" s="44"/>
      <c r="FLO2" s="44"/>
      <c r="FLP2" s="44"/>
      <c r="FLR2" s="44"/>
      <c r="FLS2" s="44"/>
      <c r="FLT2" s="44"/>
      <c r="FLU2" s="44"/>
      <c r="FLV2" s="44"/>
      <c r="FLW2" s="44"/>
      <c r="FLX2" s="44"/>
      <c r="FLZ2" s="44"/>
      <c r="FMA2" s="44"/>
      <c r="FMB2" s="44"/>
      <c r="FMC2" s="44"/>
      <c r="FMD2" s="44"/>
      <c r="FME2" s="44"/>
      <c r="FMF2" s="44"/>
      <c r="FMH2" s="44"/>
      <c r="FMI2" s="44"/>
      <c r="FMJ2" s="44"/>
      <c r="FMK2" s="44"/>
      <c r="FML2" s="44"/>
      <c r="FMM2" s="44"/>
      <c r="FMN2" s="44"/>
      <c r="FMP2" s="44"/>
      <c r="FMQ2" s="44"/>
      <c r="FMR2" s="44"/>
      <c r="FMS2" s="44"/>
      <c r="FMT2" s="44"/>
      <c r="FMU2" s="44"/>
      <c r="FMV2" s="44"/>
      <c r="FMX2" s="44"/>
      <c r="FMY2" s="44"/>
      <c r="FMZ2" s="44"/>
      <c r="FNA2" s="44"/>
      <c r="FNB2" s="44"/>
      <c r="FNC2" s="44"/>
      <c r="FND2" s="44"/>
      <c r="FNF2" s="44"/>
      <c r="FNG2" s="44"/>
      <c r="FNH2" s="44"/>
      <c r="FNI2" s="44"/>
      <c r="FNJ2" s="44"/>
      <c r="FNK2" s="44"/>
      <c r="FNL2" s="44"/>
      <c r="FNN2" s="44"/>
      <c r="FNO2" s="44"/>
      <c r="FNP2" s="44"/>
      <c r="FNQ2" s="44"/>
      <c r="FNR2" s="44"/>
      <c r="FNS2" s="44"/>
      <c r="FNT2" s="44"/>
      <c r="FNV2" s="44"/>
      <c r="FNW2" s="44"/>
      <c r="FNX2" s="44"/>
      <c r="FNY2" s="44"/>
      <c r="FNZ2" s="44"/>
      <c r="FOA2" s="44"/>
      <c r="FOB2" s="44"/>
      <c r="FOD2" s="44"/>
      <c r="FOE2" s="44"/>
      <c r="FOF2" s="44"/>
      <c r="FOG2" s="44"/>
      <c r="FOH2" s="44"/>
      <c r="FOI2" s="44"/>
      <c r="FOJ2" s="44"/>
      <c r="FOL2" s="44"/>
      <c r="FOM2" s="44"/>
      <c r="FON2" s="44"/>
      <c r="FOO2" s="44"/>
      <c r="FOP2" s="44"/>
      <c r="FOQ2" s="44"/>
      <c r="FOR2" s="44"/>
      <c r="FOT2" s="44"/>
      <c r="FOU2" s="44"/>
      <c r="FOV2" s="44"/>
      <c r="FOW2" s="44"/>
      <c r="FOX2" s="44"/>
      <c r="FOY2" s="44"/>
      <c r="FOZ2" s="44"/>
      <c r="FPB2" s="44"/>
      <c r="FPC2" s="44"/>
      <c r="FPD2" s="44"/>
      <c r="FPE2" s="44"/>
      <c r="FPF2" s="44"/>
      <c r="FPG2" s="44"/>
      <c r="FPH2" s="44"/>
      <c r="FPJ2" s="44"/>
      <c r="FPK2" s="44"/>
      <c r="FPL2" s="44"/>
      <c r="FPM2" s="44"/>
      <c r="FPN2" s="44"/>
      <c r="FPO2" s="44"/>
      <c r="FPP2" s="44"/>
      <c r="FPR2" s="44"/>
      <c r="FPS2" s="44"/>
      <c r="FPT2" s="44"/>
      <c r="FPU2" s="44"/>
      <c r="FPV2" s="44"/>
      <c r="FPW2" s="44"/>
      <c r="FPX2" s="44"/>
      <c r="FPZ2" s="44"/>
      <c r="FQA2" s="44"/>
      <c r="FQB2" s="44"/>
      <c r="FQC2" s="44"/>
      <c r="FQD2" s="44"/>
      <c r="FQE2" s="44"/>
      <c r="FQF2" s="44"/>
      <c r="FQH2" s="44"/>
      <c r="FQI2" s="44"/>
      <c r="FQJ2" s="44"/>
      <c r="FQK2" s="44"/>
      <c r="FQL2" s="44"/>
      <c r="FQM2" s="44"/>
      <c r="FQN2" s="44"/>
      <c r="FQP2" s="44"/>
      <c r="FQQ2" s="44"/>
      <c r="FQR2" s="44"/>
      <c r="FQS2" s="44"/>
      <c r="FQT2" s="44"/>
      <c r="FQU2" s="44"/>
      <c r="FQV2" s="44"/>
      <c r="FQX2" s="44"/>
      <c r="FQY2" s="44"/>
      <c r="FQZ2" s="44"/>
      <c r="FRA2" s="44"/>
      <c r="FRB2" s="44"/>
      <c r="FRC2" s="44"/>
      <c r="FRD2" s="44"/>
      <c r="FRF2" s="44"/>
      <c r="FRG2" s="44"/>
      <c r="FRH2" s="44"/>
      <c r="FRI2" s="44"/>
      <c r="FRJ2" s="44"/>
      <c r="FRK2" s="44"/>
      <c r="FRL2" s="44"/>
      <c r="FRN2" s="44"/>
      <c r="FRO2" s="44"/>
      <c r="FRP2" s="44"/>
      <c r="FRQ2" s="44"/>
      <c r="FRR2" s="44"/>
      <c r="FRS2" s="44"/>
      <c r="FRT2" s="44"/>
      <c r="FRV2" s="44"/>
      <c r="FRW2" s="44"/>
      <c r="FRX2" s="44"/>
      <c r="FRY2" s="44"/>
      <c r="FRZ2" s="44"/>
      <c r="FSA2" s="44"/>
      <c r="FSB2" s="44"/>
      <c r="FSD2" s="44"/>
      <c r="FSE2" s="44"/>
      <c r="FSF2" s="44"/>
      <c r="FSG2" s="44"/>
      <c r="FSH2" s="44"/>
      <c r="FSI2" s="44"/>
      <c r="FSJ2" s="44"/>
      <c r="FSL2" s="44"/>
      <c r="FSM2" s="44"/>
      <c r="FSN2" s="44"/>
      <c r="FSO2" s="44"/>
      <c r="FSP2" s="44"/>
      <c r="FSQ2" s="44"/>
      <c r="FSR2" s="44"/>
      <c r="FST2" s="44"/>
      <c r="FSU2" s="44"/>
      <c r="FSV2" s="44"/>
      <c r="FSW2" s="44"/>
      <c r="FSX2" s="44"/>
      <c r="FSY2" s="44"/>
      <c r="FSZ2" s="44"/>
      <c r="FTB2" s="44"/>
      <c r="FTC2" s="44"/>
      <c r="FTD2" s="44"/>
      <c r="FTE2" s="44"/>
      <c r="FTF2" s="44"/>
      <c r="FTG2" s="44"/>
      <c r="FTH2" s="44"/>
      <c r="FTJ2" s="44"/>
      <c r="FTK2" s="44"/>
      <c r="FTL2" s="44"/>
      <c r="FTM2" s="44"/>
      <c r="FTN2" s="44"/>
      <c r="FTO2" s="44"/>
      <c r="FTP2" s="44"/>
      <c r="FTR2" s="44"/>
      <c r="FTS2" s="44"/>
      <c r="FTT2" s="44"/>
      <c r="FTU2" s="44"/>
      <c r="FTV2" s="44"/>
      <c r="FTW2" s="44"/>
      <c r="FTX2" s="44"/>
      <c r="FTZ2" s="44"/>
      <c r="FUA2" s="44"/>
      <c r="FUB2" s="44"/>
      <c r="FUC2" s="44"/>
      <c r="FUD2" s="44"/>
      <c r="FUE2" s="44"/>
      <c r="FUF2" s="44"/>
      <c r="FUH2" s="44"/>
      <c r="FUI2" s="44"/>
      <c r="FUJ2" s="44"/>
      <c r="FUK2" s="44"/>
      <c r="FUL2" s="44"/>
      <c r="FUM2" s="44"/>
      <c r="FUN2" s="44"/>
      <c r="FUP2" s="44"/>
      <c r="FUQ2" s="44"/>
      <c r="FUR2" s="44"/>
      <c r="FUS2" s="44"/>
      <c r="FUT2" s="44"/>
      <c r="FUU2" s="44"/>
      <c r="FUV2" s="44"/>
      <c r="FUX2" s="44"/>
      <c r="FUY2" s="44"/>
      <c r="FUZ2" s="44"/>
      <c r="FVA2" s="44"/>
      <c r="FVB2" s="44"/>
      <c r="FVC2" s="44"/>
      <c r="FVD2" s="44"/>
      <c r="FVF2" s="44"/>
      <c r="FVG2" s="44"/>
      <c r="FVH2" s="44"/>
      <c r="FVI2" s="44"/>
      <c r="FVJ2" s="44"/>
      <c r="FVK2" s="44"/>
      <c r="FVL2" s="44"/>
      <c r="FVN2" s="44"/>
      <c r="FVO2" s="44"/>
      <c r="FVP2" s="44"/>
      <c r="FVQ2" s="44"/>
      <c r="FVR2" s="44"/>
      <c r="FVS2" s="44"/>
      <c r="FVT2" s="44"/>
      <c r="FVV2" s="44"/>
      <c r="FVW2" s="44"/>
      <c r="FVX2" s="44"/>
      <c r="FVY2" s="44"/>
      <c r="FVZ2" s="44"/>
      <c r="FWA2" s="44"/>
      <c r="FWB2" s="44"/>
      <c r="FWD2" s="44"/>
      <c r="FWE2" s="44"/>
      <c r="FWF2" s="44"/>
      <c r="FWG2" s="44"/>
      <c r="FWH2" s="44"/>
      <c r="FWI2" s="44"/>
      <c r="FWJ2" s="44"/>
      <c r="FWL2" s="44"/>
      <c r="FWM2" s="44"/>
      <c r="FWN2" s="44"/>
      <c r="FWO2" s="44"/>
      <c r="FWP2" s="44"/>
      <c r="FWQ2" s="44"/>
      <c r="FWR2" s="44"/>
      <c r="FWT2" s="44"/>
      <c r="FWU2" s="44"/>
      <c r="FWV2" s="44"/>
      <c r="FWW2" s="44"/>
      <c r="FWX2" s="44"/>
      <c r="FWY2" s="44"/>
      <c r="FWZ2" s="44"/>
      <c r="FXB2" s="44"/>
      <c r="FXC2" s="44"/>
      <c r="FXD2" s="44"/>
      <c r="FXE2" s="44"/>
      <c r="FXF2" s="44"/>
      <c r="FXG2" s="44"/>
      <c r="FXH2" s="44"/>
      <c r="FXJ2" s="44"/>
      <c r="FXK2" s="44"/>
      <c r="FXL2" s="44"/>
      <c r="FXM2" s="44"/>
      <c r="FXN2" s="44"/>
      <c r="FXO2" s="44"/>
      <c r="FXP2" s="44"/>
      <c r="FXR2" s="44"/>
      <c r="FXS2" s="44"/>
      <c r="FXT2" s="44"/>
      <c r="FXU2" s="44"/>
      <c r="FXV2" s="44"/>
      <c r="FXW2" s="44"/>
      <c r="FXX2" s="44"/>
      <c r="FXZ2" s="44"/>
      <c r="FYA2" s="44"/>
      <c r="FYB2" s="44"/>
      <c r="FYC2" s="44"/>
      <c r="FYD2" s="44"/>
      <c r="FYE2" s="44"/>
      <c r="FYF2" s="44"/>
      <c r="FYH2" s="44"/>
      <c r="FYI2" s="44"/>
      <c r="FYJ2" s="44"/>
      <c r="FYK2" s="44"/>
      <c r="FYL2" s="44"/>
      <c r="FYM2" s="44"/>
      <c r="FYN2" s="44"/>
      <c r="FYP2" s="44"/>
      <c r="FYQ2" s="44"/>
      <c r="FYR2" s="44"/>
      <c r="FYS2" s="44"/>
      <c r="FYT2" s="44"/>
      <c r="FYU2" s="44"/>
      <c r="FYV2" s="44"/>
      <c r="FYX2" s="44"/>
      <c r="FYY2" s="44"/>
      <c r="FYZ2" s="44"/>
      <c r="FZA2" s="44"/>
      <c r="FZB2" s="44"/>
      <c r="FZC2" s="44"/>
      <c r="FZD2" s="44"/>
      <c r="FZF2" s="44"/>
      <c r="FZG2" s="44"/>
      <c r="FZH2" s="44"/>
      <c r="FZI2" s="44"/>
      <c r="FZJ2" s="44"/>
      <c r="FZK2" s="44"/>
      <c r="FZL2" s="44"/>
      <c r="FZN2" s="44"/>
      <c r="FZO2" s="44"/>
      <c r="FZP2" s="44"/>
      <c r="FZQ2" s="44"/>
      <c r="FZR2" s="44"/>
      <c r="FZS2" s="44"/>
      <c r="FZT2" s="44"/>
      <c r="FZV2" s="44"/>
      <c r="FZW2" s="44"/>
      <c r="FZX2" s="44"/>
      <c r="FZY2" s="44"/>
      <c r="FZZ2" s="44"/>
      <c r="GAA2" s="44"/>
      <c r="GAB2" s="44"/>
      <c r="GAD2" s="44"/>
      <c r="GAE2" s="44"/>
      <c r="GAF2" s="44"/>
      <c r="GAG2" s="44"/>
      <c r="GAH2" s="44"/>
      <c r="GAI2" s="44"/>
      <c r="GAJ2" s="44"/>
      <c r="GAL2" s="44"/>
      <c r="GAM2" s="44"/>
      <c r="GAN2" s="44"/>
      <c r="GAO2" s="44"/>
      <c r="GAP2" s="44"/>
      <c r="GAQ2" s="44"/>
      <c r="GAR2" s="44"/>
      <c r="GAT2" s="44"/>
      <c r="GAU2" s="44"/>
      <c r="GAV2" s="44"/>
      <c r="GAW2" s="44"/>
      <c r="GAX2" s="44"/>
      <c r="GAY2" s="44"/>
      <c r="GAZ2" s="44"/>
      <c r="GBB2" s="44"/>
      <c r="GBC2" s="44"/>
      <c r="GBD2" s="44"/>
      <c r="GBE2" s="44"/>
      <c r="GBF2" s="44"/>
      <c r="GBG2" s="44"/>
      <c r="GBH2" s="44"/>
      <c r="GBJ2" s="44"/>
      <c r="GBK2" s="44"/>
      <c r="GBL2" s="44"/>
      <c r="GBM2" s="44"/>
      <c r="GBN2" s="44"/>
      <c r="GBO2" s="44"/>
      <c r="GBP2" s="44"/>
      <c r="GBR2" s="44"/>
      <c r="GBS2" s="44"/>
      <c r="GBT2" s="44"/>
      <c r="GBU2" s="44"/>
      <c r="GBV2" s="44"/>
      <c r="GBW2" s="44"/>
      <c r="GBX2" s="44"/>
      <c r="GBZ2" s="44"/>
      <c r="GCA2" s="44"/>
      <c r="GCB2" s="44"/>
      <c r="GCC2" s="44"/>
      <c r="GCD2" s="44"/>
      <c r="GCE2" s="44"/>
      <c r="GCF2" s="44"/>
      <c r="GCH2" s="44"/>
      <c r="GCI2" s="44"/>
      <c r="GCJ2" s="44"/>
      <c r="GCK2" s="44"/>
      <c r="GCL2" s="44"/>
      <c r="GCM2" s="44"/>
      <c r="GCN2" s="44"/>
      <c r="GCP2" s="44"/>
      <c r="GCQ2" s="44"/>
      <c r="GCR2" s="44"/>
      <c r="GCS2" s="44"/>
      <c r="GCT2" s="44"/>
      <c r="GCU2" s="44"/>
      <c r="GCV2" s="44"/>
      <c r="GCX2" s="44"/>
      <c r="GCY2" s="44"/>
      <c r="GCZ2" s="44"/>
      <c r="GDA2" s="44"/>
      <c r="GDB2" s="44"/>
      <c r="GDC2" s="44"/>
      <c r="GDD2" s="44"/>
      <c r="GDF2" s="44"/>
      <c r="GDG2" s="44"/>
      <c r="GDH2" s="44"/>
      <c r="GDI2" s="44"/>
      <c r="GDJ2" s="44"/>
      <c r="GDK2" s="44"/>
      <c r="GDL2" s="44"/>
      <c r="GDN2" s="44"/>
      <c r="GDO2" s="44"/>
      <c r="GDP2" s="44"/>
      <c r="GDQ2" s="44"/>
      <c r="GDR2" s="44"/>
      <c r="GDS2" s="44"/>
      <c r="GDT2" s="44"/>
      <c r="GDV2" s="44"/>
      <c r="GDW2" s="44"/>
      <c r="GDX2" s="44"/>
      <c r="GDY2" s="44"/>
      <c r="GDZ2" s="44"/>
      <c r="GEA2" s="44"/>
      <c r="GEB2" s="44"/>
      <c r="GED2" s="44"/>
      <c r="GEE2" s="44"/>
      <c r="GEF2" s="44"/>
      <c r="GEG2" s="44"/>
      <c r="GEH2" s="44"/>
      <c r="GEI2" s="44"/>
      <c r="GEJ2" s="44"/>
      <c r="GEL2" s="44"/>
      <c r="GEM2" s="44"/>
      <c r="GEN2" s="44"/>
      <c r="GEO2" s="44"/>
      <c r="GEP2" s="44"/>
      <c r="GEQ2" s="44"/>
      <c r="GER2" s="44"/>
      <c r="GET2" s="44"/>
      <c r="GEU2" s="44"/>
      <c r="GEV2" s="44"/>
      <c r="GEW2" s="44"/>
      <c r="GEX2" s="44"/>
      <c r="GEY2" s="44"/>
      <c r="GEZ2" s="44"/>
      <c r="GFB2" s="44"/>
      <c r="GFC2" s="44"/>
      <c r="GFD2" s="44"/>
      <c r="GFE2" s="44"/>
      <c r="GFF2" s="44"/>
      <c r="GFG2" s="44"/>
      <c r="GFH2" s="44"/>
      <c r="GFJ2" s="44"/>
      <c r="GFK2" s="44"/>
      <c r="GFL2" s="44"/>
      <c r="GFM2" s="44"/>
      <c r="GFN2" s="44"/>
      <c r="GFO2" s="44"/>
      <c r="GFP2" s="44"/>
      <c r="GFR2" s="44"/>
      <c r="GFS2" s="44"/>
      <c r="GFT2" s="44"/>
      <c r="GFU2" s="44"/>
      <c r="GFV2" s="44"/>
      <c r="GFW2" s="44"/>
      <c r="GFX2" s="44"/>
      <c r="GFZ2" s="44"/>
      <c r="GGA2" s="44"/>
      <c r="GGB2" s="44"/>
      <c r="GGC2" s="44"/>
      <c r="GGD2" s="44"/>
      <c r="GGE2" s="44"/>
      <c r="GGF2" s="44"/>
      <c r="GGH2" s="44"/>
      <c r="GGI2" s="44"/>
      <c r="GGJ2" s="44"/>
      <c r="GGK2" s="44"/>
      <c r="GGL2" s="44"/>
      <c r="GGM2" s="44"/>
      <c r="GGN2" s="44"/>
      <c r="GGP2" s="44"/>
      <c r="GGQ2" s="44"/>
      <c r="GGR2" s="44"/>
      <c r="GGS2" s="44"/>
      <c r="GGT2" s="44"/>
      <c r="GGU2" s="44"/>
      <c r="GGV2" s="44"/>
      <c r="GGX2" s="44"/>
      <c r="GGY2" s="44"/>
      <c r="GGZ2" s="44"/>
      <c r="GHA2" s="44"/>
      <c r="GHB2" s="44"/>
      <c r="GHC2" s="44"/>
      <c r="GHD2" s="44"/>
      <c r="GHF2" s="44"/>
      <c r="GHG2" s="44"/>
      <c r="GHH2" s="44"/>
      <c r="GHI2" s="44"/>
      <c r="GHJ2" s="44"/>
      <c r="GHK2" s="44"/>
      <c r="GHL2" s="44"/>
      <c r="GHN2" s="44"/>
      <c r="GHO2" s="44"/>
      <c r="GHP2" s="44"/>
      <c r="GHQ2" s="44"/>
      <c r="GHR2" s="44"/>
      <c r="GHS2" s="44"/>
      <c r="GHT2" s="44"/>
      <c r="GHV2" s="44"/>
      <c r="GHW2" s="44"/>
      <c r="GHX2" s="44"/>
      <c r="GHY2" s="44"/>
      <c r="GHZ2" s="44"/>
      <c r="GIA2" s="44"/>
      <c r="GIB2" s="44"/>
      <c r="GID2" s="44"/>
      <c r="GIE2" s="44"/>
      <c r="GIF2" s="44"/>
      <c r="GIG2" s="44"/>
      <c r="GIH2" s="44"/>
      <c r="GII2" s="44"/>
      <c r="GIJ2" s="44"/>
      <c r="GIL2" s="44"/>
      <c r="GIM2" s="44"/>
      <c r="GIN2" s="44"/>
      <c r="GIO2" s="44"/>
      <c r="GIP2" s="44"/>
      <c r="GIQ2" s="44"/>
      <c r="GIR2" s="44"/>
      <c r="GIT2" s="44"/>
      <c r="GIU2" s="44"/>
      <c r="GIV2" s="44"/>
      <c r="GIW2" s="44"/>
      <c r="GIX2" s="44"/>
      <c r="GIY2" s="44"/>
      <c r="GIZ2" s="44"/>
      <c r="GJB2" s="44"/>
      <c r="GJC2" s="44"/>
      <c r="GJD2" s="44"/>
      <c r="GJE2" s="44"/>
      <c r="GJF2" s="44"/>
      <c r="GJG2" s="44"/>
      <c r="GJH2" s="44"/>
      <c r="GJJ2" s="44"/>
      <c r="GJK2" s="44"/>
      <c r="GJL2" s="44"/>
      <c r="GJM2" s="44"/>
      <c r="GJN2" s="44"/>
      <c r="GJO2" s="44"/>
      <c r="GJP2" s="44"/>
      <c r="GJR2" s="44"/>
      <c r="GJS2" s="44"/>
      <c r="GJT2" s="44"/>
      <c r="GJU2" s="44"/>
      <c r="GJV2" s="44"/>
      <c r="GJW2" s="44"/>
      <c r="GJX2" s="44"/>
      <c r="GJZ2" s="44"/>
      <c r="GKA2" s="44"/>
      <c r="GKB2" s="44"/>
      <c r="GKC2" s="44"/>
      <c r="GKD2" s="44"/>
      <c r="GKE2" s="44"/>
      <c r="GKF2" s="44"/>
      <c r="GKH2" s="44"/>
      <c r="GKI2" s="44"/>
      <c r="GKJ2" s="44"/>
      <c r="GKK2" s="44"/>
      <c r="GKL2" s="44"/>
      <c r="GKM2" s="44"/>
      <c r="GKN2" s="44"/>
      <c r="GKP2" s="44"/>
      <c r="GKQ2" s="44"/>
      <c r="GKR2" s="44"/>
      <c r="GKS2" s="44"/>
      <c r="GKT2" s="44"/>
      <c r="GKU2" s="44"/>
      <c r="GKV2" s="44"/>
      <c r="GKX2" s="44"/>
      <c r="GKY2" s="44"/>
      <c r="GKZ2" s="44"/>
      <c r="GLA2" s="44"/>
      <c r="GLB2" s="44"/>
      <c r="GLC2" s="44"/>
      <c r="GLD2" s="44"/>
      <c r="GLF2" s="44"/>
      <c r="GLG2" s="44"/>
      <c r="GLH2" s="44"/>
      <c r="GLI2" s="44"/>
      <c r="GLJ2" s="44"/>
      <c r="GLK2" s="44"/>
      <c r="GLL2" s="44"/>
      <c r="GLN2" s="44"/>
      <c r="GLO2" s="44"/>
      <c r="GLP2" s="44"/>
      <c r="GLQ2" s="44"/>
      <c r="GLR2" s="44"/>
      <c r="GLS2" s="44"/>
      <c r="GLT2" s="44"/>
      <c r="GLV2" s="44"/>
      <c r="GLW2" s="44"/>
      <c r="GLX2" s="44"/>
      <c r="GLY2" s="44"/>
      <c r="GLZ2" s="44"/>
      <c r="GMA2" s="44"/>
      <c r="GMB2" s="44"/>
      <c r="GMD2" s="44"/>
      <c r="GME2" s="44"/>
      <c r="GMF2" s="44"/>
      <c r="GMG2" s="44"/>
      <c r="GMH2" s="44"/>
      <c r="GMI2" s="44"/>
      <c r="GMJ2" s="44"/>
      <c r="GML2" s="44"/>
      <c r="GMM2" s="44"/>
      <c r="GMN2" s="44"/>
      <c r="GMO2" s="44"/>
      <c r="GMP2" s="44"/>
      <c r="GMQ2" s="44"/>
      <c r="GMR2" s="44"/>
      <c r="GMT2" s="44"/>
      <c r="GMU2" s="44"/>
      <c r="GMV2" s="44"/>
      <c r="GMW2" s="44"/>
      <c r="GMX2" s="44"/>
      <c r="GMY2" s="44"/>
      <c r="GMZ2" s="44"/>
      <c r="GNB2" s="44"/>
      <c r="GNC2" s="44"/>
      <c r="GND2" s="44"/>
      <c r="GNE2" s="44"/>
      <c r="GNF2" s="44"/>
      <c r="GNG2" s="44"/>
      <c r="GNH2" s="44"/>
      <c r="GNJ2" s="44"/>
      <c r="GNK2" s="44"/>
      <c r="GNL2" s="44"/>
      <c r="GNM2" s="44"/>
      <c r="GNN2" s="44"/>
      <c r="GNO2" s="44"/>
      <c r="GNP2" s="44"/>
      <c r="GNR2" s="44"/>
      <c r="GNS2" s="44"/>
      <c r="GNT2" s="44"/>
      <c r="GNU2" s="44"/>
      <c r="GNV2" s="44"/>
      <c r="GNW2" s="44"/>
      <c r="GNX2" s="44"/>
      <c r="GNZ2" s="44"/>
      <c r="GOA2" s="44"/>
      <c r="GOB2" s="44"/>
      <c r="GOC2" s="44"/>
      <c r="GOD2" s="44"/>
      <c r="GOE2" s="44"/>
      <c r="GOF2" s="44"/>
      <c r="GOH2" s="44"/>
      <c r="GOI2" s="44"/>
      <c r="GOJ2" s="44"/>
      <c r="GOK2" s="44"/>
      <c r="GOL2" s="44"/>
      <c r="GOM2" s="44"/>
      <c r="GON2" s="44"/>
      <c r="GOP2" s="44"/>
      <c r="GOQ2" s="44"/>
      <c r="GOR2" s="44"/>
      <c r="GOS2" s="44"/>
      <c r="GOT2" s="44"/>
      <c r="GOU2" s="44"/>
      <c r="GOV2" s="44"/>
      <c r="GOX2" s="44"/>
      <c r="GOY2" s="44"/>
      <c r="GOZ2" s="44"/>
      <c r="GPA2" s="44"/>
      <c r="GPB2" s="44"/>
      <c r="GPC2" s="44"/>
      <c r="GPD2" s="44"/>
      <c r="GPF2" s="44"/>
      <c r="GPG2" s="44"/>
      <c r="GPH2" s="44"/>
      <c r="GPI2" s="44"/>
      <c r="GPJ2" s="44"/>
      <c r="GPK2" s="44"/>
      <c r="GPL2" s="44"/>
      <c r="GPN2" s="44"/>
      <c r="GPO2" s="44"/>
      <c r="GPP2" s="44"/>
      <c r="GPQ2" s="44"/>
      <c r="GPR2" s="44"/>
      <c r="GPS2" s="44"/>
      <c r="GPT2" s="44"/>
      <c r="GPV2" s="44"/>
      <c r="GPW2" s="44"/>
      <c r="GPX2" s="44"/>
      <c r="GPY2" s="44"/>
      <c r="GPZ2" s="44"/>
      <c r="GQA2" s="44"/>
      <c r="GQB2" s="44"/>
      <c r="GQD2" s="44"/>
      <c r="GQE2" s="44"/>
      <c r="GQF2" s="44"/>
      <c r="GQG2" s="44"/>
      <c r="GQH2" s="44"/>
      <c r="GQI2" s="44"/>
      <c r="GQJ2" s="44"/>
      <c r="GQL2" s="44"/>
      <c r="GQM2" s="44"/>
      <c r="GQN2" s="44"/>
      <c r="GQO2" s="44"/>
      <c r="GQP2" s="44"/>
      <c r="GQQ2" s="44"/>
      <c r="GQR2" s="44"/>
      <c r="GQT2" s="44"/>
      <c r="GQU2" s="44"/>
      <c r="GQV2" s="44"/>
      <c r="GQW2" s="44"/>
      <c r="GQX2" s="44"/>
      <c r="GQY2" s="44"/>
      <c r="GQZ2" s="44"/>
      <c r="GRB2" s="44"/>
      <c r="GRC2" s="44"/>
      <c r="GRD2" s="44"/>
      <c r="GRE2" s="44"/>
      <c r="GRF2" s="44"/>
      <c r="GRG2" s="44"/>
      <c r="GRH2" s="44"/>
      <c r="GRJ2" s="44"/>
      <c r="GRK2" s="44"/>
      <c r="GRL2" s="44"/>
      <c r="GRM2" s="44"/>
      <c r="GRN2" s="44"/>
      <c r="GRO2" s="44"/>
      <c r="GRP2" s="44"/>
      <c r="GRR2" s="44"/>
      <c r="GRS2" s="44"/>
      <c r="GRT2" s="44"/>
      <c r="GRU2" s="44"/>
      <c r="GRV2" s="44"/>
      <c r="GRW2" s="44"/>
      <c r="GRX2" s="44"/>
      <c r="GRZ2" s="44"/>
      <c r="GSA2" s="44"/>
      <c r="GSB2" s="44"/>
      <c r="GSC2" s="44"/>
      <c r="GSD2" s="44"/>
      <c r="GSE2" s="44"/>
      <c r="GSF2" s="44"/>
      <c r="GSH2" s="44"/>
      <c r="GSI2" s="44"/>
      <c r="GSJ2" s="44"/>
      <c r="GSK2" s="44"/>
      <c r="GSL2" s="44"/>
      <c r="GSM2" s="44"/>
      <c r="GSN2" s="44"/>
      <c r="GSP2" s="44"/>
      <c r="GSQ2" s="44"/>
      <c r="GSR2" s="44"/>
      <c r="GSS2" s="44"/>
      <c r="GST2" s="44"/>
      <c r="GSU2" s="44"/>
      <c r="GSV2" s="44"/>
      <c r="GSX2" s="44"/>
      <c r="GSY2" s="44"/>
      <c r="GSZ2" s="44"/>
      <c r="GTA2" s="44"/>
      <c r="GTB2" s="44"/>
      <c r="GTC2" s="44"/>
      <c r="GTD2" s="44"/>
      <c r="GTF2" s="44"/>
      <c r="GTG2" s="44"/>
      <c r="GTH2" s="44"/>
      <c r="GTI2" s="44"/>
      <c r="GTJ2" s="44"/>
      <c r="GTK2" s="44"/>
      <c r="GTL2" s="44"/>
      <c r="GTN2" s="44"/>
      <c r="GTO2" s="44"/>
      <c r="GTP2" s="44"/>
      <c r="GTQ2" s="44"/>
      <c r="GTR2" s="44"/>
      <c r="GTS2" s="44"/>
      <c r="GTT2" s="44"/>
      <c r="GTV2" s="44"/>
      <c r="GTW2" s="44"/>
      <c r="GTX2" s="44"/>
      <c r="GTY2" s="44"/>
      <c r="GTZ2" s="44"/>
      <c r="GUA2" s="44"/>
      <c r="GUB2" s="44"/>
      <c r="GUD2" s="44"/>
      <c r="GUE2" s="44"/>
      <c r="GUF2" s="44"/>
      <c r="GUG2" s="44"/>
      <c r="GUH2" s="44"/>
      <c r="GUI2" s="44"/>
      <c r="GUJ2" s="44"/>
      <c r="GUL2" s="44"/>
      <c r="GUM2" s="44"/>
      <c r="GUN2" s="44"/>
      <c r="GUO2" s="44"/>
      <c r="GUP2" s="44"/>
      <c r="GUQ2" s="44"/>
      <c r="GUR2" s="44"/>
      <c r="GUT2" s="44"/>
      <c r="GUU2" s="44"/>
      <c r="GUV2" s="44"/>
      <c r="GUW2" s="44"/>
      <c r="GUX2" s="44"/>
      <c r="GUY2" s="44"/>
      <c r="GUZ2" s="44"/>
      <c r="GVB2" s="44"/>
      <c r="GVC2" s="44"/>
      <c r="GVD2" s="44"/>
      <c r="GVE2" s="44"/>
      <c r="GVF2" s="44"/>
      <c r="GVG2" s="44"/>
      <c r="GVH2" s="44"/>
      <c r="GVJ2" s="44"/>
      <c r="GVK2" s="44"/>
      <c r="GVL2" s="44"/>
      <c r="GVM2" s="44"/>
      <c r="GVN2" s="44"/>
      <c r="GVO2" s="44"/>
      <c r="GVP2" s="44"/>
      <c r="GVR2" s="44"/>
      <c r="GVS2" s="44"/>
      <c r="GVT2" s="44"/>
      <c r="GVU2" s="44"/>
      <c r="GVV2" s="44"/>
      <c r="GVW2" s="44"/>
      <c r="GVX2" s="44"/>
      <c r="GVZ2" s="44"/>
      <c r="GWA2" s="44"/>
      <c r="GWB2" s="44"/>
      <c r="GWC2" s="44"/>
      <c r="GWD2" s="44"/>
      <c r="GWE2" s="44"/>
      <c r="GWF2" s="44"/>
      <c r="GWH2" s="44"/>
      <c r="GWI2" s="44"/>
      <c r="GWJ2" s="44"/>
      <c r="GWK2" s="44"/>
      <c r="GWL2" s="44"/>
      <c r="GWM2" s="44"/>
      <c r="GWN2" s="44"/>
      <c r="GWP2" s="44"/>
      <c r="GWQ2" s="44"/>
      <c r="GWR2" s="44"/>
      <c r="GWS2" s="44"/>
      <c r="GWT2" s="44"/>
      <c r="GWU2" s="44"/>
      <c r="GWV2" s="44"/>
      <c r="GWX2" s="44"/>
      <c r="GWY2" s="44"/>
      <c r="GWZ2" s="44"/>
      <c r="GXA2" s="44"/>
      <c r="GXB2" s="44"/>
      <c r="GXC2" s="44"/>
      <c r="GXD2" s="44"/>
      <c r="GXF2" s="44"/>
      <c r="GXG2" s="44"/>
      <c r="GXH2" s="44"/>
      <c r="GXI2" s="44"/>
      <c r="GXJ2" s="44"/>
      <c r="GXK2" s="44"/>
      <c r="GXL2" s="44"/>
      <c r="GXN2" s="44"/>
      <c r="GXO2" s="44"/>
      <c r="GXP2" s="44"/>
      <c r="GXQ2" s="44"/>
      <c r="GXR2" s="44"/>
      <c r="GXS2" s="44"/>
      <c r="GXT2" s="44"/>
      <c r="GXV2" s="44"/>
      <c r="GXW2" s="44"/>
      <c r="GXX2" s="44"/>
      <c r="GXY2" s="44"/>
      <c r="GXZ2" s="44"/>
      <c r="GYA2" s="44"/>
      <c r="GYB2" s="44"/>
      <c r="GYD2" s="44"/>
      <c r="GYE2" s="44"/>
      <c r="GYF2" s="44"/>
      <c r="GYG2" s="44"/>
      <c r="GYH2" s="44"/>
      <c r="GYI2" s="44"/>
      <c r="GYJ2" s="44"/>
      <c r="GYL2" s="44"/>
      <c r="GYM2" s="44"/>
      <c r="GYN2" s="44"/>
      <c r="GYO2" s="44"/>
      <c r="GYP2" s="44"/>
      <c r="GYQ2" s="44"/>
      <c r="GYR2" s="44"/>
      <c r="GYT2" s="44"/>
      <c r="GYU2" s="44"/>
      <c r="GYV2" s="44"/>
      <c r="GYW2" s="44"/>
      <c r="GYX2" s="44"/>
      <c r="GYY2" s="44"/>
      <c r="GYZ2" s="44"/>
      <c r="GZB2" s="44"/>
      <c r="GZC2" s="44"/>
      <c r="GZD2" s="44"/>
      <c r="GZE2" s="44"/>
      <c r="GZF2" s="44"/>
      <c r="GZG2" s="44"/>
      <c r="GZH2" s="44"/>
      <c r="GZJ2" s="44"/>
      <c r="GZK2" s="44"/>
      <c r="GZL2" s="44"/>
      <c r="GZM2" s="44"/>
      <c r="GZN2" s="44"/>
      <c r="GZO2" s="44"/>
      <c r="GZP2" s="44"/>
      <c r="GZR2" s="44"/>
      <c r="GZS2" s="44"/>
      <c r="GZT2" s="44"/>
      <c r="GZU2" s="44"/>
      <c r="GZV2" s="44"/>
      <c r="GZW2" s="44"/>
      <c r="GZX2" s="44"/>
      <c r="GZZ2" s="44"/>
      <c r="HAA2" s="44"/>
      <c r="HAB2" s="44"/>
      <c r="HAC2" s="44"/>
      <c r="HAD2" s="44"/>
      <c r="HAE2" s="44"/>
      <c r="HAF2" s="44"/>
      <c r="HAH2" s="44"/>
      <c r="HAI2" s="44"/>
      <c r="HAJ2" s="44"/>
      <c r="HAK2" s="44"/>
      <c r="HAL2" s="44"/>
      <c r="HAM2" s="44"/>
      <c r="HAN2" s="44"/>
      <c r="HAP2" s="44"/>
      <c r="HAQ2" s="44"/>
      <c r="HAR2" s="44"/>
      <c r="HAS2" s="44"/>
      <c r="HAT2" s="44"/>
      <c r="HAU2" s="44"/>
      <c r="HAV2" s="44"/>
      <c r="HAX2" s="44"/>
      <c r="HAY2" s="44"/>
      <c r="HAZ2" s="44"/>
      <c r="HBA2" s="44"/>
      <c r="HBB2" s="44"/>
      <c r="HBC2" s="44"/>
      <c r="HBD2" s="44"/>
      <c r="HBF2" s="44"/>
      <c r="HBG2" s="44"/>
      <c r="HBH2" s="44"/>
      <c r="HBI2" s="44"/>
      <c r="HBJ2" s="44"/>
      <c r="HBK2" s="44"/>
      <c r="HBL2" s="44"/>
      <c r="HBN2" s="44"/>
      <c r="HBO2" s="44"/>
      <c r="HBP2" s="44"/>
      <c r="HBQ2" s="44"/>
      <c r="HBR2" s="44"/>
      <c r="HBS2" s="44"/>
      <c r="HBT2" s="44"/>
      <c r="HBV2" s="44"/>
      <c r="HBW2" s="44"/>
      <c r="HBX2" s="44"/>
      <c r="HBY2" s="44"/>
      <c r="HBZ2" s="44"/>
      <c r="HCA2" s="44"/>
      <c r="HCB2" s="44"/>
      <c r="HCD2" s="44"/>
      <c r="HCE2" s="44"/>
      <c r="HCF2" s="44"/>
      <c r="HCG2" s="44"/>
      <c r="HCH2" s="44"/>
      <c r="HCI2" s="44"/>
      <c r="HCJ2" s="44"/>
      <c r="HCL2" s="44"/>
      <c r="HCM2" s="44"/>
      <c r="HCN2" s="44"/>
      <c r="HCO2" s="44"/>
      <c r="HCP2" s="44"/>
      <c r="HCQ2" s="44"/>
      <c r="HCR2" s="44"/>
      <c r="HCT2" s="44"/>
      <c r="HCU2" s="44"/>
      <c r="HCV2" s="44"/>
      <c r="HCW2" s="44"/>
      <c r="HCX2" s="44"/>
      <c r="HCY2" s="44"/>
      <c r="HCZ2" s="44"/>
      <c r="HDB2" s="44"/>
      <c r="HDC2" s="44"/>
      <c r="HDD2" s="44"/>
      <c r="HDE2" s="44"/>
      <c r="HDF2" s="44"/>
      <c r="HDG2" s="44"/>
      <c r="HDH2" s="44"/>
      <c r="HDJ2" s="44"/>
      <c r="HDK2" s="44"/>
      <c r="HDL2" s="44"/>
      <c r="HDM2" s="44"/>
      <c r="HDN2" s="44"/>
      <c r="HDO2" s="44"/>
      <c r="HDP2" s="44"/>
      <c r="HDR2" s="44"/>
      <c r="HDS2" s="44"/>
      <c r="HDT2" s="44"/>
      <c r="HDU2" s="44"/>
      <c r="HDV2" s="44"/>
      <c r="HDW2" s="44"/>
      <c r="HDX2" s="44"/>
      <c r="HDZ2" s="44"/>
      <c r="HEA2" s="44"/>
      <c r="HEB2" s="44"/>
      <c r="HEC2" s="44"/>
      <c r="HED2" s="44"/>
      <c r="HEE2" s="44"/>
      <c r="HEF2" s="44"/>
      <c r="HEH2" s="44"/>
      <c r="HEI2" s="44"/>
      <c r="HEJ2" s="44"/>
      <c r="HEK2" s="44"/>
      <c r="HEL2" s="44"/>
      <c r="HEM2" s="44"/>
      <c r="HEN2" s="44"/>
      <c r="HEP2" s="44"/>
      <c r="HEQ2" s="44"/>
      <c r="HER2" s="44"/>
      <c r="HES2" s="44"/>
      <c r="HET2" s="44"/>
      <c r="HEU2" s="44"/>
      <c r="HEV2" s="44"/>
      <c r="HEX2" s="44"/>
      <c r="HEY2" s="44"/>
      <c r="HEZ2" s="44"/>
      <c r="HFA2" s="44"/>
      <c r="HFB2" s="44"/>
      <c r="HFC2" s="44"/>
      <c r="HFD2" s="44"/>
      <c r="HFF2" s="44"/>
      <c r="HFG2" s="44"/>
      <c r="HFH2" s="44"/>
      <c r="HFI2" s="44"/>
      <c r="HFJ2" s="44"/>
      <c r="HFK2" s="44"/>
      <c r="HFL2" s="44"/>
      <c r="HFN2" s="44"/>
      <c r="HFO2" s="44"/>
      <c r="HFP2" s="44"/>
      <c r="HFQ2" s="44"/>
      <c r="HFR2" s="44"/>
      <c r="HFS2" s="44"/>
      <c r="HFT2" s="44"/>
      <c r="HFV2" s="44"/>
      <c r="HFW2" s="44"/>
      <c r="HFX2" s="44"/>
      <c r="HFY2" s="44"/>
      <c r="HFZ2" s="44"/>
      <c r="HGA2" s="44"/>
      <c r="HGB2" s="44"/>
      <c r="HGD2" s="44"/>
      <c r="HGE2" s="44"/>
      <c r="HGF2" s="44"/>
      <c r="HGG2" s="44"/>
      <c r="HGH2" s="44"/>
      <c r="HGI2" s="44"/>
      <c r="HGJ2" s="44"/>
      <c r="HGL2" s="44"/>
      <c r="HGM2" s="44"/>
      <c r="HGN2" s="44"/>
      <c r="HGO2" s="44"/>
      <c r="HGP2" s="44"/>
      <c r="HGQ2" s="44"/>
      <c r="HGR2" s="44"/>
      <c r="HGT2" s="44"/>
      <c r="HGU2" s="44"/>
      <c r="HGV2" s="44"/>
      <c r="HGW2" s="44"/>
      <c r="HGX2" s="44"/>
      <c r="HGY2" s="44"/>
      <c r="HGZ2" s="44"/>
      <c r="HHB2" s="44"/>
      <c r="HHC2" s="44"/>
      <c r="HHD2" s="44"/>
      <c r="HHE2" s="44"/>
      <c r="HHF2" s="44"/>
      <c r="HHG2" s="44"/>
      <c r="HHH2" s="44"/>
      <c r="HHJ2" s="44"/>
      <c r="HHK2" s="44"/>
      <c r="HHL2" s="44"/>
      <c r="HHM2" s="44"/>
      <c r="HHN2" s="44"/>
      <c r="HHO2" s="44"/>
      <c r="HHP2" s="44"/>
      <c r="HHR2" s="44"/>
      <c r="HHS2" s="44"/>
      <c r="HHT2" s="44"/>
      <c r="HHU2" s="44"/>
      <c r="HHV2" s="44"/>
      <c r="HHW2" s="44"/>
      <c r="HHX2" s="44"/>
      <c r="HHZ2" s="44"/>
      <c r="HIA2" s="44"/>
      <c r="HIB2" s="44"/>
      <c r="HIC2" s="44"/>
      <c r="HID2" s="44"/>
      <c r="HIE2" s="44"/>
      <c r="HIF2" s="44"/>
      <c r="HIH2" s="44"/>
      <c r="HII2" s="44"/>
      <c r="HIJ2" s="44"/>
      <c r="HIK2" s="44"/>
      <c r="HIL2" s="44"/>
      <c r="HIM2" s="44"/>
      <c r="HIN2" s="44"/>
      <c r="HIP2" s="44"/>
      <c r="HIQ2" s="44"/>
      <c r="HIR2" s="44"/>
      <c r="HIS2" s="44"/>
      <c r="HIT2" s="44"/>
      <c r="HIU2" s="44"/>
      <c r="HIV2" s="44"/>
      <c r="HIX2" s="44"/>
      <c r="HIY2" s="44"/>
      <c r="HIZ2" s="44"/>
      <c r="HJA2" s="44"/>
      <c r="HJB2" s="44"/>
      <c r="HJC2" s="44"/>
      <c r="HJD2" s="44"/>
      <c r="HJF2" s="44"/>
      <c r="HJG2" s="44"/>
      <c r="HJH2" s="44"/>
      <c r="HJI2" s="44"/>
      <c r="HJJ2" s="44"/>
      <c r="HJK2" s="44"/>
      <c r="HJL2" s="44"/>
      <c r="HJN2" s="44"/>
      <c r="HJO2" s="44"/>
      <c r="HJP2" s="44"/>
      <c r="HJQ2" s="44"/>
      <c r="HJR2" s="44"/>
      <c r="HJS2" s="44"/>
      <c r="HJT2" s="44"/>
      <c r="HJV2" s="44"/>
      <c r="HJW2" s="44"/>
      <c r="HJX2" s="44"/>
      <c r="HJY2" s="44"/>
      <c r="HJZ2" s="44"/>
      <c r="HKA2" s="44"/>
      <c r="HKB2" s="44"/>
      <c r="HKD2" s="44"/>
      <c r="HKE2" s="44"/>
      <c r="HKF2" s="44"/>
      <c r="HKG2" s="44"/>
      <c r="HKH2" s="44"/>
      <c r="HKI2" s="44"/>
      <c r="HKJ2" s="44"/>
      <c r="HKL2" s="44"/>
      <c r="HKM2" s="44"/>
      <c r="HKN2" s="44"/>
      <c r="HKO2" s="44"/>
      <c r="HKP2" s="44"/>
      <c r="HKQ2" s="44"/>
      <c r="HKR2" s="44"/>
      <c r="HKT2" s="44"/>
      <c r="HKU2" s="44"/>
      <c r="HKV2" s="44"/>
      <c r="HKW2" s="44"/>
      <c r="HKX2" s="44"/>
      <c r="HKY2" s="44"/>
      <c r="HKZ2" s="44"/>
      <c r="HLB2" s="44"/>
      <c r="HLC2" s="44"/>
      <c r="HLD2" s="44"/>
      <c r="HLE2" s="44"/>
      <c r="HLF2" s="44"/>
      <c r="HLG2" s="44"/>
      <c r="HLH2" s="44"/>
      <c r="HLJ2" s="44"/>
      <c r="HLK2" s="44"/>
      <c r="HLL2" s="44"/>
      <c r="HLM2" s="44"/>
      <c r="HLN2" s="44"/>
      <c r="HLO2" s="44"/>
      <c r="HLP2" s="44"/>
      <c r="HLR2" s="44"/>
      <c r="HLS2" s="44"/>
      <c r="HLT2" s="44"/>
      <c r="HLU2" s="44"/>
      <c r="HLV2" s="44"/>
      <c r="HLW2" s="44"/>
      <c r="HLX2" s="44"/>
      <c r="HLZ2" s="44"/>
      <c r="HMA2" s="44"/>
      <c r="HMB2" s="44"/>
      <c r="HMC2" s="44"/>
      <c r="HMD2" s="44"/>
      <c r="HME2" s="44"/>
      <c r="HMF2" s="44"/>
      <c r="HMH2" s="44"/>
      <c r="HMI2" s="44"/>
      <c r="HMJ2" s="44"/>
      <c r="HMK2" s="44"/>
      <c r="HML2" s="44"/>
      <c r="HMM2" s="44"/>
      <c r="HMN2" s="44"/>
      <c r="HMP2" s="44"/>
      <c r="HMQ2" s="44"/>
      <c r="HMR2" s="44"/>
      <c r="HMS2" s="44"/>
      <c r="HMT2" s="44"/>
      <c r="HMU2" s="44"/>
      <c r="HMV2" s="44"/>
      <c r="HMX2" s="44"/>
      <c r="HMY2" s="44"/>
      <c r="HMZ2" s="44"/>
      <c r="HNA2" s="44"/>
      <c r="HNB2" s="44"/>
      <c r="HNC2" s="44"/>
      <c r="HND2" s="44"/>
      <c r="HNF2" s="44"/>
      <c r="HNG2" s="44"/>
      <c r="HNH2" s="44"/>
      <c r="HNI2" s="44"/>
      <c r="HNJ2" s="44"/>
      <c r="HNK2" s="44"/>
      <c r="HNL2" s="44"/>
      <c r="HNN2" s="44"/>
      <c r="HNO2" s="44"/>
      <c r="HNP2" s="44"/>
      <c r="HNQ2" s="44"/>
      <c r="HNR2" s="44"/>
      <c r="HNS2" s="44"/>
      <c r="HNT2" s="44"/>
      <c r="HNV2" s="44"/>
      <c r="HNW2" s="44"/>
      <c r="HNX2" s="44"/>
      <c r="HNY2" s="44"/>
      <c r="HNZ2" s="44"/>
      <c r="HOA2" s="44"/>
      <c r="HOB2" s="44"/>
      <c r="HOD2" s="44"/>
      <c r="HOE2" s="44"/>
      <c r="HOF2" s="44"/>
      <c r="HOG2" s="44"/>
      <c r="HOH2" s="44"/>
      <c r="HOI2" s="44"/>
      <c r="HOJ2" s="44"/>
      <c r="HOL2" s="44"/>
      <c r="HOM2" s="44"/>
      <c r="HON2" s="44"/>
      <c r="HOO2" s="44"/>
      <c r="HOP2" s="44"/>
      <c r="HOQ2" s="44"/>
      <c r="HOR2" s="44"/>
      <c r="HOT2" s="44"/>
      <c r="HOU2" s="44"/>
      <c r="HOV2" s="44"/>
      <c r="HOW2" s="44"/>
      <c r="HOX2" s="44"/>
      <c r="HOY2" s="44"/>
      <c r="HOZ2" s="44"/>
      <c r="HPB2" s="44"/>
      <c r="HPC2" s="44"/>
      <c r="HPD2" s="44"/>
      <c r="HPE2" s="44"/>
      <c r="HPF2" s="44"/>
      <c r="HPG2" s="44"/>
      <c r="HPH2" s="44"/>
      <c r="HPJ2" s="44"/>
      <c r="HPK2" s="44"/>
      <c r="HPL2" s="44"/>
      <c r="HPM2" s="44"/>
      <c r="HPN2" s="44"/>
      <c r="HPO2" s="44"/>
      <c r="HPP2" s="44"/>
      <c r="HPR2" s="44"/>
      <c r="HPS2" s="44"/>
      <c r="HPT2" s="44"/>
      <c r="HPU2" s="44"/>
      <c r="HPV2" s="44"/>
      <c r="HPW2" s="44"/>
      <c r="HPX2" s="44"/>
      <c r="HPZ2" s="44"/>
      <c r="HQA2" s="44"/>
      <c r="HQB2" s="44"/>
      <c r="HQC2" s="44"/>
      <c r="HQD2" s="44"/>
      <c r="HQE2" s="44"/>
      <c r="HQF2" s="44"/>
      <c r="HQH2" s="44"/>
      <c r="HQI2" s="44"/>
      <c r="HQJ2" s="44"/>
      <c r="HQK2" s="44"/>
      <c r="HQL2" s="44"/>
      <c r="HQM2" s="44"/>
      <c r="HQN2" s="44"/>
      <c r="HQP2" s="44"/>
      <c r="HQQ2" s="44"/>
      <c r="HQR2" s="44"/>
      <c r="HQS2" s="44"/>
      <c r="HQT2" s="44"/>
      <c r="HQU2" s="44"/>
      <c r="HQV2" s="44"/>
      <c r="HQX2" s="44"/>
      <c r="HQY2" s="44"/>
      <c r="HQZ2" s="44"/>
      <c r="HRA2" s="44"/>
      <c r="HRB2" s="44"/>
      <c r="HRC2" s="44"/>
      <c r="HRD2" s="44"/>
      <c r="HRF2" s="44"/>
      <c r="HRG2" s="44"/>
      <c r="HRH2" s="44"/>
      <c r="HRI2" s="44"/>
      <c r="HRJ2" s="44"/>
      <c r="HRK2" s="44"/>
      <c r="HRL2" s="44"/>
      <c r="HRN2" s="44"/>
      <c r="HRO2" s="44"/>
      <c r="HRP2" s="44"/>
      <c r="HRQ2" s="44"/>
      <c r="HRR2" s="44"/>
      <c r="HRS2" s="44"/>
      <c r="HRT2" s="44"/>
      <c r="HRV2" s="44"/>
      <c r="HRW2" s="44"/>
      <c r="HRX2" s="44"/>
      <c r="HRY2" s="44"/>
      <c r="HRZ2" s="44"/>
      <c r="HSA2" s="44"/>
      <c r="HSB2" s="44"/>
      <c r="HSD2" s="44"/>
      <c r="HSE2" s="44"/>
      <c r="HSF2" s="44"/>
      <c r="HSG2" s="44"/>
      <c r="HSH2" s="44"/>
      <c r="HSI2" s="44"/>
      <c r="HSJ2" s="44"/>
      <c r="HSL2" s="44"/>
      <c r="HSM2" s="44"/>
      <c r="HSN2" s="44"/>
      <c r="HSO2" s="44"/>
      <c r="HSP2" s="44"/>
      <c r="HSQ2" s="44"/>
      <c r="HSR2" s="44"/>
      <c r="HST2" s="44"/>
      <c r="HSU2" s="44"/>
      <c r="HSV2" s="44"/>
      <c r="HSW2" s="44"/>
      <c r="HSX2" s="44"/>
      <c r="HSY2" s="44"/>
      <c r="HSZ2" s="44"/>
      <c r="HTB2" s="44"/>
      <c r="HTC2" s="44"/>
      <c r="HTD2" s="44"/>
      <c r="HTE2" s="44"/>
      <c r="HTF2" s="44"/>
      <c r="HTG2" s="44"/>
      <c r="HTH2" s="44"/>
      <c r="HTJ2" s="44"/>
      <c r="HTK2" s="44"/>
      <c r="HTL2" s="44"/>
      <c r="HTM2" s="44"/>
      <c r="HTN2" s="44"/>
      <c r="HTO2" s="44"/>
      <c r="HTP2" s="44"/>
      <c r="HTR2" s="44"/>
      <c r="HTS2" s="44"/>
      <c r="HTT2" s="44"/>
      <c r="HTU2" s="44"/>
      <c r="HTV2" s="44"/>
      <c r="HTW2" s="44"/>
      <c r="HTX2" s="44"/>
      <c r="HTZ2" s="44"/>
      <c r="HUA2" s="44"/>
      <c r="HUB2" s="44"/>
      <c r="HUC2" s="44"/>
      <c r="HUD2" s="44"/>
      <c r="HUE2" s="44"/>
      <c r="HUF2" s="44"/>
      <c r="HUH2" s="44"/>
      <c r="HUI2" s="44"/>
      <c r="HUJ2" s="44"/>
      <c r="HUK2" s="44"/>
      <c r="HUL2" s="44"/>
      <c r="HUM2" s="44"/>
      <c r="HUN2" s="44"/>
      <c r="HUP2" s="44"/>
      <c r="HUQ2" s="44"/>
      <c r="HUR2" s="44"/>
      <c r="HUS2" s="44"/>
      <c r="HUT2" s="44"/>
      <c r="HUU2" s="44"/>
      <c r="HUV2" s="44"/>
      <c r="HUX2" s="44"/>
      <c r="HUY2" s="44"/>
      <c r="HUZ2" s="44"/>
      <c r="HVA2" s="44"/>
      <c r="HVB2" s="44"/>
      <c r="HVC2" s="44"/>
      <c r="HVD2" s="44"/>
      <c r="HVF2" s="44"/>
      <c r="HVG2" s="44"/>
      <c r="HVH2" s="44"/>
      <c r="HVI2" s="44"/>
      <c r="HVJ2" s="44"/>
      <c r="HVK2" s="44"/>
      <c r="HVL2" s="44"/>
      <c r="HVN2" s="44"/>
      <c r="HVO2" s="44"/>
      <c r="HVP2" s="44"/>
      <c r="HVQ2" s="44"/>
      <c r="HVR2" s="44"/>
      <c r="HVS2" s="44"/>
      <c r="HVT2" s="44"/>
      <c r="HVV2" s="44"/>
      <c r="HVW2" s="44"/>
      <c r="HVX2" s="44"/>
      <c r="HVY2" s="44"/>
      <c r="HVZ2" s="44"/>
      <c r="HWA2" s="44"/>
      <c r="HWB2" s="44"/>
      <c r="HWD2" s="44"/>
      <c r="HWE2" s="44"/>
      <c r="HWF2" s="44"/>
      <c r="HWG2" s="44"/>
      <c r="HWH2" s="44"/>
      <c r="HWI2" s="44"/>
      <c r="HWJ2" s="44"/>
      <c r="HWL2" s="44"/>
      <c r="HWM2" s="44"/>
      <c r="HWN2" s="44"/>
      <c r="HWO2" s="44"/>
      <c r="HWP2" s="44"/>
      <c r="HWQ2" s="44"/>
      <c r="HWR2" s="44"/>
      <c r="HWT2" s="44"/>
      <c r="HWU2" s="44"/>
      <c r="HWV2" s="44"/>
      <c r="HWW2" s="44"/>
      <c r="HWX2" s="44"/>
      <c r="HWY2" s="44"/>
      <c r="HWZ2" s="44"/>
      <c r="HXB2" s="44"/>
      <c r="HXC2" s="44"/>
      <c r="HXD2" s="44"/>
      <c r="HXE2" s="44"/>
      <c r="HXF2" s="44"/>
      <c r="HXG2" s="44"/>
      <c r="HXH2" s="44"/>
      <c r="HXJ2" s="44"/>
      <c r="HXK2" s="44"/>
      <c r="HXL2" s="44"/>
      <c r="HXM2" s="44"/>
      <c r="HXN2" s="44"/>
      <c r="HXO2" s="44"/>
      <c r="HXP2" s="44"/>
      <c r="HXR2" s="44"/>
      <c r="HXS2" s="44"/>
      <c r="HXT2" s="44"/>
      <c r="HXU2" s="44"/>
      <c r="HXV2" s="44"/>
      <c r="HXW2" s="44"/>
      <c r="HXX2" s="44"/>
      <c r="HXZ2" s="44"/>
      <c r="HYA2" s="44"/>
      <c r="HYB2" s="44"/>
      <c r="HYC2" s="44"/>
      <c r="HYD2" s="44"/>
      <c r="HYE2" s="44"/>
      <c r="HYF2" s="44"/>
      <c r="HYH2" s="44"/>
      <c r="HYI2" s="44"/>
      <c r="HYJ2" s="44"/>
      <c r="HYK2" s="44"/>
      <c r="HYL2" s="44"/>
      <c r="HYM2" s="44"/>
      <c r="HYN2" s="44"/>
      <c r="HYP2" s="44"/>
      <c r="HYQ2" s="44"/>
      <c r="HYR2" s="44"/>
      <c r="HYS2" s="44"/>
      <c r="HYT2" s="44"/>
      <c r="HYU2" s="44"/>
      <c r="HYV2" s="44"/>
      <c r="HYX2" s="44"/>
      <c r="HYY2" s="44"/>
      <c r="HYZ2" s="44"/>
      <c r="HZA2" s="44"/>
      <c r="HZB2" s="44"/>
      <c r="HZC2" s="44"/>
      <c r="HZD2" s="44"/>
      <c r="HZF2" s="44"/>
      <c r="HZG2" s="44"/>
      <c r="HZH2" s="44"/>
      <c r="HZI2" s="44"/>
      <c r="HZJ2" s="44"/>
      <c r="HZK2" s="44"/>
      <c r="HZL2" s="44"/>
      <c r="HZN2" s="44"/>
      <c r="HZO2" s="44"/>
      <c r="HZP2" s="44"/>
      <c r="HZQ2" s="44"/>
      <c r="HZR2" s="44"/>
      <c r="HZS2" s="44"/>
      <c r="HZT2" s="44"/>
      <c r="HZV2" s="44"/>
      <c r="HZW2" s="44"/>
      <c r="HZX2" s="44"/>
      <c r="HZY2" s="44"/>
      <c r="HZZ2" s="44"/>
      <c r="IAA2" s="44"/>
      <c r="IAB2" s="44"/>
      <c r="IAD2" s="44"/>
      <c r="IAE2" s="44"/>
      <c r="IAF2" s="44"/>
      <c r="IAG2" s="44"/>
      <c r="IAH2" s="44"/>
      <c r="IAI2" s="44"/>
      <c r="IAJ2" s="44"/>
      <c r="IAL2" s="44"/>
      <c r="IAM2" s="44"/>
      <c r="IAN2" s="44"/>
      <c r="IAO2" s="44"/>
      <c r="IAP2" s="44"/>
      <c r="IAQ2" s="44"/>
      <c r="IAR2" s="44"/>
      <c r="IAT2" s="44"/>
      <c r="IAU2" s="44"/>
      <c r="IAV2" s="44"/>
      <c r="IAW2" s="44"/>
      <c r="IAX2" s="44"/>
      <c r="IAY2" s="44"/>
      <c r="IAZ2" s="44"/>
      <c r="IBB2" s="44"/>
      <c r="IBC2" s="44"/>
      <c r="IBD2" s="44"/>
      <c r="IBE2" s="44"/>
      <c r="IBF2" s="44"/>
      <c r="IBG2" s="44"/>
      <c r="IBH2" s="44"/>
      <c r="IBJ2" s="44"/>
      <c r="IBK2" s="44"/>
      <c r="IBL2" s="44"/>
      <c r="IBM2" s="44"/>
      <c r="IBN2" s="44"/>
      <c r="IBO2" s="44"/>
      <c r="IBP2" s="44"/>
      <c r="IBR2" s="44"/>
      <c r="IBS2" s="44"/>
      <c r="IBT2" s="44"/>
      <c r="IBU2" s="44"/>
      <c r="IBV2" s="44"/>
      <c r="IBW2" s="44"/>
      <c r="IBX2" s="44"/>
      <c r="IBZ2" s="44"/>
      <c r="ICA2" s="44"/>
      <c r="ICB2" s="44"/>
      <c r="ICC2" s="44"/>
      <c r="ICD2" s="44"/>
      <c r="ICE2" s="44"/>
      <c r="ICF2" s="44"/>
      <c r="ICH2" s="44"/>
      <c r="ICI2" s="44"/>
      <c r="ICJ2" s="44"/>
      <c r="ICK2" s="44"/>
      <c r="ICL2" s="44"/>
      <c r="ICM2" s="44"/>
      <c r="ICN2" s="44"/>
      <c r="ICP2" s="44"/>
      <c r="ICQ2" s="44"/>
      <c r="ICR2" s="44"/>
      <c r="ICS2" s="44"/>
      <c r="ICT2" s="44"/>
      <c r="ICU2" s="44"/>
      <c r="ICV2" s="44"/>
      <c r="ICX2" s="44"/>
      <c r="ICY2" s="44"/>
      <c r="ICZ2" s="44"/>
      <c r="IDA2" s="44"/>
      <c r="IDB2" s="44"/>
      <c r="IDC2" s="44"/>
      <c r="IDD2" s="44"/>
      <c r="IDF2" s="44"/>
      <c r="IDG2" s="44"/>
      <c r="IDH2" s="44"/>
      <c r="IDI2" s="44"/>
      <c r="IDJ2" s="44"/>
      <c r="IDK2" s="44"/>
      <c r="IDL2" s="44"/>
      <c r="IDN2" s="44"/>
      <c r="IDO2" s="44"/>
      <c r="IDP2" s="44"/>
      <c r="IDQ2" s="44"/>
      <c r="IDR2" s="44"/>
      <c r="IDS2" s="44"/>
      <c r="IDT2" s="44"/>
      <c r="IDV2" s="44"/>
      <c r="IDW2" s="44"/>
      <c r="IDX2" s="44"/>
      <c r="IDY2" s="44"/>
      <c r="IDZ2" s="44"/>
      <c r="IEA2" s="44"/>
      <c r="IEB2" s="44"/>
      <c r="IED2" s="44"/>
      <c r="IEE2" s="44"/>
      <c r="IEF2" s="44"/>
      <c r="IEG2" s="44"/>
      <c r="IEH2" s="44"/>
      <c r="IEI2" s="44"/>
      <c r="IEJ2" s="44"/>
      <c r="IEL2" s="44"/>
      <c r="IEM2" s="44"/>
      <c r="IEN2" s="44"/>
      <c r="IEO2" s="44"/>
      <c r="IEP2" s="44"/>
      <c r="IEQ2" s="44"/>
      <c r="IER2" s="44"/>
      <c r="IET2" s="44"/>
      <c r="IEU2" s="44"/>
      <c r="IEV2" s="44"/>
      <c r="IEW2" s="44"/>
      <c r="IEX2" s="44"/>
      <c r="IEY2" s="44"/>
      <c r="IEZ2" s="44"/>
      <c r="IFB2" s="44"/>
      <c r="IFC2" s="44"/>
      <c r="IFD2" s="44"/>
      <c r="IFE2" s="44"/>
      <c r="IFF2" s="44"/>
      <c r="IFG2" s="44"/>
      <c r="IFH2" s="44"/>
      <c r="IFJ2" s="44"/>
      <c r="IFK2" s="44"/>
      <c r="IFL2" s="44"/>
      <c r="IFM2" s="44"/>
      <c r="IFN2" s="44"/>
      <c r="IFO2" s="44"/>
      <c r="IFP2" s="44"/>
      <c r="IFR2" s="44"/>
      <c r="IFS2" s="44"/>
      <c r="IFT2" s="44"/>
      <c r="IFU2" s="44"/>
      <c r="IFV2" s="44"/>
      <c r="IFW2" s="44"/>
      <c r="IFX2" s="44"/>
      <c r="IFZ2" s="44"/>
      <c r="IGA2" s="44"/>
      <c r="IGB2" s="44"/>
      <c r="IGC2" s="44"/>
      <c r="IGD2" s="44"/>
      <c r="IGE2" s="44"/>
      <c r="IGF2" s="44"/>
      <c r="IGH2" s="44"/>
      <c r="IGI2" s="44"/>
      <c r="IGJ2" s="44"/>
      <c r="IGK2" s="44"/>
      <c r="IGL2" s="44"/>
      <c r="IGM2" s="44"/>
      <c r="IGN2" s="44"/>
      <c r="IGP2" s="44"/>
      <c r="IGQ2" s="44"/>
      <c r="IGR2" s="44"/>
      <c r="IGS2" s="44"/>
      <c r="IGT2" s="44"/>
      <c r="IGU2" s="44"/>
      <c r="IGV2" s="44"/>
      <c r="IGX2" s="44"/>
      <c r="IGY2" s="44"/>
      <c r="IGZ2" s="44"/>
      <c r="IHA2" s="44"/>
      <c r="IHB2" s="44"/>
      <c r="IHC2" s="44"/>
      <c r="IHD2" s="44"/>
      <c r="IHF2" s="44"/>
      <c r="IHG2" s="44"/>
      <c r="IHH2" s="44"/>
      <c r="IHI2" s="44"/>
      <c r="IHJ2" s="44"/>
      <c r="IHK2" s="44"/>
      <c r="IHL2" s="44"/>
      <c r="IHN2" s="44"/>
      <c r="IHO2" s="44"/>
      <c r="IHP2" s="44"/>
      <c r="IHQ2" s="44"/>
      <c r="IHR2" s="44"/>
      <c r="IHS2" s="44"/>
      <c r="IHT2" s="44"/>
      <c r="IHV2" s="44"/>
      <c r="IHW2" s="44"/>
      <c r="IHX2" s="44"/>
      <c r="IHY2" s="44"/>
      <c r="IHZ2" s="44"/>
      <c r="IIA2" s="44"/>
      <c r="IIB2" s="44"/>
      <c r="IID2" s="44"/>
      <c r="IIE2" s="44"/>
      <c r="IIF2" s="44"/>
      <c r="IIG2" s="44"/>
      <c r="IIH2" s="44"/>
      <c r="III2" s="44"/>
      <c r="IIJ2" s="44"/>
      <c r="IIL2" s="44"/>
      <c r="IIM2" s="44"/>
      <c r="IIN2" s="44"/>
      <c r="IIO2" s="44"/>
      <c r="IIP2" s="44"/>
      <c r="IIQ2" s="44"/>
      <c r="IIR2" s="44"/>
      <c r="IIT2" s="44"/>
      <c r="IIU2" s="44"/>
      <c r="IIV2" s="44"/>
      <c r="IIW2" s="44"/>
      <c r="IIX2" s="44"/>
      <c r="IIY2" s="44"/>
      <c r="IIZ2" s="44"/>
      <c r="IJB2" s="44"/>
      <c r="IJC2" s="44"/>
      <c r="IJD2" s="44"/>
      <c r="IJE2" s="44"/>
      <c r="IJF2" s="44"/>
      <c r="IJG2" s="44"/>
      <c r="IJH2" s="44"/>
      <c r="IJJ2" s="44"/>
      <c r="IJK2" s="44"/>
      <c r="IJL2" s="44"/>
      <c r="IJM2" s="44"/>
      <c r="IJN2" s="44"/>
      <c r="IJO2" s="44"/>
      <c r="IJP2" s="44"/>
      <c r="IJR2" s="44"/>
      <c r="IJS2" s="44"/>
      <c r="IJT2" s="44"/>
      <c r="IJU2" s="44"/>
      <c r="IJV2" s="44"/>
      <c r="IJW2" s="44"/>
      <c r="IJX2" s="44"/>
      <c r="IJZ2" s="44"/>
      <c r="IKA2" s="44"/>
      <c r="IKB2" s="44"/>
      <c r="IKC2" s="44"/>
      <c r="IKD2" s="44"/>
      <c r="IKE2" s="44"/>
      <c r="IKF2" s="44"/>
      <c r="IKH2" s="44"/>
      <c r="IKI2" s="44"/>
      <c r="IKJ2" s="44"/>
      <c r="IKK2" s="44"/>
      <c r="IKL2" s="44"/>
      <c r="IKM2" s="44"/>
      <c r="IKN2" s="44"/>
      <c r="IKP2" s="44"/>
      <c r="IKQ2" s="44"/>
      <c r="IKR2" s="44"/>
      <c r="IKS2" s="44"/>
      <c r="IKT2" s="44"/>
      <c r="IKU2" s="44"/>
      <c r="IKV2" s="44"/>
      <c r="IKX2" s="44"/>
      <c r="IKY2" s="44"/>
      <c r="IKZ2" s="44"/>
      <c r="ILA2" s="44"/>
      <c r="ILB2" s="44"/>
      <c r="ILC2" s="44"/>
      <c r="ILD2" s="44"/>
      <c r="ILF2" s="44"/>
      <c r="ILG2" s="44"/>
      <c r="ILH2" s="44"/>
      <c r="ILI2" s="44"/>
      <c r="ILJ2" s="44"/>
      <c r="ILK2" s="44"/>
      <c r="ILL2" s="44"/>
      <c r="ILN2" s="44"/>
      <c r="ILO2" s="44"/>
      <c r="ILP2" s="44"/>
      <c r="ILQ2" s="44"/>
      <c r="ILR2" s="44"/>
      <c r="ILS2" s="44"/>
      <c r="ILT2" s="44"/>
      <c r="ILV2" s="44"/>
      <c r="ILW2" s="44"/>
      <c r="ILX2" s="44"/>
      <c r="ILY2" s="44"/>
      <c r="ILZ2" s="44"/>
      <c r="IMA2" s="44"/>
      <c r="IMB2" s="44"/>
      <c r="IMD2" s="44"/>
      <c r="IME2" s="44"/>
      <c r="IMF2" s="44"/>
      <c r="IMG2" s="44"/>
      <c r="IMH2" s="44"/>
      <c r="IMI2" s="44"/>
      <c r="IMJ2" s="44"/>
      <c r="IML2" s="44"/>
      <c r="IMM2" s="44"/>
      <c r="IMN2" s="44"/>
      <c r="IMO2" s="44"/>
      <c r="IMP2" s="44"/>
      <c r="IMQ2" s="44"/>
      <c r="IMR2" s="44"/>
      <c r="IMT2" s="44"/>
      <c r="IMU2" s="44"/>
      <c r="IMV2" s="44"/>
      <c r="IMW2" s="44"/>
      <c r="IMX2" s="44"/>
      <c r="IMY2" s="44"/>
      <c r="IMZ2" s="44"/>
      <c r="INB2" s="44"/>
      <c r="INC2" s="44"/>
      <c r="IND2" s="44"/>
      <c r="INE2" s="44"/>
      <c r="INF2" s="44"/>
      <c r="ING2" s="44"/>
      <c r="INH2" s="44"/>
      <c r="INJ2" s="44"/>
      <c r="INK2" s="44"/>
      <c r="INL2" s="44"/>
      <c r="INM2" s="44"/>
      <c r="INN2" s="44"/>
      <c r="INO2" s="44"/>
      <c r="INP2" s="44"/>
      <c r="INR2" s="44"/>
      <c r="INS2" s="44"/>
      <c r="INT2" s="44"/>
      <c r="INU2" s="44"/>
      <c r="INV2" s="44"/>
      <c r="INW2" s="44"/>
      <c r="INX2" s="44"/>
      <c r="INZ2" s="44"/>
      <c r="IOA2" s="44"/>
      <c r="IOB2" s="44"/>
      <c r="IOC2" s="44"/>
      <c r="IOD2" s="44"/>
      <c r="IOE2" s="44"/>
      <c r="IOF2" s="44"/>
      <c r="IOH2" s="44"/>
      <c r="IOI2" s="44"/>
      <c r="IOJ2" s="44"/>
      <c r="IOK2" s="44"/>
      <c r="IOL2" s="44"/>
      <c r="IOM2" s="44"/>
      <c r="ION2" s="44"/>
      <c r="IOP2" s="44"/>
      <c r="IOQ2" s="44"/>
      <c r="IOR2" s="44"/>
      <c r="IOS2" s="44"/>
      <c r="IOT2" s="44"/>
      <c r="IOU2" s="44"/>
      <c r="IOV2" s="44"/>
      <c r="IOX2" s="44"/>
      <c r="IOY2" s="44"/>
      <c r="IOZ2" s="44"/>
      <c r="IPA2" s="44"/>
      <c r="IPB2" s="44"/>
      <c r="IPC2" s="44"/>
      <c r="IPD2" s="44"/>
      <c r="IPF2" s="44"/>
      <c r="IPG2" s="44"/>
      <c r="IPH2" s="44"/>
      <c r="IPI2" s="44"/>
      <c r="IPJ2" s="44"/>
      <c r="IPK2" s="44"/>
      <c r="IPL2" s="44"/>
      <c r="IPN2" s="44"/>
      <c r="IPO2" s="44"/>
      <c r="IPP2" s="44"/>
      <c r="IPQ2" s="44"/>
      <c r="IPR2" s="44"/>
      <c r="IPS2" s="44"/>
      <c r="IPT2" s="44"/>
      <c r="IPV2" s="44"/>
      <c r="IPW2" s="44"/>
      <c r="IPX2" s="44"/>
      <c r="IPY2" s="44"/>
      <c r="IPZ2" s="44"/>
      <c r="IQA2" s="44"/>
      <c r="IQB2" s="44"/>
      <c r="IQD2" s="44"/>
      <c r="IQE2" s="44"/>
      <c r="IQF2" s="44"/>
      <c r="IQG2" s="44"/>
      <c r="IQH2" s="44"/>
      <c r="IQI2" s="44"/>
      <c r="IQJ2" s="44"/>
      <c r="IQL2" s="44"/>
      <c r="IQM2" s="44"/>
      <c r="IQN2" s="44"/>
      <c r="IQO2" s="44"/>
      <c r="IQP2" s="44"/>
      <c r="IQQ2" s="44"/>
      <c r="IQR2" s="44"/>
      <c r="IQT2" s="44"/>
      <c r="IQU2" s="44"/>
      <c r="IQV2" s="44"/>
      <c r="IQW2" s="44"/>
      <c r="IQX2" s="44"/>
      <c r="IQY2" s="44"/>
      <c r="IQZ2" s="44"/>
      <c r="IRB2" s="44"/>
      <c r="IRC2" s="44"/>
      <c r="IRD2" s="44"/>
      <c r="IRE2" s="44"/>
      <c r="IRF2" s="44"/>
      <c r="IRG2" s="44"/>
      <c r="IRH2" s="44"/>
      <c r="IRJ2" s="44"/>
      <c r="IRK2" s="44"/>
      <c r="IRL2" s="44"/>
      <c r="IRM2" s="44"/>
      <c r="IRN2" s="44"/>
      <c r="IRO2" s="44"/>
      <c r="IRP2" s="44"/>
      <c r="IRR2" s="44"/>
      <c r="IRS2" s="44"/>
      <c r="IRT2" s="44"/>
      <c r="IRU2" s="44"/>
      <c r="IRV2" s="44"/>
      <c r="IRW2" s="44"/>
      <c r="IRX2" s="44"/>
      <c r="IRZ2" s="44"/>
      <c r="ISA2" s="44"/>
      <c r="ISB2" s="44"/>
      <c r="ISC2" s="44"/>
      <c r="ISD2" s="44"/>
      <c r="ISE2" s="44"/>
      <c r="ISF2" s="44"/>
      <c r="ISH2" s="44"/>
      <c r="ISI2" s="44"/>
      <c r="ISJ2" s="44"/>
      <c r="ISK2" s="44"/>
      <c r="ISL2" s="44"/>
      <c r="ISM2" s="44"/>
      <c r="ISN2" s="44"/>
      <c r="ISP2" s="44"/>
      <c r="ISQ2" s="44"/>
      <c r="ISR2" s="44"/>
      <c r="ISS2" s="44"/>
      <c r="IST2" s="44"/>
      <c r="ISU2" s="44"/>
      <c r="ISV2" s="44"/>
      <c r="ISX2" s="44"/>
      <c r="ISY2" s="44"/>
      <c r="ISZ2" s="44"/>
      <c r="ITA2" s="44"/>
      <c r="ITB2" s="44"/>
      <c r="ITC2" s="44"/>
      <c r="ITD2" s="44"/>
      <c r="ITF2" s="44"/>
      <c r="ITG2" s="44"/>
      <c r="ITH2" s="44"/>
      <c r="ITI2" s="44"/>
      <c r="ITJ2" s="44"/>
      <c r="ITK2" s="44"/>
      <c r="ITL2" s="44"/>
      <c r="ITN2" s="44"/>
      <c r="ITO2" s="44"/>
      <c r="ITP2" s="44"/>
      <c r="ITQ2" s="44"/>
      <c r="ITR2" s="44"/>
      <c r="ITS2" s="44"/>
      <c r="ITT2" s="44"/>
      <c r="ITV2" s="44"/>
      <c r="ITW2" s="44"/>
      <c r="ITX2" s="44"/>
      <c r="ITY2" s="44"/>
      <c r="ITZ2" s="44"/>
      <c r="IUA2" s="44"/>
      <c r="IUB2" s="44"/>
      <c r="IUD2" s="44"/>
      <c r="IUE2" s="44"/>
      <c r="IUF2" s="44"/>
      <c r="IUG2" s="44"/>
      <c r="IUH2" s="44"/>
      <c r="IUI2" s="44"/>
      <c r="IUJ2" s="44"/>
      <c r="IUL2" s="44"/>
      <c r="IUM2" s="44"/>
      <c r="IUN2" s="44"/>
      <c r="IUO2" s="44"/>
      <c r="IUP2" s="44"/>
      <c r="IUQ2" s="44"/>
      <c r="IUR2" s="44"/>
      <c r="IUT2" s="44"/>
      <c r="IUU2" s="44"/>
      <c r="IUV2" s="44"/>
      <c r="IUW2" s="44"/>
      <c r="IUX2" s="44"/>
      <c r="IUY2" s="44"/>
      <c r="IUZ2" s="44"/>
      <c r="IVB2" s="44"/>
      <c r="IVC2" s="44"/>
      <c r="IVD2" s="44"/>
      <c r="IVE2" s="44"/>
      <c r="IVF2" s="44"/>
      <c r="IVG2" s="44"/>
      <c r="IVH2" s="44"/>
      <c r="IVJ2" s="44"/>
      <c r="IVK2" s="44"/>
      <c r="IVL2" s="44"/>
      <c r="IVM2" s="44"/>
      <c r="IVN2" s="44"/>
      <c r="IVO2" s="44"/>
      <c r="IVP2" s="44"/>
      <c r="IVR2" s="44"/>
      <c r="IVS2" s="44"/>
      <c r="IVT2" s="44"/>
      <c r="IVU2" s="44"/>
      <c r="IVV2" s="44"/>
      <c r="IVW2" s="44"/>
      <c r="IVX2" s="44"/>
      <c r="IVZ2" s="44"/>
      <c r="IWA2" s="44"/>
      <c r="IWB2" s="44"/>
      <c r="IWC2" s="44"/>
      <c r="IWD2" s="44"/>
      <c r="IWE2" s="44"/>
      <c r="IWF2" s="44"/>
      <c r="IWH2" s="44"/>
      <c r="IWI2" s="44"/>
      <c r="IWJ2" s="44"/>
      <c r="IWK2" s="44"/>
      <c r="IWL2" s="44"/>
      <c r="IWM2" s="44"/>
      <c r="IWN2" s="44"/>
      <c r="IWP2" s="44"/>
      <c r="IWQ2" s="44"/>
      <c r="IWR2" s="44"/>
      <c r="IWS2" s="44"/>
      <c r="IWT2" s="44"/>
      <c r="IWU2" s="44"/>
      <c r="IWV2" s="44"/>
      <c r="IWX2" s="44"/>
      <c r="IWY2" s="44"/>
      <c r="IWZ2" s="44"/>
      <c r="IXA2" s="44"/>
      <c r="IXB2" s="44"/>
      <c r="IXC2" s="44"/>
      <c r="IXD2" s="44"/>
      <c r="IXF2" s="44"/>
      <c r="IXG2" s="44"/>
      <c r="IXH2" s="44"/>
      <c r="IXI2" s="44"/>
      <c r="IXJ2" s="44"/>
      <c r="IXK2" s="44"/>
      <c r="IXL2" s="44"/>
      <c r="IXN2" s="44"/>
      <c r="IXO2" s="44"/>
      <c r="IXP2" s="44"/>
      <c r="IXQ2" s="44"/>
      <c r="IXR2" s="44"/>
      <c r="IXS2" s="44"/>
      <c r="IXT2" s="44"/>
      <c r="IXV2" s="44"/>
      <c r="IXW2" s="44"/>
      <c r="IXX2" s="44"/>
      <c r="IXY2" s="44"/>
      <c r="IXZ2" s="44"/>
      <c r="IYA2" s="44"/>
      <c r="IYB2" s="44"/>
      <c r="IYD2" s="44"/>
      <c r="IYE2" s="44"/>
      <c r="IYF2" s="44"/>
      <c r="IYG2" s="44"/>
      <c r="IYH2" s="44"/>
      <c r="IYI2" s="44"/>
      <c r="IYJ2" s="44"/>
      <c r="IYL2" s="44"/>
      <c r="IYM2" s="44"/>
      <c r="IYN2" s="44"/>
      <c r="IYO2" s="44"/>
      <c r="IYP2" s="44"/>
      <c r="IYQ2" s="44"/>
      <c r="IYR2" s="44"/>
      <c r="IYT2" s="44"/>
      <c r="IYU2" s="44"/>
      <c r="IYV2" s="44"/>
      <c r="IYW2" s="44"/>
      <c r="IYX2" s="44"/>
      <c r="IYY2" s="44"/>
      <c r="IYZ2" s="44"/>
      <c r="IZB2" s="44"/>
      <c r="IZC2" s="44"/>
      <c r="IZD2" s="44"/>
      <c r="IZE2" s="44"/>
      <c r="IZF2" s="44"/>
      <c r="IZG2" s="44"/>
      <c r="IZH2" s="44"/>
      <c r="IZJ2" s="44"/>
      <c r="IZK2" s="44"/>
      <c r="IZL2" s="44"/>
      <c r="IZM2" s="44"/>
      <c r="IZN2" s="44"/>
      <c r="IZO2" s="44"/>
      <c r="IZP2" s="44"/>
      <c r="IZR2" s="44"/>
      <c r="IZS2" s="44"/>
      <c r="IZT2" s="44"/>
      <c r="IZU2" s="44"/>
      <c r="IZV2" s="44"/>
      <c r="IZW2" s="44"/>
      <c r="IZX2" s="44"/>
      <c r="IZZ2" s="44"/>
      <c r="JAA2" s="44"/>
      <c r="JAB2" s="44"/>
      <c r="JAC2" s="44"/>
      <c r="JAD2" s="44"/>
      <c r="JAE2" s="44"/>
      <c r="JAF2" s="44"/>
      <c r="JAH2" s="44"/>
      <c r="JAI2" s="44"/>
      <c r="JAJ2" s="44"/>
      <c r="JAK2" s="44"/>
      <c r="JAL2" s="44"/>
      <c r="JAM2" s="44"/>
      <c r="JAN2" s="44"/>
      <c r="JAP2" s="44"/>
      <c r="JAQ2" s="44"/>
      <c r="JAR2" s="44"/>
      <c r="JAS2" s="44"/>
      <c r="JAT2" s="44"/>
      <c r="JAU2" s="44"/>
      <c r="JAV2" s="44"/>
      <c r="JAX2" s="44"/>
      <c r="JAY2" s="44"/>
      <c r="JAZ2" s="44"/>
      <c r="JBA2" s="44"/>
      <c r="JBB2" s="44"/>
      <c r="JBC2" s="44"/>
      <c r="JBD2" s="44"/>
      <c r="JBF2" s="44"/>
      <c r="JBG2" s="44"/>
      <c r="JBH2" s="44"/>
      <c r="JBI2" s="44"/>
      <c r="JBJ2" s="44"/>
      <c r="JBK2" s="44"/>
      <c r="JBL2" s="44"/>
      <c r="JBN2" s="44"/>
      <c r="JBO2" s="44"/>
      <c r="JBP2" s="44"/>
      <c r="JBQ2" s="44"/>
      <c r="JBR2" s="44"/>
      <c r="JBS2" s="44"/>
      <c r="JBT2" s="44"/>
      <c r="JBV2" s="44"/>
      <c r="JBW2" s="44"/>
      <c r="JBX2" s="44"/>
      <c r="JBY2" s="44"/>
      <c r="JBZ2" s="44"/>
      <c r="JCA2" s="44"/>
      <c r="JCB2" s="44"/>
      <c r="JCD2" s="44"/>
      <c r="JCE2" s="44"/>
      <c r="JCF2" s="44"/>
      <c r="JCG2" s="44"/>
      <c r="JCH2" s="44"/>
      <c r="JCI2" s="44"/>
      <c r="JCJ2" s="44"/>
      <c r="JCL2" s="44"/>
      <c r="JCM2" s="44"/>
      <c r="JCN2" s="44"/>
      <c r="JCO2" s="44"/>
      <c r="JCP2" s="44"/>
      <c r="JCQ2" s="44"/>
      <c r="JCR2" s="44"/>
      <c r="JCT2" s="44"/>
      <c r="JCU2" s="44"/>
      <c r="JCV2" s="44"/>
      <c r="JCW2" s="44"/>
      <c r="JCX2" s="44"/>
      <c r="JCY2" s="44"/>
      <c r="JCZ2" s="44"/>
      <c r="JDB2" s="44"/>
      <c r="JDC2" s="44"/>
      <c r="JDD2" s="44"/>
      <c r="JDE2" s="44"/>
      <c r="JDF2" s="44"/>
      <c r="JDG2" s="44"/>
      <c r="JDH2" s="44"/>
      <c r="JDJ2" s="44"/>
      <c r="JDK2" s="44"/>
      <c r="JDL2" s="44"/>
      <c r="JDM2" s="44"/>
      <c r="JDN2" s="44"/>
      <c r="JDO2" s="44"/>
      <c r="JDP2" s="44"/>
      <c r="JDR2" s="44"/>
      <c r="JDS2" s="44"/>
      <c r="JDT2" s="44"/>
      <c r="JDU2" s="44"/>
      <c r="JDV2" s="44"/>
      <c r="JDW2" s="44"/>
      <c r="JDX2" s="44"/>
      <c r="JDZ2" s="44"/>
      <c r="JEA2" s="44"/>
      <c r="JEB2" s="44"/>
      <c r="JEC2" s="44"/>
      <c r="JED2" s="44"/>
      <c r="JEE2" s="44"/>
      <c r="JEF2" s="44"/>
      <c r="JEH2" s="44"/>
      <c r="JEI2" s="44"/>
      <c r="JEJ2" s="44"/>
      <c r="JEK2" s="44"/>
      <c r="JEL2" s="44"/>
      <c r="JEM2" s="44"/>
      <c r="JEN2" s="44"/>
      <c r="JEP2" s="44"/>
      <c r="JEQ2" s="44"/>
      <c r="JER2" s="44"/>
      <c r="JES2" s="44"/>
      <c r="JET2" s="44"/>
      <c r="JEU2" s="44"/>
      <c r="JEV2" s="44"/>
      <c r="JEX2" s="44"/>
      <c r="JEY2" s="44"/>
      <c r="JEZ2" s="44"/>
      <c r="JFA2" s="44"/>
      <c r="JFB2" s="44"/>
      <c r="JFC2" s="44"/>
      <c r="JFD2" s="44"/>
      <c r="JFF2" s="44"/>
      <c r="JFG2" s="44"/>
      <c r="JFH2" s="44"/>
      <c r="JFI2" s="44"/>
      <c r="JFJ2" s="44"/>
      <c r="JFK2" s="44"/>
      <c r="JFL2" s="44"/>
      <c r="JFN2" s="44"/>
      <c r="JFO2" s="44"/>
      <c r="JFP2" s="44"/>
      <c r="JFQ2" s="44"/>
      <c r="JFR2" s="44"/>
      <c r="JFS2" s="44"/>
      <c r="JFT2" s="44"/>
      <c r="JFV2" s="44"/>
      <c r="JFW2" s="44"/>
      <c r="JFX2" s="44"/>
      <c r="JFY2" s="44"/>
      <c r="JFZ2" s="44"/>
      <c r="JGA2" s="44"/>
      <c r="JGB2" s="44"/>
      <c r="JGD2" s="44"/>
      <c r="JGE2" s="44"/>
      <c r="JGF2" s="44"/>
      <c r="JGG2" s="44"/>
      <c r="JGH2" s="44"/>
      <c r="JGI2" s="44"/>
      <c r="JGJ2" s="44"/>
      <c r="JGL2" s="44"/>
      <c r="JGM2" s="44"/>
      <c r="JGN2" s="44"/>
      <c r="JGO2" s="44"/>
      <c r="JGP2" s="44"/>
      <c r="JGQ2" s="44"/>
      <c r="JGR2" s="44"/>
      <c r="JGT2" s="44"/>
      <c r="JGU2" s="44"/>
      <c r="JGV2" s="44"/>
      <c r="JGW2" s="44"/>
      <c r="JGX2" s="44"/>
      <c r="JGY2" s="44"/>
      <c r="JGZ2" s="44"/>
      <c r="JHB2" s="44"/>
      <c r="JHC2" s="44"/>
      <c r="JHD2" s="44"/>
      <c r="JHE2" s="44"/>
      <c r="JHF2" s="44"/>
      <c r="JHG2" s="44"/>
      <c r="JHH2" s="44"/>
      <c r="JHJ2" s="44"/>
      <c r="JHK2" s="44"/>
      <c r="JHL2" s="44"/>
      <c r="JHM2" s="44"/>
      <c r="JHN2" s="44"/>
      <c r="JHO2" s="44"/>
      <c r="JHP2" s="44"/>
      <c r="JHR2" s="44"/>
      <c r="JHS2" s="44"/>
      <c r="JHT2" s="44"/>
      <c r="JHU2" s="44"/>
      <c r="JHV2" s="44"/>
      <c r="JHW2" s="44"/>
      <c r="JHX2" s="44"/>
      <c r="JHZ2" s="44"/>
      <c r="JIA2" s="44"/>
      <c r="JIB2" s="44"/>
      <c r="JIC2" s="44"/>
      <c r="JID2" s="44"/>
      <c r="JIE2" s="44"/>
      <c r="JIF2" s="44"/>
      <c r="JIH2" s="44"/>
      <c r="JII2" s="44"/>
      <c r="JIJ2" s="44"/>
      <c r="JIK2" s="44"/>
      <c r="JIL2" s="44"/>
      <c r="JIM2" s="44"/>
      <c r="JIN2" s="44"/>
      <c r="JIP2" s="44"/>
      <c r="JIQ2" s="44"/>
      <c r="JIR2" s="44"/>
      <c r="JIS2" s="44"/>
      <c r="JIT2" s="44"/>
      <c r="JIU2" s="44"/>
      <c r="JIV2" s="44"/>
      <c r="JIX2" s="44"/>
      <c r="JIY2" s="44"/>
      <c r="JIZ2" s="44"/>
      <c r="JJA2" s="44"/>
      <c r="JJB2" s="44"/>
      <c r="JJC2" s="44"/>
      <c r="JJD2" s="44"/>
      <c r="JJF2" s="44"/>
      <c r="JJG2" s="44"/>
      <c r="JJH2" s="44"/>
      <c r="JJI2" s="44"/>
      <c r="JJJ2" s="44"/>
      <c r="JJK2" s="44"/>
      <c r="JJL2" s="44"/>
      <c r="JJN2" s="44"/>
      <c r="JJO2" s="44"/>
      <c r="JJP2" s="44"/>
      <c r="JJQ2" s="44"/>
      <c r="JJR2" s="44"/>
      <c r="JJS2" s="44"/>
      <c r="JJT2" s="44"/>
      <c r="JJV2" s="44"/>
      <c r="JJW2" s="44"/>
      <c r="JJX2" s="44"/>
      <c r="JJY2" s="44"/>
      <c r="JJZ2" s="44"/>
      <c r="JKA2" s="44"/>
      <c r="JKB2" s="44"/>
      <c r="JKD2" s="44"/>
      <c r="JKE2" s="44"/>
      <c r="JKF2" s="44"/>
      <c r="JKG2" s="44"/>
      <c r="JKH2" s="44"/>
      <c r="JKI2" s="44"/>
      <c r="JKJ2" s="44"/>
      <c r="JKL2" s="44"/>
      <c r="JKM2" s="44"/>
      <c r="JKN2" s="44"/>
      <c r="JKO2" s="44"/>
      <c r="JKP2" s="44"/>
      <c r="JKQ2" s="44"/>
      <c r="JKR2" s="44"/>
      <c r="JKT2" s="44"/>
      <c r="JKU2" s="44"/>
      <c r="JKV2" s="44"/>
      <c r="JKW2" s="44"/>
      <c r="JKX2" s="44"/>
      <c r="JKY2" s="44"/>
      <c r="JKZ2" s="44"/>
      <c r="JLB2" s="44"/>
      <c r="JLC2" s="44"/>
      <c r="JLD2" s="44"/>
      <c r="JLE2" s="44"/>
      <c r="JLF2" s="44"/>
      <c r="JLG2" s="44"/>
      <c r="JLH2" s="44"/>
      <c r="JLJ2" s="44"/>
      <c r="JLK2" s="44"/>
      <c r="JLL2" s="44"/>
      <c r="JLM2" s="44"/>
      <c r="JLN2" s="44"/>
      <c r="JLO2" s="44"/>
      <c r="JLP2" s="44"/>
      <c r="JLR2" s="44"/>
      <c r="JLS2" s="44"/>
      <c r="JLT2" s="44"/>
      <c r="JLU2" s="44"/>
      <c r="JLV2" s="44"/>
      <c r="JLW2" s="44"/>
      <c r="JLX2" s="44"/>
      <c r="JLZ2" s="44"/>
      <c r="JMA2" s="44"/>
      <c r="JMB2" s="44"/>
      <c r="JMC2" s="44"/>
      <c r="JMD2" s="44"/>
      <c r="JME2" s="44"/>
      <c r="JMF2" s="44"/>
      <c r="JMH2" s="44"/>
      <c r="JMI2" s="44"/>
      <c r="JMJ2" s="44"/>
      <c r="JMK2" s="44"/>
      <c r="JML2" s="44"/>
      <c r="JMM2" s="44"/>
      <c r="JMN2" s="44"/>
      <c r="JMP2" s="44"/>
      <c r="JMQ2" s="44"/>
      <c r="JMR2" s="44"/>
      <c r="JMS2" s="44"/>
      <c r="JMT2" s="44"/>
      <c r="JMU2" s="44"/>
      <c r="JMV2" s="44"/>
      <c r="JMX2" s="44"/>
      <c r="JMY2" s="44"/>
      <c r="JMZ2" s="44"/>
      <c r="JNA2" s="44"/>
      <c r="JNB2" s="44"/>
      <c r="JNC2" s="44"/>
      <c r="JND2" s="44"/>
      <c r="JNF2" s="44"/>
      <c r="JNG2" s="44"/>
      <c r="JNH2" s="44"/>
      <c r="JNI2" s="44"/>
      <c r="JNJ2" s="44"/>
      <c r="JNK2" s="44"/>
      <c r="JNL2" s="44"/>
      <c r="JNN2" s="44"/>
      <c r="JNO2" s="44"/>
      <c r="JNP2" s="44"/>
      <c r="JNQ2" s="44"/>
      <c r="JNR2" s="44"/>
      <c r="JNS2" s="44"/>
      <c r="JNT2" s="44"/>
      <c r="JNV2" s="44"/>
      <c r="JNW2" s="44"/>
      <c r="JNX2" s="44"/>
      <c r="JNY2" s="44"/>
      <c r="JNZ2" s="44"/>
      <c r="JOA2" s="44"/>
      <c r="JOB2" s="44"/>
      <c r="JOD2" s="44"/>
      <c r="JOE2" s="44"/>
      <c r="JOF2" s="44"/>
      <c r="JOG2" s="44"/>
      <c r="JOH2" s="44"/>
      <c r="JOI2" s="44"/>
      <c r="JOJ2" s="44"/>
      <c r="JOL2" s="44"/>
      <c r="JOM2" s="44"/>
      <c r="JON2" s="44"/>
      <c r="JOO2" s="44"/>
      <c r="JOP2" s="44"/>
      <c r="JOQ2" s="44"/>
      <c r="JOR2" s="44"/>
      <c r="JOT2" s="44"/>
      <c r="JOU2" s="44"/>
      <c r="JOV2" s="44"/>
      <c r="JOW2" s="44"/>
      <c r="JOX2" s="44"/>
      <c r="JOY2" s="44"/>
      <c r="JOZ2" s="44"/>
      <c r="JPB2" s="44"/>
      <c r="JPC2" s="44"/>
      <c r="JPD2" s="44"/>
      <c r="JPE2" s="44"/>
      <c r="JPF2" s="44"/>
      <c r="JPG2" s="44"/>
      <c r="JPH2" s="44"/>
      <c r="JPJ2" s="44"/>
      <c r="JPK2" s="44"/>
      <c r="JPL2" s="44"/>
      <c r="JPM2" s="44"/>
      <c r="JPN2" s="44"/>
      <c r="JPO2" s="44"/>
      <c r="JPP2" s="44"/>
      <c r="JPR2" s="44"/>
      <c r="JPS2" s="44"/>
      <c r="JPT2" s="44"/>
      <c r="JPU2" s="44"/>
      <c r="JPV2" s="44"/>
      <c r="JPW2" s="44"/>
      <c r="JPX2" s="44"/>
      <c r="JPZ2" s="44"/>
      <c r="JQA2" s="44"/>
      <c r="JQB2" s="44"/>
      <c r="JQC2" s="44"/>
      <c r="JQD2" s="44"/>
      <c r="JQE2" s="44"/>
      <c r="JQF2" s="44"/>
      <c r="JQH2" s="44"/>
      <c r="JQI2" s="44"/>
      <c r="JQJ2" s="44"/>
      <c r="JQK2" s="44"/>
      <c r="JQL2" s="44"/>
      <c r="JQM2" s="44"/>
      <c r="JQN2" s="44"/>
      <c r="JQP2" s="44"/>
      <c r="JQQ2" s="44"/>
      <c r="JQR2" s="44"/>
      <c r="JQS2" s="44"/>
      <c r="JQT2" s="44"/>
      <c r="JQU2" s="44"/>
      <c r="JQV2" s="44"/>
      <c r="JQX2" s="44"/>
      <c r="JQY2" s="44"/>
      <c r="JQZ2" s="44"/>
      <c r="JRA2" s="44"/>
      <c r="JRB2" s="44"/>
      <c r="JRC2" s="44"/>
      <c r="JRD2" s="44"/>
      <c r="JRF2" s="44"/>
      <c r="JRG2" s="44"/>
      <c r="JRH2" s="44"/>
      <c r="JRI2" s="44"/>
      <c r="JRJ2" s="44"/>
      <c r="JRK2" s="44"/>
      <c r="JRL2" s="44"/>
      <c r="JRN2" s="44"/>
      <c r="JRO2" s="44"/>
      <c r="JRP2" s="44"/>
      <c r="JRQ2" s="44"/>
      <c r="JRR2" s="44"/>
      <c r="JRS2" s="44"/>
      <c r="JRT2" s="44"/>
      <c r="JRV2" s="44"/>
      <c r="JRW2" s="44"/>
      <c r="JRX2" s="44"/>
      <c r="JRY2" s="44"/>
      <c r="JRZ2" s="44"/>
      <c r="JSA2" s="44"/>
      <c r="JSB2" s="44"/>
      <c r="JSD2" s="44"/>
      <c r="JSE2" s="44"/>
      <c r="JSF2" s="44"/>
      <c r="JSG2" s="44"/>
      <c r="JSH2" s="44"/>
      <c r="JSI2" s="44"/>
      <c r="JSJ2" s="44"/>
      <c r="JSL2" s="44"/>
      <c r="JSM2" s="44"/>
      <c r="JSN2" s="44"/>
      <c r="JSO2" s="44"/>
      <c r="JSP2" s="44"/>
      <c r="JSQ2" s="44"/>
      <c r="JSR2" s="44"/>
      <c r="JST2" s="44"/>
      <c r="JSU2" s="44"/>
      <c r="JSV2" s="44"/>
      <c r="JSW2" s="44"/>
      <c r="JSX2" s="44"/>
      <c r="JSY2" s="44"/>
      <c r="JSZ2" s="44"/>
      <c r="JTB2" s="44"/>
      <c r="JTC2" s="44"/>
      <c r="JTD2" s="44"/>
      <c r="JTE2" s="44"/>
      <c r="JTF2" s="44"/>
      <c r="JTG2" s="44"/>
      <c r="JTH2" s="44"/>
      <c r="JTJ2" s="44"/>
      <c r="JTK2" s="44"/>
      <c r="JTL2" s="44"/>
      <c r="JTM2" s="44"/>
      <c r="JTN2" s="44"/>
      <c r="JTO2" s="44"/>
      <c r="JTP2" s="44"/>
      <c r="JTR2" s="44"/>
      <c r="JTS2" s="44"/>
      <c r="JTT2" s="44"/>
      <c r="JTU2" s="44"/>
      <c r="JTV2" s="44"/>
      <c r="JTW2" s="44"/>
      <c r="JTX2" s="44"/>
      <c r="JTZ2" s="44"/>
      <c r="JUA2" s="44"/>
      <c r="JUB2" s="44"/>
      <c r="JUC2" s="44"/>
      <c r="JUD2" s="44"/>
      <c r="JUE2" s="44"/>
      <c r="JUF2" s="44"/>
      <c r="JUH2" s="44"/>
      <c r="JUI2" s="44"/>
      <c r="JUJ2" s="44"/>
      <c r="JUK2" s="44"/>
      <c r="JUL2" s="44"/>
      <c r="JUM2" s="44"/>
      <c r="JUN2" s="44"/>
      <c r="JUP2" s="44"/>
      <c r="JUQ2" s="44"/>
      <c r="JUR2" s="44"/>
      <c r="JUS2" s="44"/>
      <c r="JUT2" s="44"/>
      <c r="JUU2" s="44"/>
      <c r="JUV2" s="44"/>
      <c r="JUX2" s="44"/>
      <c r="JUY2" s="44"/>
      <c r="JUZ2" s="44"/>
      <c r="JVA2" s="44"/>
      <c r="JVB2" s="44"/>
      <c r="JVC2" s="44"/>
      <c r="JVD2" s="44"/>
      <c r="JVF2" s="44"/>
      <c r="JVG2" s="44"/>
      <c r="JVH2" s="44"/>
      <c r="JVI2" s="44"/>
      <c r="JVJ2" s="44"/>
      <c r="JVK2" s="44"/>
      <c r="JVL2" s="44"/>
      <c r="JVN2" s="44"/>
      <c r="JVO2" s="44"/>
      <c r="JVP2" s="44"/>
      <c r="JVQ2" s="44"/>
      <c r="JVR2" s="44"/>
      <c r="JVS2" s="44"/>
      <c r="JVT2" s="44"/>
      <c r="JVV2" s="44"/>
      <c r="JVW2" s="44"/>
      <c r="JVX2" s="44"/>
      <c r="JVY2" s="44"/>
      <c r="JVZ2" s="44"/>
      <c r="JWA2" s="44"/>
      <c r="JWB2" s="44"/>
      <c r="JWD2" s="44"/>
      <c r="JWE2" s="44"/>
      <c r="JWF2" s="44"/>
      <c r="JWG2" s="44"/>
      <c r="JWH2" s="44"/>
      <c r="JWI2" s="44"/>
      <c r="JWJ2" s="44"/>
      <c r="JWL2" s="44"/>
      <c r="JWM2" s="44"/>
      <c r="JWN2" s="44"/>
      <c r="JWO2" s="44"/>
      <c r="JWP2" s="44"/>
      <c r="JWQ2" s="44"/>
      <c r="JWR2" s="44"/>
      <c r="JWT2" s="44"/>
      <c r="JWU2" s="44"/>
      <c r="JWV2" s="44"/>
      <c r="JWW2" s="44"/>
      <c r="JWX2" s="44"/>
      <c r="JWY2" s="44"/>
      <c r="JWZ2" s="44"/>
      <c r="JXB2" s="44"/>
      <c r="JXC2" s="44"/>
      <c r="JXD2" s="44"/>
      <c r="JXE2" s="44"/>
      <c r="JXF2" s="44"/>
      <c r="JXG2" s="44"/>
      <c r="JXH2" s="44"/>
      <c r="JXJ2" s="44"/>
      <c r="JXK2" s="44"/>
      <c r="JXL2" s="44"/>
      <c r="JXM2" s="44"/>
      <c r="JXN2" s="44"/>
      <c r="JXO2" s="44"/>
      <c r="JXP2" s="44"/>
      <c r="JXR2" s="44"/>
      <c r="JXS2" s="44"/>
      <c r="JXT2" s="44"/>
      <c r="JXU2" s="44"/>
      <c r="JXV2" s="44"/>
      <c r="JXW2" s="44"/>
      <c r="JXX2" s="44"/>
      <c r="JXZ2" s="44"/>
      <c r="JYA2" s="44"/>
      <c r="JYB2" s="44"/>
      <c r="JYC2" s="44"/>
      <c r="JYD2" s="44"/>
      <c r="JYE2" s="44"/>
      <c r="JYF2" s="44"/>
      <c r="JYH2" s="44"/>
      <c r="JYI2" s="44"/>
      <c r="JYJ2" s="44"/>
      <c r="JYK2" s="44"/>
      <c r="JYL2" s="44"/>
      <c r="JYM2" s="44"/>
      <c r="JYN2" s="44"/>
      <c r="JYP2" s="44"/>
      <c r="JYQ2" s="44"/>
      <c r="JYR2" s="44"/>
      <c r="JYS2" s="44"/>
      <c r="JYT2" s="44"/>
      <c r="JYU2" s="44"/>
      <c r="JYV2" s="44"/>
      <c r="JYX2" s="44"/>
      <c r="JYY2" s="44"/>
      <c r="JYZ2" s="44"/>
      <c r="JZA2" s="44"/>
      <c r="JZB2" s="44"/>
      <c r="JZC2" s="44"/>
      <c r="JZD2" s="44"/>
      <c r="JZF2" s="44"/>
      <c r="JZG2" s="44"/>
      <c r="JZH2" s="44"/>
      <c r="JZI2" s="44"/>
      <c r="JZJ2" s="44"/>
      <c r="JZK2" s="44"/>
      <c r="JZL2" s="44"/>
      <c r="JZN2" s="44"/>
      <c r="JZO2" s="44"/>
      <c r="JZP2" s="44"/>
      <c r="JZQ2" s="44"/>
      <c r="JZR2" s="44"/>
      <c r="JZS2" s="44"/>
      <c r="JZT2" s="44"/>
      <c r="JZV2" s="44"/>
      <c r="JZW2" s="44"/>
      <c r="JZX2" s="44"/>
      <c r="JZY2" s="44"/>
      <c r="JZZ2" s="44"/>
      <c r="KAA2" s="44"/>
      <c r="KAB2" s="44"/>
      <c r="KAD2" s="44"/>
      <c r="KAE2" s="44"/>
      <c r="KAF2" s="44"/>
      <c r="KAG2" s="44"/>
      <c r="KAH2" s="44"/>
      <c r="KAI2" s="44"/>
      <c r="KAJ2" s="44"/>
      <c r="KAL2" s="44"/>
      <c r="KAM2" s="44"/>
      <c r="KAN2" s="44"/>
      <c r="KAO2" s="44"/>
      <c r="KAP2" s="44"/>
      <c r="KAQ2" s="44"/>
      <c r="KAR2" s="44"/>
      <c r="KAT2" s="44"/>
      <c r="KAU2" s="44"/>
      <c r="KAV2" s="44"/>
      <c r="KAW2" s="44"/>
      <c r="KAX2" s="44"/>
      <c r="KAY2" s="44"/>
      <c r="KAZ2" s="44"/>
      <c r="KBB2" s="44"/>
      <c r="KBC2" s="44"/>
      <c r="KBD2" s="44"/>
      <c r="KBE2" s="44"/>
      <c r="KBF2" s="44"/>
      <c r="KBG2" s="44"/>
      <c r="KBH2" s="44"/>
      <c r="KBJ2" s="44"/>
      <c r="KBK2" s="44"/>
      <c r="KBL2" s="44"/>
      <c r="KBM2" s="44"/>
      <c r="KBN2" s="44"/>
      <c r="KBO2" s="44"/>
      <c r="KBP2" s="44"/>
      <c r="KBR2" s="44"/>
      <c r="KBS2" s="44"/>
      <c r="KBT2" s="44"/>
      <c r="KBU2" s="44"/>
      <c r="KBV2" s="44"/>
      <c r="KBW2" s="44"/>
      <c r="KBX2" s="44"/>
      <c r="KBZ2" s="44"/>
      <c r="KCA2" s="44"/>
      <c r="KCB2" s="44"/>
      <c r="KCC2" s="44"/>
      <c r="KCD2" s="44"/>
      <c r="KCE2" s="44"/>
      <c r="KCF2" s="44"/>
      <c r="KCH2" s="44"/>
      <c r="KCI2" s="44"/>
      <c r="KCJ2" s="44"/>
      <c r="KCK2" s="44"/>
      <c r="KCL2" s="44"/>
      <c r="KCM2" s="44"/>
      <c r="KCN2" s="44"/>
      <c r="KCP2" s="44"/>
      <c r="KCQ2" s="44"/>
      <c r="KCR2" s="44"/>
      <c r="KCS2" s="44"/>
      <c r="KCT2" s="44"/>
      <c r="KCU2" s="44"/>
      <c r="KCV2" s="44"/>
      <c r="KCX2" s="44"/>
      <c r="KCY2" s="44"/>
      <c r="KCZ2" s="44"/>
      <c r="KDA2" s="44"/>
      <c r="KDB2" s="44"/>
      <c r="KDC2" s="44"/>
      <c r="KDD2" s="44"/>
      <c r="KDF2" s="44"/>
      <c r="KDG2" s="44"/>
      <c r="KDH2" s="44"/>
      <c r="KDI2" s="44"/>
      <c r="KDJ2" s="44"/>
      <c r="KDK2" s="44"/>
      <c r="KDL2" s="44"/>
      <c r="KDN2" s="44"/>
      <c r="KDO2" s="44"/>
      <c r="KDP2" s="44"/>
      <c r="KDQ2" s="44"/>
      <c r="KDR2" s="44"/>
      <c r="KDS2" s="44"/>
      <c r="KDT2" s="44"/>
      <c r="KDV2" s="44"/>
      <c r="KDW2" s="44"/>
      <c r="KDX2" s="44"/>
      <c r="KDY2" s="44"/>
      <c r="KDZ2" s="44"/>
      <c r="KEA2" s="44"/>
      <c r="KEB2" s="44"/>
      <c r="KED2" s="44"/>
      <c r="KEE2" s="44"/>
      <c r="KEF2" s="44"/>
      <c r="KEG2" s="44"/>
      <c r="KEH2" s="44"/>
      <c r="KEI2" s="44"/>
      <c r="KEJ2" s="44"/>
      <c r="KEL2" s="44"/>
      <c r="KEM2" s="44"/>
      <c r="KEN2" s="44"/>
      <c r="KEO2" s="44"/>
      <c r="KEP2" s="44"/>
      <c r="KEQ2" s="44"/>
      <c r="KER2" s="44"/>
      <c r="KET2" s="44"/>
      <c r="KEU2" s="44"/>
      <c r="KEV2" s="44"/>
      <c r="KEW2" s="44"/>
      <c r="KEX2" s="44"/>
      <c r="KEY2" s="44"/>
      <c r="KEZ2" s="44"/>
      <c r="KFB2" s="44"/>
      <c r="KFC2" s="44"/>
      <c r="KFD2" s="44"/>
      <c r="KFE2" s="44"/>
      <c r="KFF2" s="44"/>
      <c r="KFG2" s="44"/>
      <c r="KFH2" s="44"/>
      <c r="KFJ2" s="44"/>
      <c r="KFK2" s="44"/>
      <c r="KFL2" s="44"/>
      <c r="KFM2" s="44"/>
      <c r="KFN2" s="44"/>
      <c r="KFO2" s="44"/>
      <c r="KFP2" s="44"/>
      <c r="KFR2" s="44"/>
      <c r="KFS2" s="44"/>
      <c r="KFT2" s="44"/>
      <c r="KFU2" s="44"/>
      <c r="KFV2" s="44"/>
      <c r="KFW2" s="44"/>
      <c r="KFX2" s="44"/>
      <c r="KFZ2" s="44"/>
      <c r="KGA2" s="44"/>
      <c r="KGB2" s="44"/>
      <c r="KGC2" s="44"/>
      <c r="KGD2" s="44"/>
      <c r="KGE2" s="44"/>
      <c r="KGF2" s="44"/>
      <c r="KGH2" s="44"/>
      <c r="KGI2" s="44"/>
      <c r="KGJ2" s="44"/>
      <c r="KGK2" s="44"/>
      <c r="KGL2" s="44"/>
      <c r="KGM2" s="44"/>
      <c r="KGN2" s="44"/>
      <c r="KGP2" s="44"/>
      <c r="KGQ2" s="44"/>
      <c r="KGR2" s="44"/>
      <c r="KGS2" s="44"/>
      <c r="KGT2" s="44"/>
      <c r="KGU2" s="44"/>
      <c r="KGV2" s="44"/>
      <c r="KGX2" s="44"/>
      <c r="KGY2" s="44"/>
      <c r="KGZ2" s="44"/>
      <c r="KHA2" s="44"/>
      <c r="KHB2" s="44"/>
      <c r="KHC2" s="44"/>
      <c r="KHD2" s="44"/>
      <c r="KHF2" s="44"/>
      <c r="KHG2" s="44"/>
      <c r="KHH2" s="44"/>
      <c r="KHI2" s="44"/>
      <c r="KHJ2" s="44"/>
      <c r="KHK2" s="44"/>
      <c r="KHL2" s="44"/>
      <c r="KHN2" s="44"/>
      <c r="KHO2" s="44"/>
      <c r="KHP2" s="44"/>
      <c r="KHQ2" s="44"/>
      <c r="KHR2" s="44"/>
      <c r="KHS2" s="44"/>
      <c r="KHT2" s="44"/>
      <c r="KHV2" s="44"/>
      <c r="KHW2" s="44"/>
      <c r="KHX2" s="44"/>
      <c r="KHY2" s="44"/>
      <c r="KHZ2" s="44"/>
      <c r="KIA2" s="44"/>
      <c r="KIB2" s="44"/>
      <c r="KID2" s="44"/>
      <c r="KIE2" s="44"/>
      <c r="KIF2" s="44"/>
      <c r="KIG2" s="44"/>
      <c r="KIH2" s="44"/>
      <c r="KII2" s="44"/>
      <c r="KIJ2" s="44"/>
      <c r="KIL2" s="44"/>
      <c r="KIM2" s="44"/>
      <c r="KIN2" s="44"/>
      <c r="KIO2" s="44"/>
      <c r="KIP2" s="44"/>
      <c r="KIQ2" s="44"/>
      <c r="KIR2" s="44"/>
      <c r="KIT2" s="44"/>
      <c r="KIU2" s="44"/>
      <c r="KIV2" s="44"/>
      <c r="KIW2" s="44"/>
      <c r="KIX2" s="44"/>
      <c r="KIY2" s="44"/>
      <c r="KIZ2" s="44"/>
      <c r="KJB2" s="44"/>
      <c r="KJC2" s="44"/>
      <c r="KJD2" s="44"/>
      <c r="KJE2" s="44"/>
      <c r="KJF2" s="44"/>
      <c r="KJG2" s="44"/>
      <c r="KJH2" s="44"/>
      <c r="KJJ2" s="44"/>
      <c r="KJK2" s="44"/>
      <c r="KJL2" s="44"/>
      <c r="KJM2" s="44"/>
      <c r="KJN2" s="44"/>
      <c r="KJO2" s="44"/>
      <c r="KJP2" s="44"/>
      <c r="KJR2" s="44"/>
      <c r="KJS2" s="44"/>
      <c r="KJT2" s="44"/>
      <c r="KJU2" s="44"/>
      <c r="KJV2" s="44"/>
      <c r="KJW2" s="44"/>
      <c r="KJX2" s="44"/>
      <c r="KJZ2" s="44"/>
      <c r="KKA2" s="44"/>
      <c r="KKB2" s="44"/>
      <c r="KKC2" s="44"/>
      <c r="KKD2" s="44"/>
      <c r="KKE2" s="44"/>
      <c r="KKF2" s="44"/>
      <c r="KKH2" s="44"/>
      <c r="KKI2" s="44"/>
      <c r="KKJ2" s="44"/>
      <c r="KKK2" s="44"/>
      <c r="KKL2" s="44"/>
      <c r="KKM2" s="44"/>
      <c r="KKN2" s="44"/>
      <c r="KKP2" s="44"/>
      <c r="KKQ2" s="44"/>
      <c r="KKR2" s="44"/>
      <c r="KKS2" s="44"/>
      <c r="KKT2" s="44"/>
      <c r="KKU2" s="44"/>
      <c r="KKV2" s="44"/>
      <c r="KKX2" s="44"/>
      <c r="KKY2" s="44"/>
      <c r="KKZ2" s="44"/>
      <c r="KLA2" s="44"/>
      <c r="KLB2" s="44"/>
      <c r="KLC2" s="44"/>
      <c r="KLD2" s="44"/>
      <c r="KLF2" s="44"/>
      <c r="KLG2" s="44"/>
      <c r="KLH2" s="44"/>
      <c r="KLI2" s="44"/>
      <c r="KLJ2" s="44"/>
      <c r="KLK2" s="44"/>
      <c r="KLL2" s="44"/>
      <c r="KLN2" s="44"/>
      <c r="KLO2" s="44"/>
      <c r="KLP2" s="44"/>
      <c r="KLQ2" s="44"/>
      <c r="KLR2" s="44"/>
      <c r="KLS2" s="44"/>
      <c r="KLT2" s="44"/>
      <c r="KLV2" s="44"/>
      <c r="KLW2" s="44"/>
      <c r="KLX2" s="44"/>
      <c r="KLY2" s="44"/>
      <c r="KLZ2" s="44"/>
      <c r="KMA2" s="44"/>
      <c r="KMB2" s="44"/>
      <c r="KMD2" s="44"/>
      <c r="KME2" s="44"/>
      <c r="KMF2" s="44"/>
      <c r="KMG2" s="44"/>
      <c r="KMH2" s="44"/>
      <c r="KMI2" s="44"/>
      <c r="KMJ2" s="44"/>
      <c r="KML2" s="44"/>
      <c r="KMM2" s="44"/>
      <c r="KMN2" s="44"/>
      <c r="KMO2" s="44"/>
      <c r="KMP2" s="44"/>
      <c r="KMQ2" s="44"/>
      <c r="KMR2" s="44"/>
      <c r="KMT2" s="44"/>
      <c r="KMU2" s="44"/>
      <c r="KMV2" s="44"/>
      <c r="KMW2" s="44"/>
      <c r="KMX2" s="44"/>
      <c r="KMY2" s="44"/>
      <c r="KMZ2" s="44"/>
      <c r="KNB2" s="44"/>
      <c r="KNC2" s="44"/>
      <c r="KND2" s="44"/>
      <c r="KNE2" s="44"/>
      <c r="KNF2" s="44"/>
      <c r="KNG2" s="44"/>
      <c r="KNH2" s="44"/>
      <c r="KNJ2" s="44"/>
      <c r="KNK2" s="44"/>
      <c r="KNL2" s="44"/>
      <c r="KNM2" s="44"/>
      <c r="KNN2" s="44"/>
      <c r="KNO2" s="44"/>
      <c r="KNP2" s="44"/>
      <c r="KNR2" s="44"/>
      <c r="KNS2" s="44"/>
      <c r="KNT2" s="44"/>
      <c r="KNU2" s="44"/>
      <c r="KNV2" s="44"/>
      <c r="KNW2" s="44"/>
      <c r="KNX2" s="44"/>
      <c r="KNZ2" s="44"/>
      <c r="KOA2" s="44"/>
      <c r="KOB2" s="44"/>
      <c r="KOC2" s="44"/>
      <c r="KOD2" s="44"/>
      <c r="KOE2" s="44"/>
      <c r="KOF2" s="44"/>
      <c r="KOH2" s="44"/>
      <c r="KOI2" s="44"/>
      <c r="KOJ2" s="44"/>
      <c r="KOK2" s="44"/>
      <c r="KOL2" s="44"/>
      <c r="KOM2" s="44"/>
      <c r="KON2" s="44"/>
      <c r="KOP2" s="44"/>
      <c r="KOQ2" s="44"/>
      <c r="KOR2" s="44"/>
      <c r="KOS2" s="44"/>
      <c r="KOT2" s="44"/>
      <c r="KOU2" s="44"/>
      <c r="KOV2" s="44"/>
      <c r="KOX2" s="44"/>
      <c r="KOY2" s="44"/>
      <c r="KOZ2" s="44"/>
      <c r="KPA2" s="44"/>
      <c r="KPB2" s="44"/>
      <c r="KPC2" s="44"/>
      <c r="KPD2" s="44"/>
      <c r="KPF2" s="44"/>
      <c r="KPG2" s="44"/>
      <c r="KPH2" s="44"/>
      <c r="KPI2" s="44"/>
      <c r="KPJ2" s="44"/>
      <c r="KPK2" s="44"/>
      <c r="KPL2" s="44"/>
      <c r="KPN2" s="44"/>
      <c r="KPO2" s="44"/>
      <c r="KPP2" s="44"/>
      <c r="KPQ2" s="44"/>
      <c r="KPR2" s="44"/>
      <c r="KPS2" s="44"/>
      <c r="KPT2" s="44"/>
      <c r="KPV2" s="44"/>
      <c r="KPW2" s="44"/>
      <c r="KPX2" s="44"/>
      <c r="KPY2" s="44"/>
      <c r="KPZ2" s="44"/>
      <c r="KQA2" s="44"/>
      <c r="KQB2" s="44"/>
      <c r="KQD2" s="44"/>
      <c r="KQE2" s="44"/>
      <c r="KQF2" s="44"/>
      <c r="KQG2" s="44"/>
      <c r="KQH2" s="44"/>
      <c r="KQI2" s="44"/>
      <c r="KQJ2" s="44"/>
      <c r="KQL2" s="44"/>
      <c r="KQM2" s="44"/>
      <c r="KQN2" s="44"/>
      <c r="KQO2" s="44"/>
      <c r="KQP2" s="44"/>
      <c r="KQQ2" s="44"/>
      <c r="KQR2" s="44"/>
      <c r="KQT2" s="44"/>
      <c r="KQU2" s="44"/>
      <c r="KQV2" s="44"/>
      <c r="KQW2" s="44"/>
      <c r="KQX2" s="44"/>
      <c r="KQY2" s="44"/>
      <c r="KQZ2" s="44"/>
      <c r="KRB2" s="44"/>
      <c r="KRC2" s="44"/>
      <c r="KRD2" s="44"/>
      <c r="KRE2" s="44"/>
      <c r="KRF2" s="44"/>
      <c r="KRG2" s="44"/>
      <c r="KRH2" s="44"/>
      <c r="KRJ2" s="44"/>
      <c r="KRK2" s="44"/>
      <c r="KRL2" s="44"/>
      <c r="KRM2" s="44"/>
      <c r="KRN2" s="44"/>
      <c r="KRO2" s="44"/>
      <c r="KRP2" s="44"/>
      <c r="KRR2" s="44"/>
      <c r="KRS2" s="44"/>
      <c r="KRT2" s="44"/>
      <c r="KRU2" s="44"/>
      <c r="KRV2" s="44"/>
      <c r="KRW2" s="44"/>
      <c r="KRX2" s="44"/>
      <c r="KRZ2" s="44"/>
      <c r="KSA2" s="44"/>
      <c r="KSB2" s="44"/>
      <c r="KSC2" s="44"/>
      <c r="KSD2" s="44"/>
      <c r="KSE2" s="44"/>
      <c r="KSF2" s="44"/>
      <c r="KSH2" s="44"/>
      <c r="KSI2" s="44"/>
      <c r="KSJ2" s="44"/>
      <c r="KSK2" s="44"/>
      <c r="KSL2" s="44"/>
      <c r="KSM2" s="44"/>
      <c r="KSN2" s="44"/>
      <c r="KSP2" s="44"/>
      <c r="KSQ2" s="44"/>
      <c r="KSR2" s="44"/>
      <c r="KSS2" s="44"/>
      <c r="KST2" s="44"/>
      <c r="KSU2" s="44"/>
      <c r="KSV2" s="44"/>
      <c r="KSX2" s="44"/>
      <c r="KSY2" s="44"/>
      <c r="KSZ2" s="44"/>
      <c r="KTA2" s="44"/>
      <c r="KTB2" s="44"/>
      <c r="KTC2" s="44"/>
      <c r="KTD2" s="44"/>
      <c r="KTF2" s="44"/>
      <c r="KTG2" s="44"/>
      <c r="KTH2" s="44"/>
      <c r="KTI2" s="44"/>
      <c r="KTJ2" s="44"/>
      <c r="KTK2" s="44"/>
      <c r="KTL2" s="44"/>
      <c r="KTN2" s="44"/>
      <c r="KTO2" s="44"/>
      <c r="KTP2" s="44"/>
      <c r="KTQ2" s="44"/>
      <c r="KTR2" s="44"/>
      <c r="KTS2" s="44"/>
      <c r="KTT2" s="44"/>
      <c r="KTV2" s="44"/>
      <c r="KTW2" s="44"/>
      <c r="KTX2" s="44"/>
      <c r="KTY2" s="44"/>
      <c r="KTZ2" s="44"/>
      <c r="KUA2" s="44"/>
      <c r="KUB2" s="44"/>
      <c r="KUD2" s="44"/>
      <c r="KUE2" s="44"/>
      <c r="KUF2" s="44"/>
      <c r="KUG2" s="44"/>
      <c r="KUH2" s="44"/>
      <c r="KUI2" s="44"/>
      <c r="KUJ2" s="44"/>
      <c r="KUL2" s="44"/>
      <c r="KUM2" s="44"/>
      <c r="KUN2" s="44"/>
      <c r="KUO2" s="44"/>
      <c r="KUP2" s="44"/>
      <c r="KUQ2" s="44"/>
      <c r="KUR2" s="44"/>
      <c r="KUT2" s="44"/>
      <c r="KUU2" s="44"/>
      <c r="KUV2" s="44"/>
      <c r="KUW2" s="44"/>
      <c r="KUX2" s="44"/>
      <c r="KUY2" s="44"/>
      <c r="KUZ2" s="44"/>
      <c r="KVB2" s="44"/>
      <c r="KVC2" s="44"/>
      <c r="KVD2" s="44"/>
      <c r="KVE2" s="44"/>
      <c r="KVF2" s="44"/>
      <c r="KVG2" s="44"/>
      <c r="KVH2" s="44"/>
      <c r="KVJ2" s="44"/>
      <c r="KVK2" s="44"/>
      <c r="KVL2" s="44"/>
      <c r="KVM2" s="44"/>
      <c r="KVN2" s="44"/>
      <c r="KVO2" s="44"/>
      <c r="KVP2" s="44"/>
      <c r="KVR2" s="44"/>
      <c r="KVS2" s="44"/>
      <c r="KVT2" s="44"/>
      <c r="KVU2" s="44"/>
      <c r="KVV2" s="44"/>
      <c r="KVW2" s="44"/>
      <c r="KVX2" s="44"/>
      <c r="KVZ2" s="44"/>
      <c r="KWA2" s="44"/>
      <c r="KWB2" s="44"/>
      <c r="KWC2" s="44"/>
      <c r="KWD2" s="44"/>
      <c r="KWE2" s="44"/>
      <c r="KWF2" s="44"/>
      <c r="KWH2" s="44"/>
      <c r="KWI2" s="44"/>
      <c r="KWJ2" s="44"/>
      <c r="KWK2" s="44"/>
      <c r="KWL2" s="44"/>
      <c r="KWM2" s="44"/>
      <c r="KWN2" s="44"/>
      <c r="KWP2" s="44"/>
      <c r="KWQ2" s="44"/>
      <c r="KWR2" s="44"/>
      <c r="KWS2" s="44"/>
      <c r="KWT2" s="44"/>
      <c r="KWU2" s="44"/>
      <c r="KWV2" s="44"/>
      <c r="KWX2" s="44"/>
      <c r="KWY2" s="44"/>
      <c r="KWZ2" s="44"/>
      <c r="KXA2" s="44"/>
      <c r="KXB2" s="44"/>
      <c r="KXC2" s="44"/>
      <c r="KXD2" s="44"/>
      <c r="KXF2" s="44"/>
      <c r="KXG2" s="44"/>
      <c r="KXH2" s="44"/>
      <c r="KXI2" s="44"/>
      <c r="KXJ2" s="44"/>
      <c r="KXK2" s="44"/>
      <c r="KXL2" s="44"/>
      <c r="KXN2" s="44"/>
      <c r="KXO2" s="44"/>
      <c r="KXP2" s="44"/>
      <c r="KXQ2" s="44"/>
      <c r="KXR2" s="44"/>
      <c r="KXS2" s="44"/>
      <c r="KXT2" s="44"/>
      <c r="KXV2" s="44"/>
      <c r="KXW2" s="44"/>
      <c r="KXX2" s="44"/>
      <c r="KXY2" s="44"/>
      <c r="KXZ2" s="44"/>
      <c r="KYA2" s="44"/>
      <c r="KYB2" s="44"/>
      <c r="KYD2" s="44"/>
      <c r="KYE2" s="44"/>
      <c r="KYF2" s="44"/>
      <c r="KYG2" s="44"/>
      <c r="KYH2" s="44"/>
      <c r="KYI2" s="44"/>
      <c r="KYJ2" s="44"/>
      <c r="KYL2" s="44"/>
      <c r="KYM2" s="44"/>
      <c r="KYN2" s="44"/>
      <c r="KYO2" s="44"/>
      <c r="KYP2" s="44"/>
      <c r="KYQ2" s="44"/>
      <c r="KYR2" s="44"/>
      <c r="KYT2" s="44"/>
      <c r="KYU2" s="44"/>
      <c r="KYV2" s="44"/>
      <c r="KYW2" s="44"/>
      <c r="KYX2" s="44"/>
      <c r="KYY2" s="44"/>
      <c r="KYZ2" s="44"/>
      <c r="KZB2" s="44"/>
      <c r="KZC2" s="44"/>
      <c r="KZD2" s="44"/>
      <c r="KZE2" s="44"/>
      <c r="KZF2" s="44"/>
      <c r="KZG2" s="44"/>
      <c r="KZH2" s="44"/>
      <c r="KZJ2" s="44"/>
      <c r="KZK2" s="44"/>
      <c r="KZL2" s="44"/>
      <c r="KZM2" s="44"/>
      <c r="KZN2" s="44"/>
      <c r="KZO2" s="44"/>
      <c r="KZP2" s="44"/>
      <c r="KZR2" s="44"/>
      <c r="KZS2" s="44"/>
      <c r="KZT2" s="44"/>
      <c r="KZU2" s="44"/>
      <c r="KZV2" s="44"/>
      <c r="KZW2" s="44"/>
      <c r="KZX2" s="44"/>
      <c r="KZZ2" s="44"/>
      <c r="LAA2" s="44"/>
      <c r="LAB2" s="44"/>
      <c r="LAC2" s="44"/>
      <c r="LAD2" s="44"/>
      <c r="LAE2" s="44"/>
      <c r="LAF2" s="44"/>
      <c r="LAH2" s="44"/>
      <c r="LAI2" s="44"/>
      <c r="LAJ2" s="44"/>
      <c r="LAK2" s="44"/>
      <c r="LAL2" s="44"/>
      <c r="LAM2" s="44"/>
      <c r="LAN2" s="44"/>
      <c r="LAP2" s="44"/>
      <c r="LAQ2" s="44"/>
      <c r="LAR2" s="44"/>
      <c r="LAS2" s="44"/>
      <c r="LAT2" s="44"/>
      <c r="LAU2" s="44"/>
      <c r="LAV2" s="44"/>
      <c r="LAX2" s="44"/>
      <c r="LAY2" s="44"/>
      <c r="LAZ2" s="44"/>
      <c r="LBA2" s="44"/>
      <c r="LBB2" s="44"/>
      <c r="LBC2" s="44"/>
      <c r="LBD2" s="44"/>
      <c r="LBF2" s="44"/>
      <c r="LBG2" s="44"/>
      <c r="LBH2" s="44"/>
      <c r="LBI2" s="44"/>
      <c r="LBJ2" s="44"/>
      <c r="LBK2" s="44"/>
      <c r="LBL2" s="44"/>
      <c r="LBN2" s="44"/>
      <c r="LBO2" s="44"/>
      <c r="LBP2" s="44"/>
      <c r="LBQ2" s="44"/>
      <c r="LBR2" s="44"/>
      <c r="LBS2" s="44"/>
      <c r="LBT2" s="44"/>
      <c r="LBV2" s="44"/>
      <c r="LBW2" s="44"/>
      <c r="LBX2" s="44"/>
      <c r="LBY2" s="44"/>
      <c r="LBZ2" s="44"/>
      <c r="LCA2" s="44"/>
      <c r="LCB2" s="44"/>
      <c r="LCD2" s="44"/>
      <c r="LCE2" s="44"/>
      <c r="LCF2" s="44"/>
      <c r="LCG2" s="44"/>
      <c r="LCH2" s="44"/>
      <c r="LCI2" s="44"/>
      <c r="LCJ2" s="44"/>
      <c r="LCL2" s="44"/>
      <c r="LCM2" s="44"/>
      <c r="LCN2" s="44"/>
      <c r="LCO2" s="44"/>
      <c r="LCP2" s="44"/>
      <c r="LCQ2" s="44"/>
      <c r="LCR2" s="44"/>
      <c r="LCT2" s="44"/>
      <c r="LCU2" s="44"/>
      <c r="LCV2" s="44"/>
      <c r="LCW2" s="44"/>
      <c r="LCX2" s="44"/>
      <c r="LCY2" s="44"/>
      <c r="LCZ2" s="44"/>
      <c r="LDB2" s="44"/>
      <c r="LDC2" s="44"/>
      <c r="LDD2" s="44"/>
      <c r="LDE2" s="44"/>
      <c r="LDF2" s="44"/>
      <c r="LDG2" s="44"/>
      <c r="LDH2" s="44"/>
      <c r="LDJ2" s="44"/>
      <c r="LDK2" s="44"/>
      <c r="LDL2" s="44"/>
      <c r="LDM2" s="44"/>
      <c r="LDN2" s="44"/>
      <c r="LDO2" s="44"/>
      <c r="LDP2" s="44"/>
      <c r="LDR2" s="44"/>
      <c r="LDS2" s="44"/>
      <c r="LDT2" s="44"/>
      <c r="LDU2" s="44"/>
      <c r="LDV2" s="44"/>
      <c r="LDW2" s="44"/>
      <c r="LDX2" s="44"/>
      <c r="LDZ2" s="44"/>
      <c r="LEA2" s="44"/>
      <c r="LEB2" s="44"/>
      <c r="LEC2" s="44"/>
      <c r="LED2" s="44"/>
      <c r="LEE2" s="44"/>
      <c r="LEF2" s="44"/>
      <c r="LEH2" s="44"/>
      <c r="LEI2" s="44"/>
      <c r="LEJ2" s="44"/>
      <c r="LEK2" s="44"/>
      <c r="LEL2" s="44"/>
      <c r="LEM2" s="44"/>
      <c r="LEN2" s="44"/>
      <c r="LEP2" s="44"/>
      <c r="LEQ2" s="44"/>
      <c r="LER2" s="44"/>
      <c r="LES2" s="44"/>
      <c r="LET2" s="44"/>
      <c r="LEU2" s="44"/>
      <c r="LEV2" s="44"/>
      <c r="LEX2" s="44"/>
      <c r="LEY2" s="44"/>
      <c r="LEZ2" s="44"/>
      <c r="LFA2" s="44"/>
      <c r="LFB2" s="44"/>
      <c r="LFC2" s="44"/>
      <c r="LFD2" s="44"/>
      <c r="LFF2" s="44"/>
      <c r="LFG2" s="44"/>
      <c r="LFH2" s="44"/>
      <c r="LFI2" s="44"/>
      <c r="LFJ2" s="44"/>
      <c r="LFK2" s="44"/>
      <c r="LFL2" s="44"/>
      <c r="LFN2" s="44"/>
      <c r="LFO2" s="44"/>
      <c r="LFP2" s="44"/>
      <c r="LFQ2" s="44"/>
      <c r="LFR2" s="44"/>
      <c r="LFS2" s="44"/>
      <c r="LFT2" s="44"/>
      <c r="LFV2" s="44"/>
      <c r="LFW2" s="44"/>
      <c r="LFX2" s="44"/>
      <c r="LFY2" s="44"/>
      <c r="LFZ2" s="44"/>
      <c r="LGA2" s="44"/>
      <c r="LGB2" s="44"/>
      <c r="LGD2" s="44"/>
      <c r="LGE2" s="44"/>
      <c r="LGF2" s="44"/>
      <c r="LGG2" s="44"/>
      <c r="LGH2" s="44"/>
      <c r="LGI2" s="44"/>
      <c r="LGJ2" s="44"/>
      <c r="LGL2" s="44"/>
      <c r="LGM2" s="44"/>
      <c r="LGN2" s="44"/>
      <c r="LGO2" s="44"/>
      <c r="LGP2" s="44"/>
      <c r="LGQ2" s="44"/>
      <c r="LGR2" s="44"/>
      <c r="LGT2" s="44"/>
      <c r="LGU2" s="44"/>
      <c r="LGV2" s="44"/>
      <c r="LGW2" s="44"/>
      <c r="LGX2" s="44"/>
      <c r="LGY2" s="44"/>
      <c r="LGZ2" s="44"/>
      <c r="LHB2" s="44"/>
      <c r="LHC2" s="44"/>
      <c r="LHD2" s="44"/>
      <c r="LHE2" s="44"/>
      <c r="LHF2" s="44"/>
      <c r="LHG2" s="44"/>
      <c r="LHH2" s="44"/>
      <c r="LHJ2" s="44"/>
      <c r="LHK2" s="44"/>
      <c r="LHL2" s="44"/>
      <c r="LHM2" s="44"/>
      <c r="LHN2" s="44"/>
      <c r="LHO2" s="44"/>
      <c r="LHP2" s="44"/>
      <c r="LHR2" s="44"/>
      <c r="LHS2" s="44"/>
      <c r="LHT2" s="44"/>
      <c r="LHU2" s="44"/>
      <c r="LHV2" s="44"/>
      <c r="LHW2" s="44"/>
      <c r="LHX2" s="44"/>
      <c r="LHZ2" s="44"/>
      <c r="LIA2" s="44"/>
      <c r="LIB2" s="44"/>
      <c r="LIC2" s="44"/>
      <c r="LID2" s="44"/>
      <c r="LIE2" s="44"/>
      <c r="LIF2" s="44"/>
      <c r="LIH2" s="44"/>
      <c r="LII2" s="44"/>
      <c r="LIJ2" s="44"/>
      <c r="LIK2" s="44"/>
      <c r="LIL2" s="44"/>
      <c r="LIM2" s="44"/>
      <c r="LIN2" s="44"/>
      <c r="LIP2" s="44"/>
      <c r="LIQ2" s="44"/>
      <c r="LIR2" s="44"/>
      <c r="LIS2" s="44"/>
      <c r="LIT2" s="44"/>
      <c r="LIU2" s="44"/>
      <c r="LIV2" s="44"/>
      <c r="LIX2" s="44"/>
      <c r="LIY2" s="44"/>
      <c r="LIZ2" s="44"/>
      <c r="LJA2" s="44"/>
      <c r="LJB2" s="44"/>
      <c r="LJC2" s="44"/>
      <c r="LJD2" s="44"/>
      <c r="LJF2" s="44"/>
      <c r="LJG2" s="44"/>
      <c r="LJH2" s="44"/>
      <c r="LJI2" s="44"/>
      <c r="LJJ2" s="44"/>
      <c r="LJK2" s="44"/>
      <c r="LJL2" s="44"/>
      <c r="LJN2" s="44"/>
      <c r="LJO2" s="44"/>
      <c r="LJP2" s="44"/>
      <c r="LJQ2" s="44"/>
      <c r="LJR2" s="44"/>
      <c r="LJS2" s="44"/>
      <c r="LJT2" s="44"/>
      <c r="LJV2" s="44"/>
      <c r="LJW2" s="44"/>
      <c r="LJX2" s="44"/>
      <c r="LJY2" s="44"/>
      <c r="LJZ2" s="44"/>
      <c r="LKA2" s="44"/>
      <c r="LKB2" s="44"/>
      <c r="LKD2" s="44"/>
      <c r="LKE2" s="44"/>
      <c r="LKF2" s="44"/>
      <c r="LKG2" s="44"/>
      <c r="LKH2" s="44"/>
      <c r="LKI2" s="44"/>
      <c r="LKJ2" s="44"/>
      <c r="LKL2" s="44"/>
      <c r="LKM2" s="44"/>
      <c r="LKN2" s="44"/>
      <c r="LKO2" s="44"/>
      <c r="LKP2" s="44"/>
      <c r="LKQ2" s="44"/>
      <c r="LKR2" s="44"/>
      <c r="LKT2" s="44"/>
      <c r="LKU2" s="44"/>
      <c r="LKV2" s="44"/>
      <c r="LKW2" s="44"/>
      <c r="LKX2" s="44"/>
      <c r="LKY2" s="44"/>
      <c r="LKZ2" s="44"/>
      <c r="LLB2" s="44"/>
      <c r="LLC2" s="44"/>
      <c r="LLD2" s="44"/>
      <c r="LLE2" s="44"/>
      <c r="LLF2" s="44"/>
      <c r="LLG2" s="44"/>
      <c r="LLH2" s="44"/>
      <c r="LLJ2" s="44"/>
      <c r="LLK2" s="44"/>
      <c r="LLL2" s="44"/>
      <c r="LLM2" s="44"/>
      <c r="LLN2" s="44"/>
      <c r="LLO2" s="44"/>
      <c r="LLP2" s="44"/>
      <c r="LLR2" s="44"/>
      <c r="LLS2" s="44"/>
      <c r="LLT2" s="44"/>
      <c r="LLU2" s="44"/>
      <c r="LLV2" s="44"/>
      <c r="LLW2" s="44"/>
      <c r="LLX2" s="44"/>
      <c r="LLZ2" s="44"/>
      <c r="LMA2" s="44"/>
      <c r="LMB2" s="44"/>
      <c r="LMC2" s="44"/>
      <c r="LMD2" s="44"/>
      <c r="LME2" s="44"/>
      <c r="LMF2" s="44"/>
      <c r="LMH2" s="44"/>
      <c r="LMI2" s="44"/>
      <c r="LMJ2" s="44"/>
      <c r="LMK2" s="44"/>
      <c r="LML2" s="44"/>
      <c r="LMM2" s="44"/>
      <c r="LMN2" s="44"/>
      <c r="LMP2" s="44"/>
      <c r="LMQ2" s="44"/>
      <c r="LMR2" s="44"/>
      <c r="LMS2" s="44"/>
      <c r="LMT2" s="44"/>
      <c r="LMU2" s="44"/>
      <c r="LMV2" s="44"/>
      <c r="LMX2" s="44"/>
      <c r="LMY2" s="44"/>
      <c r="LMZ2" s="44"/>
      <c r="LNA2" s="44"/>
      <c r="LNB2" s="44"/>
      <c r="LNC2" s="44"/>
      <c r="LND2" s="44"/>
      <c r="LNF2" s="44"/>
      <c r="LNG2" s="44"/>
      <c r="LNH2" s="44"/>
      <c r="LNI2" s="44"/>
      <c r="LNJ2" s="44"/>
      <c r="LNK2" s="44"/>
      <c r="LNL2" s="44"/>
      <c r="LNN2" s="44"/>
      <c r="LNO2" s="44"/>
      <c r="LNP2" s="44"/>
      <c r="LNQ2" s="44"/>
      <c r="LNR2" s="44"/>
      <c r="LNS2" s="44"/>
      <c r="LNT2" s="44"/>
      <c r="LNV2" s="44"/>
      <c r="LNW2" s="44"/>
      <c r="LNX2" s="44"/>
      <c r="LNY2" s="44"/>
      <c r="LNZ2" s="44"/>
      <c r="LOA2" s="44"/>
      <c r="LOB2" s="44"/>
      <c r="LOD2" s="44"/>
      <c r="LOE2" s="44"/>
      <c r="LOF2" s="44"/>
      <c r="LOG2" s="44"/>
      <c r="LOH2" s="44"/>
      <c r="LOI2" s="44"/>
      <c r="LOJ2" s="44"/>
      <c r="LOL2" s="44"/>
      <c r="LOM2" s="44"/>
      <c r="LON2" s="44"/>
      <c r="LOO2" s="44"/>
      <c r="LOP2" s="44"/>
      <c r="LOQ2" s="44"/>
      <c r="LOR2" s="44"/>
      <c r="LOT2" s="44"/>
      <c r="LOU2" s="44"/>
      <c r="LOV2" s="44"/>
      <c r="LOW2" s="44"/>
      <c r="LOX2" s="44"/>
      <c r="LOY2" s="44"/>
      <c r="LOZ2" s="44"/>
      <c r="LPB2" s="44"/>
      <c r="LPC2" s="44"/>
      <c r="LPD2" s="44"/>
      <c r="LPE2" s="44"/>
      <c r="LPF2" s="44"/>
      <c r="LPG2" s="44"/>
      <c r="LPH2" s="44"/>
      <c r="LPJ2" s="44"/>
      <c r="LPK2" s="44"/>
      <c r="LPL2" s="44"/>
      <c r="LPM2" s="44"/>
      <c r="LPN2" s="44"/>
      <c r="LPO2" s="44"/>
      <c r="LPP2" s="44"/>
      <c r="LPR2" s="44"/>
      <c r="LPS2" s="44"/>
      <c r="LPT2" s="44"/>
      <c r="LPU2" s="44"/>
      <c r="LPV2" s="44"/>
      <c r="LPW2" s="44"/>
      <c r="LPX2" s="44"/>
      <c r="LPZ2" s="44"/>
      <c r="LQA2" s="44"/>
      <c r="LQB2" s="44"/>
      <c r="LQC2" s="44"/>
      <c r="LQD2" s="44"/>
      <c r="LQE2" s="44"/>
      <c r="LQF2" s="44"/>
      <c r="LQH2" s="44"/>
      <c r="LQI2" s="44"/>
      <c r="LQJ2" s="44"/>
      <c r="LQK2" s="44"/>
      <c r="LQL2" s="44"/>
      <c r="LQM2" s="44"/>
      <c r="LQN2" s="44"/>
      <c r="LQP2" s="44"/>
      <c r="LQQ2" s="44"/>
      <c r="LQR2" s="44"/>
      <c r="LQS2" s="44"/>
      <c r="LQT2" s="44"/>
      <c r="LQU2" s="44"/>
      <c r="LQV2" s="44"/>
      <c r="LQX2" s="44"/>
      <c r="LQY2" s="44"/>
      <c r="LQZ2" s="44"/>
      <c r="LRA2" s="44"/>
      <c r="LRB2" s="44"/>
      <c r="LRC2" s="44"/>
      <c r="LRD2" s="44"/>
      <c r="LRF2" s="44"/>
      <c r="LRG2" s="44"/>
      <c r="LRH2" s="44"/>
      <c r="LRI2" s="44"/>
      <c r="LRJ2" s="44"/>
      <c r="LRK2" s="44"/>
      <c r="LRL2" s="44"/>
      <c r="LRN2" s="44"/>
      <c r="LRO2" s="44"/>
      <c r="LRP2" s="44"/>
      <c r="LRQ2" s="44"/>
      <c r="LRR2" s="44"/>
      <c r="LRS2" s="44"/>
      <c r="LRT2" s="44"/>
      <c r="LRV2" s="44"/>
      <c r="LRW2" s="44"/>
      <c r="LRX2" s="44"/>
      <c r="LRY2" s="44"/>
      <c r="LRZ2" s="44"/>
      <c r="LSA2" s="44"/>
      <c r="LSB2" s="44"/>
      <c r="LSD2" s="44"/>
      <c r="LSE2" s="44"/>
      <c r="LSF2" s="44"/>
      <c r="LSG2" s="44"/>
      <c r="LSH2" s="44"/>
      <c r="LSI2" s="44"/>
      <c r="LSJ2" s="44"/>
      <c r="LSL2" s="44"/>
      <c r="LSM2" s="44"/>
      <c r="LSN2" s="44"/>
      <c r="LSO2" s="44"/>
      <c r="LSP2" s="44"/>
      <c r="LSQ2" s="44"/>
      <c r="LSR2" s="44"/>
      <c r="LST2" s="44"/>
      <c r="LSU2" s="44"/>
      <c r="LSV2" s="44"/>
      <c r="LSW2" s="44"/>
      <c r="LSX2" s="44"/>
      <c r="LSY2" s="44"/>
      <c r="LSZ2" s="44"/>
      <c r="LTB2" s="44"/>
      <c r="LTC2" s="44"/>
      <c r="LTD2" s="44"/>
      <c r="LTE2" s="44"/>
      <c r="LTF2" s="44"/>
      <c r="LTG2" s="44"/>
      <c r="LTH2" s="44"/>
      <c r="LTJ2" s="44"/>
      <c r="LTK2" s="44"/>
      <c r="LTL2" s="44"/>
      <c r="LTM2" s="44"/>
      <c r="LTN2" s="44"/>
      <c r="LTO2" s="44"/>
      <c r="LTP2" s="44"/>
      <c r="LTR2" s="44"/>
      <c r="LTS2" s="44"/>
      <c r="LTT2" s="44"/>
      <c r="LTU2" s="44"/>
      <c r="LTV2" s="44"/>
      <c r="LTW2" s="44"/>
      <c r="LTX2" s="44"/>
      <c r="LTZ2" s="44"/>
      <c r="LUA2" s="44"/>
      <c r="LUB2" s="44"/>
      <c r="LUC2" s="44"/>
      <c r="LUD2" s="44"/>
      <c r="LUE2" s="44"/>
      <c r="LUF2" s="44"/>
      <c r="LUH2" s="44"/>
      <c r="LUI2" s="44"/>
      <c r="LUJ2" s="44"/>
      <c r="LUK2" s="44"/>
      <c r="LUL2" s="44"/>
      <c r="LUM2" s="44"/>
      <c r="LUN2" s="44"/>
      <c r="LUP2" s="44"/>
      <c r="LUQ2" s="44"/>
      <c r="LUR2" s="44"/>
      <c r="LUS2" s="44"/>
      <c r="LUT2" s="44"/>
      <c r="LUU2" s="44"/>
      <c r="LUV2" s="44"/>
      <c r="LUX2" s="44"/>
      <c r="LUY2" s="44"/>
      <c r="LUZ2" s="44"/>
      <c r="LVA2" s="44"/>
      <c r="LVB2" s="44"/>
      <c r="LVC2" s="44"/>
      <c r="LVD2" s="44"/>
      <c r="LVF2" s="44"/>
      <c r="LVG2" s="44"/>
      <c r="LVH2" s="44"/>
      <c r="LVI2" s="44"/>
      <c r="LVJ2" s="44"/>
      <c r="LVK2" s="44"/>
      <c r="LVL2" s="44"/>
      <c r="LVN2" s="44"/>
      <c r="LVO2" s="44"/>
      <c r="LVP2" s="44"/>
      <c r="LVQ2" s="44"/>
      <c r="LVR2" s="44"/>
      <c r="LVS2" s="44"/>
      <c r="LVT2" s="44"/>
      <c r="LVV2" s="44"/>
      <c r="LVW2" s="44"/>
      <c r="LVX2" s="44"/>
      <c r="LVY2" s="44"/>
      <c r="LVZ2" s="44"/>
      <c r="LWA2" s="44"/>
      <c r="LWB2" s="44"/>
      <c r="LWD2" s="44"/>
      <c r="LWE2" s="44"/>
      <c r="LWF2" s="44"/>
      <c r="LWG2" s="44"/>
      <c r="LWH2" s="44"/>
      <c r="LWI2" s="44"/>
      <c r="LWJ2" s="44"/>
      <c r="LWL2" s="44"/>
      <c r="LWM2" s="44"/>
      <c r="LWN2" s="44"/>
      <c r="LWO2" s="44"/>
      <c r="LWP2" s="44"/>
      <c r="LWQ2" s="44"/>
      <c r="LWR2" s="44"/>
      <c r="LWT2" s="44"/>
      <c r="LWU2" s="44"/>
      <c r="LWV2" s="44"/>
      <c r="LWW2" s="44"/>
      <c r="LWX2" s="44"/>
      <c r="LWY2" s="44"/>
      <c r="LWZ2" s="44"/>
      <c r="LXB2" s="44"/>
      <c r="LXC2" s="44"/>
      <c r="LXD2" s="44"/>
      <c r="LXE2" s="44"/>
      <c r="LXF2" s="44"/>
      <c r="LXG2" s="44"/>
      <c r="LXH2" s="44"/>
      <c r="LXJ2" s="44"/>
      <c r="LXK2" s="44"/>
      <c r="LXL2" s="44"/>
      <c r="LXM2" s="44"/>
      <c r="LXN2" s="44"/>
      <c r="LXO2" s="44"/>
      <c r="LXP2" s="44"/>
      <c r="LXR2" s="44"/>
      <c r="LXS2" s="44"/>
      <c r="LXT2" s="44"/>
      <c r="LXU2" s="44"/>
      <c r="LXV2" s="44"/>
      <c r="LXW2" s="44"/>
      <c r="LXX2" s="44"/>
      <c r="LXZ2" s="44"/>
      <c r="LYA2" s="44"/>
      <c r="LYB2" s="44"/>
      <c r="LYC2" s="44"/>
      <c r="LYD2" s="44"/>
      <c r="LYE2" s="44"/>
      <c r="LYF2" s="44"/>
      <c r="LYH2" s="44"/>
      <c r="LYI2" s="44"/>
      <c r="LYJ2" s="44"/>
      <c r="LYK2" s="44"/>
      <c r="LYL2" s="44"/>
      <c r="LYM2" s="44"/>
      <c r="LYN2" s="44"/>
      <c r="LYP2" s="44"/>
      <c r="LYQ2" s="44"/>
      <c r="LYR2" s="44"/>
      <c r="LYS2" s="44"/>
      <c r="LYT2" s="44"/>
      <c r="LYU2" s="44"/>
      <c r="LYV2" s="44"/>
      <c r="LYX2" s="44"/>
      <c r="LYY2" s="44"/>
      <c r="LYZ2" s="44"/>
      <c r="LZA2" s="44"/>
      <c r="LZB2" s="44"/>
      <c r="LZC2" s="44"/>
      <c r="LZD2" s="44"/>
      <c r="LZF2" s="44"/>
      <c r="LZG2" s="44"/>
      <c r="LZH2" s="44"/>
      <c r="LZI2" s="44"/>
      <c r="LZJ2" s="44"/>
      <c r="LZK2" s="44"/>
      <c r="LZL2" s="44"/>
      <c r="LZN2" s="44"/>
      <c r="LZO2" s="44"/>
      <c r="LZP2" s="44"/>
      <c r="LZQ2" s="44"/>
      <c r="LZR2" s="44"/>
      <c r="LZS2" s="44"/>
      <c r="LZT2" s="44"/>
      <c r="LZV2" s="44"/>
      <c r="LZW2" s="44"/>
      <c r="LZX2" s="44"/>
      <c r="LZY2" s="44"/>
      <c r="LZZ2" s="44"/>
      <c r="MAA2" s="44"/>
      <c r="MAB2" s="44"/>
      <c r="MAD2" s="44"/>
      <c r="MAE2" s="44"/>
      <c r="MAF2" s="44"/>
      <c r="MAG2" s="44"/>
      <c r="MAH2" s="44"/>
      <c r="MAI2" s="44"/>
      <c r="MAJ2" s="44"/>
      <c r="MAL2" s="44"/>
      <c r="MAM2" s="44"/>
      <c r="MAN2" s="44"/>
      <c r="MAO2" s="44"/>
      <c r="MAP2" s="44"/>
      <c r="MAQ2" s="44"/>
      <c r="MAR2" s="44"/>
      <c r="MAT2" s="44"/>
      <c r="MAU2" s="44"/>
      <c r="MAV2" s="44"/>
      <c r="MAW2" s="44"/>
      <c r="MAX2" s="44"/>
      <c r="MAY2" s="44"/>
      <c r="MAZ2" s="44"/>
      <c r="MBB2" s="44"/>
      <c r="MBC2" s="44"/>
      <c r="MBD2" s="44"/>
      <c r="MBE2" s="44"/>
      <c r="MBF2" s="44"/>
      <c r="MBG2" s="44"/>
      <c r="MBH2" s="44"/>
      <c r="MBJ2" s="44"/>
      <c r="MBK2" s="44"/>
      <c r="MBL2" s="44"/>
      <c r="MBM2" s="44"/>
      <c r="MBN2" s="44"/>
      <c r="MBO2" s="44"/>
      <c r="MBP2" s="44"/>
      <c r="MBR2" s="44"/>
      <c r="MBS2" s="44"/>
      <c r="MBT2" s="44"/>
      <c r="MBU2" s="44"/>
      <c r="MBV2" s="44"/>
      <c r="MBW2" s="44"/>
      <c r="MBX2" s="44"/>
      <c r="MBZ2" s="44"/>
      <c r="MCA2" s="44"/>
      <c r="MCB2" s="44"/>
      <c r="MCC2" s="44"/>
      <c r="MCD2" s="44"/>
      <c r="MCE2" s="44"/>
      <c r="MCF2" s="44"/>
      <c r="MCH2" s="44"/>
      <c r="MCI2" s="44"/>
      <c r="MCJ2" s="44"/>
      <c r="MCK2" s="44"/>
      <c r="MCL2" s="44"/>
      <c r="MCM2" s="44"/>
      <c r="MCN2" s="44"/>
      <c r="MCP2" s="44"/>
      <c r="MCQ2" s="44"/>
      <c r="MCR2" s="44"/>
      <c r="MCS2" s="44"/>
      <c r="MCT2" s="44"/>
      <c r="MCU2" s="44"/>
      <c r="MCV2" s="44"/>
      <c r="MCX2" s="44"/>
      <c r="MCY2" s="44"/>
      <c r="MCZ2" s="44"/>
      <c r="MDA2" s="44"/>
      <c r="MDB2" s="44"/>
      <c r="MDC2" s="44"/>
      <c r="MDD2" s="44"/>
      <c r="MDF2" s="44"/>
      <c r="MDG2" s="44"/>
      <c r="MDH2" s="44"/>
      <c r="MDI2" s="44"/>
      <c r="MDJ2" s="44"/>
      <c r="MDK2" s="44"/>
      <c r="MDL2" s="44"/>
      <c r="MDN2" s="44"/>
      <c r="MDO2" s="44"/>
      <c r="MDP2" s="44"/>
      <c r="MDQ2" s="44"/>
      <c r="MDR2" s="44"/>
      <c r="MDS2" s="44"/>
      <c r="MDT2" s="44"/>
      <c r="MDV2" s="44"/>
      <c r="MDW2" s="44"/>
      <c r="MDX2" s="44"/>
      <c r="MDY2" s="44"/>
      <c r="MDZ2" s="44"/>
      <c r="MEA2" s="44"/>
      <c r="MEB2" s="44"/>
      <c r="MED2" s="44"/>
      <c r="MEE2" s="44"/>
      <c r="MEF2" s="44"/>
      <c r="MEG2" s="44"/>
      <c r="MEH2" s="44"/>
      <c r="MEI2" s="44"/>
      <c r="MEJ2" s="44"/>
      <c r="MEL2" s="44"/>
      <c r="MEM2" s="44"/>
      <c r="MEN2" s="44"/>
      <c r="MEO2" s="44"/>
      <c r="MEP2" s="44"/>
      <c r="MEQ2" s="44"/>
      <c r="MER2" s="44"/>
      <c r="MET2" s="44"/>
      <c r="MEU2" s="44"/>
      <c r="MEV2" s="44"/>
      <c r="MEW2" s="44"/>
      <c r="MEX2" s="44"/>
      <c r="MEY2" s="44"/>
      <c r="MEZ2" s="44"/>
      <c r="MFB2" s="44"/>
      <c r="MFC2" s="44"/>
      <c r="MFD2" s="44"/>
      <c r="MFE2" s="44"/>
      <c r="MFF2" s="44"/>
      <c r="MFG2" s="44"/>
      <c r="MFH2" s="44"/>
      <c r="MFJ2" s="44"/>
      <c r="MFK2" s="44"/>
      <c r="MFL2" s="44"/>
      <c r="MFM2" s="44"/>
      <c r="MFN2" s="44"/>
      <c r="MFO2" s="44"/>
      <c r="MFP2" s="44"/>
      <c r="MFR2" s="44"/>
      <c r="MFS2" s="44"/>
      <c r="MFT2" s="44"/>
      <c r="MFU2" s="44"/>
      <c r="MFV2" s="44"/>
      <c r="MFW2" s="44"/>
      <c r="MFX2" s="44"/>
      <c r="MFZ2" s="44"/>
      <c r="MGA2" s="44"/>
      <c r="MGB2" s="44"/>
      <c r="MGC2" s="44"/>
      <c r="MGD2" s="44"/>
      <c r="MGE2" s="44"/>
      <c r="MGF2" s="44"/>
      <c r="MGH2" s="44"/>
      <c r="MGI2" s="44"/>
      <c r="MGJ2" s="44"/>
      <c r="MGK2" s="44"/>
      <c r="MGL2" s="44"/>
      <c r="MGM2" s="44"/>
      <c r="MGN2" s="44"/>
      <c r="MGP2" s="44"/>
      <c r="MGQ2" s="44"/>
      <c r="MGR2" s="44"/>
      <c r="MGS2" s="44"/>
      <c r="MGT2" s="44"/>
      <c r="MGU2" s="44"/>
      <c r="MGV2" s="44"/>
      <c r="MGX2" s="44"/>
      <c r="MGY2" s="44"/>
      <c r="MGZ2" s="44"/>
      <c r="MHA2" s="44"/>
      <c r="MHB2" s="44"/>
      <c r="MHC2" s="44"/>
      <c r="MHD2" s="44"/>
      <c r="MHF2" s="44"/>
      <c r="MHG2" s="44"/>
      <c r="MHH2" s="44"/>
      <c r="MHI2" s="44"/>
      <c r="MHJ2" s="44"/>
      <c r="MHK2" s="44"/>
      <c r="MHL2" s="44"/>
      <c r="MHN2" s="44"/>
      <c r="MHO2" s="44"/>
      <c r="MHP2" s="44"/>
      <c r="MHQ2" s="44"/>
      <c r="MHR2" s="44"/>
      <c r="MHS2" s="44"/>
      <c r="MHT2" s="44"/>
      <c r="MHV2" s="44"/>
      <c r="MHW2" s="44"/>
      <c r="MHX2" s="44"/>
      <c r="MHY2" s="44"/>
      <c r="MHZ2" s="44"/>
      <c r="MIA2" s="44"/>
      <c r="MIB2" s="44"/>
      <c r="MID2" s="44"/>
      <c r="MIE2" s="44"/>
      <c r="MIF2" s="44"/>
      <c r="MIG2" s="44"/>
      <c r="MIH2" s="44"/>
      <c r="MII2" s="44"/>
      <c r="MIJ2" s="44"/>
      <c r="MIL2" s="44"/>
      <c r="MIM2" s="44"/>
      <c r="MIN2" s="44"/>
      <c r="MIO2" s="44"/>
      <c r="MIP2" s="44"/>
      <c r="MIQ2" s="44"/>
      <c r="MIR2" s="44"/>
      <c r="MIT2" s="44"/>
      <c r="MIU2" s="44"/>
      <c r="MIV2" s="44"/>
      <c r="MIW2" s="44"/>
      <c r="MIX2" s="44"/>
      <c r="MIY2" s="44"/>
      <c r="MIZ2" s="44"/>
      <c r="MJB2" s="44"/>
      <c r="MJC2" s="44"/>
      <c r="MJD2" s="44"/>
      <c r="MJE2" s="44"/>
      <c r="MJF2" s="44"/>
      <c r="MJG2" s="44"/>
      <c r="MJH2" s="44"/>
      <c r="MJJ2" s="44"/>
      <c r="MJK2" s="44"/>
      <c r="MJL2" s="44"/>
      <c r="MJM2" s="44"/>
      <c r="MJN2" s="44"/>
      <c r="MJO2" s="44"/>
      <c r="MJP2" s="44"/>
      <c r="MJR2" s="44"/>
      <c r="MJS2" s="44"/>
      <c r="MJT2" s="44"/>
      <c r="MJU2" s="44"/>
      <c r="MJV2" s="44"/>
      <c r="MJW2" s="44"/>
      <c r="MJX2" s="44"/>
      <c r="MJZ2" s="44"/>
      <c r="MKA2" s="44"/>
      <c r="MKB2" s="44"/>
      <c r="MKC2" s="44"/>
      <c r="MKD2" s="44"/>
      <c r="MKE2" s="44"/>
      <c r="MKF2" s="44"/>
      <c r="MKH2" s="44"/>
      <c r="MKI2" s="44"/>
      <c r="MKJ2" s="44"/>
      <c r="MKK2" s="44"/>
      <c r="MKL2" s="44"/>
      <c r="MKM2" s="44"/>
      <c r="MKN2" s="44"/>
      <c r="MKP2" s="44"/>
      <c r="MKQ2" s="44"/>
      <c r="MKR2" s="44"/>
      <c r="MKS2" s="44"/>
      <c r="MKT2" s="44"/>
      <c r="MKU2" s="44"/>
      <c r="MKV2" s="44"/>
      <c r="MKX2" s="44"/>
      <c r="MKY2" s="44"/>
      <c r="MKZ2" s="44"/>
      <c r="MLA2" s="44"/>
      <c r="MLB2" s="44"/>
      <c r="MLC2" s="44"/>
      <c r="MLD2" s="44"/>
      <c r="MLF2" s="44"/>
      <c r="MLG2" s="44"/>
      <c r="MLH2" s="44"/>
      <c r="MLI2" s="44"/>
      <c r="MLJ2" s="44"/>
      <c r="MLK2" s="44"/>
      <c r="MLL2" s="44"/>
      <c r="MLN2" s="44"/>
      <c r="MLO2" s="44"/>
      <c r="MLP2" s="44"/>
      <c r="MLQ2" s="44"/>
      <c r="MLR2" s="44"/>
      <c r="MLS2" s="44"/>
      <c r="MLT2" s="44"/>
      <c r="MLV2" s="44"/>
      <c r="MLW2" s="44"/>
      <c r="MLX2" s="44"/>
      <c r="MLY2" s="44"/>
      <c r="MLZ2" s="44"/>
      <c r="MMA2" s="44"/>
      <c r="MMB2" s="44"/>
      <c r="MMD2" s="44"/>
      <c r="MME2" s="44"/>
      <c r="MMF2" s="44"/>
      <c r="MMG2" s="44"/>
      <c r="MMH2" s="44"/>
      <c r="MMI2" s="44"/>
      <c r="MMJ2" s="44"/>
      <c r="MML2" s="44"/>
      <c r="MMM2" s="44"/>
      <c r="MMN2" s="44"/>
      <c r="MMO2" s="44"/>
      <c r="MMP2" s="44"/>
      <c r="MMQ2" s="44"/>
      <c r="MMR2" s="44"/>
      <c r="MMT2" s="44"/>
      <c r="MMU2" s="44"/>
      <c r="MMV2" s="44"/>
      <c r="MMW2" s="44"/>
      <c r="MMX2" s="44"/>
      <c r="MMY2" s="44"/>
      <c r="MMZ2" s="44"/>
      <c r="MNB2" s="44"/>
      <c r="MNC2" s="44"/>
      <c r="MND2" s="44"/>
      <c r="MNE2" s="44"/>
      <c r="MNF2" s="44"/>
      <c r="MNG2" s="44"/>
      <c r="MNH2" s="44"/>
      <c r="MNJ2" s="44"/>
      <c r="MNK2" s="44"/>
      <c r="MNL2" s="44"/>
      <c r="MNM2" s="44"/>
      <c r="MNN2" s="44"/>
      <c r="MNO2" s="44"/>
      <c r="MNP2" s="44"/>
      <c r="MNR2" s="44"/>
      <c r="MNS2" s="44"/>
      <c r="MNT2" s="44"/>
      <c r="MNU2" s="44"/>
      <c r="MNV2" s="44"/>
      <c r="MNW2" s="44"/>
      <c r="MNX2" s="44"/>
      <c r="MNZ2" s="44"/>
      <c r="MOA2" s="44"/>
      <c r="MOB2" s="44"/>
      <c r="MOC2" s="44"/>
      <c r="MOD2" s="44"/>
      <c r="MOE2" s="44"/>
      <c r="MOF2" s="44"/>
      <c r="MOH2" s="44"/>
      <c r="MOI2" s="44"/>
      <c r="MOJ2" s="44"/>
      <c r="MOK2" s="44"/>
      <c r="MOL2" s="44"/>
      <c r="MOM2" s="44"/>
      <c r="MON2" s="44"/>
      <c r="MOP2" s="44"/>
      <c r="MOQ2" s="44"/>
      <c r="MOR2" s="44"/>
      <c r="MOS2" s="44"/>
      <c r="MOT2" s="44"/>
      <c r="MOU2" s="44"/>
      <c r="MOV2" s="44"/>
      <c r="MOX2" s="44"/>
      <c r="MOY2" s="44"/>
      <c r="MOZ2" s="44"/>
      <c r="MPA2" s="44"/>
      <c r="MPB2" s="44"/>
      <c r="MPC2" s="44"/>
      <c r="MPD2" s="44"/>
      <c r="MPF2" s="44"/>
      <c r="MPG2" s="44"/>
      <c r="MPH2" s="44"/>
      <c r="MPI2" s="44"/>
      <c r="MPJ2" s="44"/>
      <c r="MPK2" s="44"/>
      <c r="MPL2" s="44"/>
      <c r="MPN2" s="44"/>
      <c r="MPO2" s="44"/>
      <c r="MPP2" s="44"/>
      <c r="MPQ2" s="44"/>
      <c r="MPR2" s="44"/>
      <c r="MPS2" s="44"/>
      <c r="MPT2" s="44"/>
      <c r="MPV2" s="44"/>
      <c r="MPW2" s="44"/>
      <c r="MPX2" s="44"/>
      <c r="MPY2" s="44"/>
      <c r="MPZ2" s="44"/>
      <c r="MQA2" s="44"/>
      <c r="MQB2" s="44"/>
      <c r="MQD2" s="44"/>
      <c r="MQE2" s="44"/>
      <c r="MQF2" s="44"/>
      <c r="MQG2" s="44"/>
      <c r="MQH2" s="44"/>
      <c r="MQI2" s="44"/>
      <c r="MQJ2" s="44"/>
      <c r="MQL2" s="44"/>
      <c r="MQM2" s="44"/>
      <c r="MQN2" s="44"/>
      <c r="MQO2" s="44"/>
      <c r="MQP2" s="44"/>
      <c r="MQQ2" s="44"/>
      <c r="MQR2" s="44"/>
      <c r="MQT2" s="44"/>
      <c r="MQU2" s="44"/>
      <c r="MQV2" s="44"/>
      <c r="MQW2" s="44"/>
      <c r="MQX2" s="44"/>
      <c r="MQY2" s="44"/>
      <c r="MQZ2" s="44"/>
      <c r="MRB2" s="44"/>
      <c r="MRC2" s="44"/>
      <c r="MRD2" s="44"/>
      <c r="MRE2" s="44"/>
      <c r="MRF2" s="44"/>
      <c r="MRG2" s="44"/>
      <c r="MRH2" s="44"/>
      <c r="MRJ2" s="44"/>
      <c r="MRK2" s="44"/>
      <c r="MRL2" s="44"/>
      <c r="MRM2" s="44"/>
      <c r="MRN2" s="44"/>
      <c r="MRO2" s="44"/>
      <c r="MRP2" s="44"/>
      <c r="MRR2" s="44"/>
      <c r="MRS2" s="44"/>
      <c r="MRT2" s="44"/>
      <c r="MRU2" s="44"/>
      <c r="MRV2" s="44"/>
      <c r="MRW2" s="44"/>
      <c r="MRX2" s="44"/>
      <c r="MRZ2" s="44"/>
      <c r="MSA2" s="44"/>
      <c r="MSB2" s="44"/>
      <c r="MSC2" s="44"/>
      <c r="MSD2" s="44"/>
      <c r="MSE2" s="44"/>
      <c r="MSF2" s="44"/>
      <c r="MSH2" s="44"/>
      <c r="MSI2" s="44"/>
      <c r="MSJ2" s="44"/>
      <c r="MSK2" s="44"/>
      <c r="MSL2" s="44"/>
      <c r="MSM2" s="44"/>
      <c r="MSN2" s="44"/>
      <c r="MSP2" s="44"/>
      <c r="MSQ2" s="44"/>
      <c r="MSR2" s="44"/>
      <c r="MSS2" s="44"/>
      <c r="MST2" s="44"/>
      <c r="MSU2" s="44"/>
      <c r="MSV2" s="44"/>
      <c r="MSX2" s="44"/>
      <c r="MSY2" s="44"/>
      <c r="MSZ2" s="44"/>
      <c r="MTA2" s="44"/>
      <c r="MTB2" s="44"/>
      <c r="MTC2" s="44"/>
      <c r="MTD2" s="44"/>
      <c r="MTF2" s="44"/>
      <c r="MTG2" s="44"/>
      <c r="MTH2" s="44"/>
      <c r="MTI2" s="44"/>
      <c r="MTJ2" s="44"/>
      <c r="MTK2" s="44"/>
      <c r="MTL2" s="44"/>
      <c r="MTN2" s="44"/>
      <c r="MTO2" s="44"/>
      <c r="MTP2" s="44"/>
      <c r="MTQ2" s="44"/>
      <c r="MTR2" s="44"/>
      <c r="MTS2" s="44"/>
      <c r="MTT2" s="44"/>
      <c r="MTV2" s="44"/>
      <c r="MTW2" s="44"/>
      <c r="MTX2" s="44"/>
      <c r="MTY2" s="44"/>
      <c r="MTZ2" s="44"/>
      <c r="MUA2" s="44"/>
      <c r="MUB2" s="44"/>
      <c r="MUD2" s="44"/>
      <c r="MUE2" s="44"/>
      <c r="MUF2" s="44"/>
      <c r="MUG2" s="44"/>
      <c r="MUH2" s="44"/>
      <c r="MUI2" s="44"/>
      <c r="MUJ2" s="44"/>
      <c r="MUL2" s="44"/>
      <c r="MUM2" s="44"/>
      <c r="MUN2" s="44"/>
      <c r="MUO2" s="44"/>
      <c r="MUP2" s="44"/>
      <c r="MUQ2" s="44"/>
      <c r="MUR2" s="44"/>
      <c r="MUT2" s="44"/>
      <c r="MUU2" s="44"/>
      <c r="MUV2" s="44"/>
      <c r="MUW2" s="44"/>
      <c r="MUX2" s="44"/>
      <c r="MUY2" s="44"/>
      <c r="MUZ2" s="44"/>
      <c r="MVB2" s="44"/>
      <c r="MVC2" s="44"/>
      <c r="MVD2" s="44"/>
      <c r="MVE2" s="44"/>
      <c r="MVF2" s="44"/>
      <c r="MVG2" s="44"/>
      <c r="MVH2" s="44"/>
      <c r="MVJ2" s="44"/>
      <c r="MVK2" s="44"/>
      <c r="MVL2" s="44"/>
      <c r="MVM2" s="44"/>
      <c r="MVN2" s="44"/>
      <c r="MVO2" s="44"/>
      <c r="MVP2" s="44"/>
      <c r="MVR2" s="44"/>
      <c r="MVS2" s="44"/>
      <c r="MVT2" s="44"/>
      <c r="MVU2" s="44"/>
      <c r="MVV2" s="44"/>
      <c r="MVW2" s="44"/>
      <c r="MVX2" s="44"/>
      <c r="MVZ2" s="44"/>
      <c r="MWA2" s="44"/>
      <c r="MWB2" s="44"/>
      <c r="MWC2" s="44"/>
      <c r="MWD2" s="44"/>
      <c r="MWE2" s="44"/>
      <c r="MWF2" s="44"/>
      <c r="MWH2" s="44"/>
      <c r="MWI2" s="44"/>
      <c r="MWJ2" s="44"/>
      <c r="MWK2" s="44"/>
      <c r="MWL2" s="44"/>
      <c r="MWM2" s="44"/>
      <c r="MWN2" s="44"/>
      <c r="MWP2" s="44"/>
      <c r="MWQ2" s="44"/>
      <c r="MWR2" s="44"/>
      <c r="MWS2" s="44"/>
      <c r="MWT2" s="44"/>
      <c r="MWU2" s="44"/>
      <c r="MWV2" s="44"/>
      <c r="MWX2" s="44"/>
      <c r="MWY2" s="44"/>
      <c r="MWZ2" s="44"/>
      <c r="MXA2" s="44"/>
      <c r="MXB2" s="44"/>
      <c r="MXC2" s="44"/>
      <c r="MXD2" s="44"/>
      <c r="MXF2" s="44"/>
      <c r="MXG2" s="44"/>
      <c r="MXH2" s="44"/>
      <c r="MXI2" s="44"/>
      <c r="MXJ2" s="44"/>
      <c r="MXK2" s="44"/>
      <c r="MXL2" s="44"/>
      <c r="MXN2" s="44"/>
      <c r="MXO2" s="44"/>
      <c r="MXP2" s="44"/>
      <c r="MXQ2" s="44"/>
      <c r="MXR2" s="44"/>
      <c r="MXS2" s="44"/>
      <c r="MXT2" s="44"/>
      <c r="MXV2" s="44"/>
      <c r="MXW2" s="44"/>
      <c r="MXX2" s="44"/>
      <c r="MXY2" s="44"/>
      <c r="MXZ2" s="44"/>
      <c r="MYA2" s="44"/>
      <c r="MYB2" s="44"/>
      <c r="MYD2" s="44"/>
      <c r="MYE2" s="44"/>
      <c r="MYF2" s="44"/>
      <c r="MYG2" s="44"/>
      <c r="MYH2" s="44"/>
      <c r="MYI2" s="44"/>
      <c r="MYJ2" s="44"/>
      <c r="MYL2" s="44"/>
      <c r="MYM2" s="44"/>
      <c r="MYN2" s="44"/>
      <c r="MYO2" s="44"/>
      <c r="MYP2" s="44"/>
      <c r="MYQ2" s="44"/>
      <c r="MYR2" s="44"/>
      <c r="MYT2" s="44"/>
      <c r="MYU2" s="44"/>
      <c r="MYV2" s="44"/>
      <c r="MYW2" s="44"/>
      <c r="MYX2" s="44"/>
      <c r="MYY2" s="44"/>
      <c r="MYZ2" s="44"/>
      <c r="MZB2" s="44"/>
      <c r="MZC2" s="44"/>
      <c r="MZD2" s="44"/>
      <c r="MZE2" s="44"/>
      <c r="MZF2" s="44"/>
      <c r="MZG2" s="44"/>
      <c r="MZH2" s="44"/>
      <c r="MZJ2" s="44"/>
      <c r="MZK2" s="44"/>
      <c r="MZL2" s="44"/>
      <c r="MZM2" s="44"/>
      <c r="MZN2" s="44"/>
      <c r="MZO2" s="44"/>
      <c r="MZP2" s="44"/>
      <c r="MZR2" s="44"/>
      <c r="MZS2" s="44"/>
      <c r="MZT2" s="44"/>
      <c r="MZU2" s="44"/>
      <c r="MZV2" s="44"/>
      <c r="MZW2" s="44"/>
      <c r="MZX2" s="44"/>
      <c r="MZZ2" s="44"/>
      <c r="NAA2" s="44"/>
      <c r="NAB2" s="44"/>
      <c r="NAC2" s="44"/>
      <c r="NAD2" s="44"/>
      <c r="NAE2" s="44"/>
      <c r="NAF2" s="44"/>
      <c r="NAH2" s="44"/>
      <c r="NAI2" s="44"/>
      <c r="NAJ2" s="44"/>
      <c r="NAK2" s="44"/>
      <c r="NAL2" s="44"/>
      <c r="NAM2" s="44"/>
      <c r="NAN2" s="44"/>
      <c r="NAP2" s="44"/>
      <c r="NAQ2" s="44"/>
      <c r="NAR2" s="44"/>
      <c r="NAS2" s="44"/>
      <c r="NAT2" s="44"/>
      <c r="NAU2" s="44"/>
      <c r="NAV2" s="44"/>
      <c r="NAX2" s="44"/>
      <c r="NAY2" s="44"/>
      <c r="NAZ2" s="44"/>
      <c r="NBA2" s="44"/>
      <c r="NBB2" s="44"/>
      <c r="NBC2" s="44"/>
      <c r="NBD2" s="44"/>
      <c r="NBF2" s="44"/>
      <c r="NBG2" s="44"/>
      <c r="NBH2" s="44"/>
      <c r="NBI2" s="44"/>
      <c r="NBJ2" s="44"/>
      <c r="NBK2" s="44"/>
      <c r="NBL2" s="44"/>
      <c r="NBN2" s="44"/>
      <c r="NBO2" s="44"/>
      <c r="NBP2" s="44"/>
      <c r="NBQ2" s="44"/>
      <c r="NBR2" s="44"/>
      <c r="NBS2" s="44"/>
      <c r="NBT2" s="44"/>
      <c r="NBV2" s="44"/>
      <c r="NBW2" s="44"/>
      <c r="NBX2" s="44"/>
      <c r="NBY2" s="44"/>
      <c r="NBZ2" s="44"/>
      <c r="NCA2" s="44"/>
      <c r="NCB2" s="44"/>
      <c r="NCD2" s="44"/>
      <c r="NCE2" s="44"/>
      <c r="NCF2" s="44"/>
      <c r="NCG2" s="44"/>
      <c r="NCH2" s="44"/>
      <c r="NCI2" s="44"/>
      <c r="NCJ2" s="44"/>
      <c r="NCL2" s="44"/>
      <c r="NCM2" s="44"/>
      <c r="NCN2" s="44"/>
      <c r="NCO2" s="44"/>
      <c r="NCP2" s="44"/>
      <c r="NCQ2" s="44"/>
      <c r="NCR2" s="44"/>
      <c r="NCT2" s="44"/>
      <c r="NCU2" s="44"/>
      <c r="NCV2" s="44"/>
      <c r="NCW2" s="44"/>
      <c r="NCX2" s="44"/>
      <c r="NCY2" s="44"/>
      <c r="NCZ2" s="44"/>
      <c r="NDB2" s="44"/>
      <c r="NDC2" s="44"/>
      <c r="NDD2" s="44"/>
      <c r="NDE2" s="44"/>
      <c r="NDF2" s="44"/>
      <c r="NDG2" s="44"/>
      <c r="NDH2" s="44"/>
      <c r="NDJ2" s="44"/>
      <c r="NDK2" s="44"/>
      <c r="NDL2" s="44"/>
      <c r="NDM2" s="44"/>
      <c r="NDN2" s="44"/>
      <c r="NDO2" s="44"/>
      <c r="NDP2" s="44"/>
      <c r="NDR2" s="44"/>
      <c r="NDS2" s="44"/>
      <c r="NDT2" s="44"/>
      <c r="NDU2" s="44"/>
      <c r="NDV2" s="44"/>
      <c r="NDW2" s="44"/>
      <c r="NDX2" s="44"/>
      <c r="NDZ2" s="44"/>
      <c r="NEA2" s="44"/>
      <c r="NEB2" s="44"/>
      <c r="NEC2" s="44"/>
      <c r="NED2" s="44"/>
      <c r="NEE2" s="44"/>
      <c r="NEF2" s="44"/>
      <c r="NEH2" s="44"/>
      <c r="NEI2" s="44"/>
      <c r="NEJ2" s="44"/>
      <c r="NEK2" s="44"/>
      <c r="NEL2" s="44"/>
      <c r="NEM2" s="44"/>
      <c r="NEN2" s="44"/>
      <c r="NEP2" s="44"/>
      <c r="NEQ2" s="44"/>
      <c r="NER2" s="44"/>
      <c r="NES2" s="44"/>
      <c r="NET2" s="44"/>
      <c r="NEU2" s="44"/>
      <c r="NEV2" s="44"/>
      <c r="NEX2" s="44"/>
      <c r="NEY2" s="44"/>
      <c r="NEZ2" s="44"/>
      <c r="NFA2" s="44"/>
      <c r="NFB2" s="44"/>
      <c r="NFC2" s="44"/>
      <c r="NFD2" s="44"/>
      <c r="NFF2" s="44"/>
      <c r="NFG2" s="44"/>
      <c r="NFH2" s="44"/>
      <c r="NFI2" s="44"/>
      <c r="NFJ2" s="44"/>
      <c r="NFK2" s="44"/>
      <c r="NFL2" s="44"/>
      <c r="NFN2" s="44"/>
      <c r="NFO2" s="44"/>
      <c r="NFP2" s="44"/>
      <c r="NFQ2" s="44"/>
      <c r="NFR2" s="44"/>
      <c r="NFS2" s="44"/>
      <c r="NFT2" s="44"/>
      <c r="NFV2" s="44"/>
      <c r="NFW2" s="44"/>
      <c r="NFX2" s="44"/>
      <c r="NFY2" s="44"/>
      <c r="NFZ2" s="44"/>
      <c r="NGA2" s="44"/>
      <c r="NGB2" s="44"/>
      <c r="NGD2" s="44"/>
      <c r="NGE2" s="44"/>
      <c r="NGF2" s="44"/>
      <c r="NGG2" s="44"/>
      <c r="NGH2" s="44"/>
      <c r="NGI2" s="44"/>
      <c r="NGJ2" s="44"/>
      <c r="NGL2" s="44"/>
      <c r="NGM2" s="44"/>
      <c r="NGN2" s="44"/>
      <c r="NGO2" s="44"/>
      <c r="NGP2" s="44"/>
      <c r="NGQ2" s="44"/>
      <c r="NGR2" s="44"/>
      <c r="NGT2" s="44"/>
      <c r="NGU2" s="44"/>
      <c r="NGV2" s="44"/>
      <c r="NGW2" s="44"/>
      <c r="NGX2" s="44"/>
      <c r="NGY2" s="44"/>
      <c r="NGZ2" s="44"/>
      <c r="NHB2" s="44"/>
      <c r="NHC2" s="44"/>
      <c r="NHD2" s="44"/>
      <c r="NHE2" s="44"/>
      <c r="NHF2" s="44"/>
      <c r="NHG2" s="44"/>
      <c r="NHH2" s="44"/>
      <c r="NHJ2" s="44"/>
      <c r="NHK2" s="44"/>
      <c r="NHL2" s="44"/>
      <c r="NHM2" s="44"/>
      <c r="NHN2" s="44"/>
      <c r="NHO2" s="44"/>
      <c r="NHP2" s="44"/>
      <c r="NHR2" s="44"/>
      <c r="NHS2" s="44"/>
      <c r="NHT2" s="44"/>
      <c r="NHU2" s="44"/>
      <c r="NHV2" s="44"/>
      <c r="NHW2" s="44"/>
      <c r="NHX2" s="44"/>
      <c r="NHZ2" s="44"/>
      <c r="NIA2" s="44"/>
      <c r="NIB2" s="44"/>
      <c r="NIC2" s="44"/>
      <c r="NID2" s="44"/>
      <c r="NIE2" s="44"/>
      <c r="NIF2" s="44"/>
      <c r="NIH2" s="44"/>
      <c r="NII2" s="44"/>
      <c r="NIJ2" s="44"/>
      <c r="NIK2" s="44"/>
      <c r="NIL2" s="44"/>
      <c r="NIM2" s="44"/>
      <c r="NIN2" s="44"/>
      <c r="NIP2" s="44"/>
      <c r="NIQ2" s="44"/>
      <c r="NIR2" s="44"/>
      <c r="NIS2" s="44"/>
      <c r="NIT2" s="44"/>
      <c r="NIU2" s="44"/>
      <c r="NIV2" s="44"/>
      <c r="NIX2" s="44"/>
      <c r="NIY2" s="44"/>
      <c r="NIZ2" s="44"/>
      <c r="NJA2" s="44"/>
      <c r="NJB2" s="44"/>
      <c r="NJC2" s="44"/>
      <c r="NJD2" s="44"/>
      <c r="NJF2" s="44"/>
      <c r="NJG2" s="44"/>
      <c r="NJH2" s="44"/>
      <c r="NJI2" s="44"/>
      <c r="NJJ2" s="44"/>
      <c r="NJK2" s="44"/>
      <c r="NJL2" s="44"/>
      <c r="NJN2" s="44"/>
      <c r="NJO2" s="44"/>
      <c r="NJP2" s="44"/>
      <c r="NJQ2" s="44"/>
      <c r="NJR2" s="44"/>
      <c r="NJS2" s="44"/>
      <c r="NJT2" s="44"/>
      <c r="NJV2" s="44"/>
      <c r="NJW2" s="44"/>
      <c r="NJX2" s="44"/>
      <c r="NJY2" s="44"/>
      <c r="NJZ2" s="44"/>
      <c r="NKA2" s="44"/>
      <c r="NKB2" s="44"/>
      <c r="NKD2" s="44"/>
      <c r="NKE2" s="44"/>
      <c r="NKF2" s="44"/>
      <c r="NKG2" s="44"/>
      <c r="NKH2" s="44"/>
      <c r="NKI2" s="44"/>
      <c r="NKJ2" s="44"/>
      <c r="NKL2" s="44"/>
      <c r="NKM2" s="44"/>
      <c r="NKN2" s="44"/>
      <c r="NKO2" s="44"/>
      <c r="NKP2" s="44"/>
      <c r="NKQ2" s="44"/>
      <c r="NKR2" s="44"/>
      <c r="NKT2" s="44"/>
      <c r="NKU2" s="44"/>
      <c r="NKV2" s="44"/>
      <c r="NKW2" s="44"/>
      <c r="NKX2" s="44"/>
      <c r="NKY2" s="44"/>
      <c r="NKZ2" s="44"/>
      <c r="NLB2" s="44"/>
      <c r="NLC2" s="44"/>
      <c r="NLD2" s="44"/>
      <c r="NLE2" s="44"/>
      <c r="NLF2" s="44"/>
      <c r="NLG2" s="44"/>
      <c r="NLH2" s="44"/>
      <c r="NLJ2" s="44"/>
      <c r="NLK2" s="44"/>
      <c r="NLL2" s="44"/>
      <c r="NLM2" s="44"/>
      <c r="NLN2" s="44"/>
      <c r="NLO2" s="44"/>
      <c r="NLP2" s="44"/>
      <c r="NLR2" s="44"/>
      <c r="NLS2" s="44"/>
      <c r="NLT2" s="44"/>
      <c r="NLU2" s="44"/>
      <c r="NLV2" s="44"/>
      <c r="NLW2" s="44"/>
      <c r="NLX2" s="44"/>
      <c r="NLZ2" s="44"/>
      <c r="NMA2" s="44"/>
      <c r="NMB2" s="44"/>
      <c r="NMC2" s="44"/>
      <c r="NMD2" s="44"/>
      <c r="NME2" s="44"/>
      <c r="NMF2" s="44"/>
      <c r="NMH2" s="44"/>
      <c r="NMI2" s="44"/>
      <c r="NMJ2" s="44"/>
      <c r="NMK2" s="44"/>
      <c r="NML2" s="44"/>
      <c r="NMM2" s="44"/>
      <c r="NMN2" s="44"/>
      <c r="NMP2" s="44"/>
      <c r="NMQ2" s="44"/>
      <c r="NMR2" s="44"/>
      <c r="NMS2" s="44"/>
      <c r="NMT2" s="44"/>
      <c r="NMU2" s="44"/>
      <c r="NMV2" s="44"/>
      <c r="NMX2" s="44"/>
      <c r="NMY2" s="44"/>
      <c r="NMZ2" s="44"/>
      <c r="NNA2" s="44"/>
      <c r="NNB2" s="44"/>
      <c r="NNC2" s="44"/>
      <c r="NND2" s="44"/>
      <c r="NNF2" s="44"/>
      <c r="NNG2" s="44"/>
      <c r="NNH2" s="44"/>
      <c r="NNI2" s="44"/>
      <c r="NNJ2" s="44"/>
      <c r="NNK2" s="44"/>
      <c r="NNL2" s="44"/>
      <c r="NNN2" s="44"/>
      <c r="NNO2" s="44"/>
      <c r="NNP2" s="44"/>
      <c r="NNQ2" s="44"/>
      <c r="NNR2" s="44"/>
      <c r="NNS2" s="44"/>
      <c r="NNT2" s="44"/>
      <c r="NNV2" s="44"/>
      <c r="NNW2" s="44"/>
      <c r="NNX2" s="44"/>
      <c r="NNY2" s="44"/>
      <c r="NNZ2" s="44"/>
      <c r="NOA2" s="44"/>
      <c r="NOB2" s="44"/>
      <c r="NOD2" s="44"/>
      <c r="NOE2" s="44"/>
      <c r="NOF2" s="44"/>
      <c r="NOG2" s="44"/>
      <c r="NOH2" s="44"/>
      <c r="NOI2" s="44"/>
      <c r="NOJ2" s="44"/>
      <c r="NOL2" s="44"/>
      <c r="NOM2" s="44"/>
      <c r="NON2" s="44"/>
      <c r="NOO2" s="44"/>
      <c r="NOP2" s="44"/>
      <c r="NOQ2" s="44"/>
      <c r="NOR2" s="44"/>
      <c r="NOT2" s="44"/>
      <c r="NOU2" s="44"/>
      <c r="NOV2" s="44"/>
      <c r="NOW2" s="44"/>
      <c r="NOX2" s="44"/>
      <c r="NOY2" s="44"/>
      <c r="NOZ2" s="44"/>
      <c r="NPB2" s="44"/>
      <c r="NPC2" s="44"/>
      <c r="NPD2" s="44"/>
      <c r="NPE2" s="44"/>
      <c r="NPF2" s="44"/>
      <c r="NPG2" s="44"/>
      <c r="NPH2" s="44"/>
      <c r="NPJ2" s="44"/>
      <c r="NPK2" s="44"/>
      <c r="NPL2" s="44"/>
      <c r="NPM2" s="44"/>
      <c r="NPN2" s="44"/>
      <c r="NPO2" s="44"/>
      <c r="NPP2" s="44"/>
      <c r="NPR2" s="44"/>
      <c r="NPS2" s="44"/>
      <c r="NPT2" s="44"/>
      <c r="NPU2" s="44"/>
      <c r="NPV2" s="44"/>
      <c r="NPW2" s="44"/>
      <c r="NPX2" s="44"/>
      <c r="NPZ2" s="44"/>
      <c r="NQA2" s="44"/>
      <c r="NQB2" s="44"/>
      <c r="NQC2" s="44"/>
      <c r="NQD2" s="44"/>
      <c r="NQE2" s="44"/>
      <c r="NQF2" s="44"/>
      <c r="NQH2" s="44"/>
      <c r="NQI2" s="44"/>
      <c r="NQJ2" s="44"/>
      <c r="NQK2" s="44"/>
      <c r="NQL2" s="44"/>
      <c r="NQM2" s="44"/>
      <c r="NQN2" s="44"/>
      <c r="NQP2" s="44"/>
      <c r="NQQ2" s="44"/>
      <c r="NQR2" s="44"/>
      <c r="NQS2" s="44"/>
      <c r="NQT2" s="44"/>
      <c r="NQU2" s="44"/>
      <c r="NQV2" s="44"/>
      <c r="NQX2" s="44"/>
      <c r="NQY2" s="44"/>
      <c r="NQZ2" s="44"/>
      <c r="NRA2" s="44"/>
      <c r="NRB2" s="44"/>
      <c r="NRC2" s="44"/>
      <c r="NRD2" s="44"/>
      <c r="NRF2" s="44"/>
      <c r="NRG2" s="44"/>
      <c r="NRH2" s="44"/>
      <c r="NRI2" s="44"/>
      <c r="NRJ2" s="44"/>
      <c r="NRK2" s="44"/>
      <c r="NRL2" s="44"/>
      <c r="NRN2" s="44"/>
      <c r="NRO2" s="44"/>
      <c r="NRP2" s="44"/>
      <c r="NRQ2" s="44"/>
      <c r="NRR2" s="44"/>
      <c r="NRS2" s="44"/>
      <c r="NRT2" s="44"/>
      <c r="NRV2" s="44"/>
      <c r="NRW2" s="44"/>
      <c r="NRX2" s="44"/>
      <c r="NRY2" s="44"/>
      <c r="NRZ2" s="44"/>
      <c r="NSA2" s="44"/>
      <c r="NSB2" s="44"/>
      <c r="NSD2" s="44"/>
      <c r="NSE2" s="44"/>
      <c r="NSF2" s="44"/>
      <c r="NSG2" s="44"/>
      <c r="NSH2" s="44"/>
      <c r="NSI2" s="44"/>
      <c r="NSJ2" s="44"/>
      <c r="NSL2" s="44"/>
      <c r="NSM2" s="44"/>
      <c r="NSN2" s="44"/>
      <c r="NSO2" s="44"/>
      <c r="NSP2" s="44"/>
      <c r="NSQ2" s="44"/>
      <c r="NSR2" s="44"/>
      <c r="NST2" s="44"/>
      <c r="NSU2" s="44"/>
      <c r="NSV2" s="44"/>
      <c r="NSW2" s="44"/>
      <c r="NSX2" s="44"/>
      <c r="NSY2" s="44"/>
      <c r="NSZ2" s="44"/>
      <c r="NTB2" s="44"/>
      <c r="NTC2" s="44"/>
      <c r="NTD2" s="44"/>
      <c r="NTE2" s="44"/>
      <c r="NTF2" s="44"/>
      <c r="NTG2" s="44"/>
      <c r="NTH2" s="44"/>
      <c r="NTJ2" s="44"/>
      <c r="NTK2" s="44"/>
      <c r="NTL2" s="44"/>
      <c r="NTM2" s="44"/>
      <c r="NTN2" s="44"/>
      <c r="NTO2" s="44"/>
      <c r="NTP2" s="44"/>
      <c r="NTR2" s="44"/>
      <c r="NTS2" s="44"/>
      <c r="NTT2" s="44"/>
      <c r="NTU2" s="44"/>
      <c r="NTV2" s="44"/>
      <c r="NTW2" s="44"/>
      <c r="NTX2" s="44"/>
      <c r="NTZ2" s="44"/>
      <c r="NUA2" s="44"/>
      <c r="NUB2" s="44"/>
      <c r="NUC2" s="44"/>
      <c r="NUD2" s="44"/>
      <c r="NUE2" s="44"/>
      <c r="NUF2" s="44"/>
      <c r="NUH2" s="44"/>
      <c r="NUI2" s="44"/>
      <c r="NUJ2" s="44"/>
      <c r="NUK2" s="44"/>
      <c r="NUL2" s="44"/>
      <c r="NUM2" s="44"/>
      <c r="NUN2" s="44"/>
      <c r="NUP2" s="44"/>
      <c r="NUQ2" s="44"/>
      <c r="NUR2" s="44"/>
      <c r="NUS2" s="44"/>
      <c r="NUT2" s="44"/>
      <c r="NUU2" s="44"/>
      <c r="NUV2" s="44"/>
      <c r="NUX2" s="44"/>
      <c r="NUY2" s="44"/>
      <c r="NUZ2" s="44"/>
      <c r="NVA2" s="44"/>
      <c r="NVB2" s="44"/>
      <c r="NVC2" s="44"/>
      <c r="NVD2" s="44"/>
      <c r="NVF2" s="44"/>
      <c r="NVG2" s="44"/>
      <c r="NVH2" s="44"/>
      <c r="NVI2" s="44"/>
      <c r="NVJ2" s="44"/>
      <c r="NVK2" s="44"/>
      <c r="NVL2" s="44"/>
      <c r="NVN2" s="44"/>
      <c r="NVO2" s="44"/>
      <c r="NVP2" s="44"/>
      <c r="NVQ2" s="44"/>
      <c r="NVR2" s="44"/>
      <c r="NVS2" s="44"/>
      <c r="NVT2" s="44"/>
      <c r="NVV2" s="44"/>
      <c r="NVW2" s="44"/>
      <c r="NVX2" s="44"/>
      <c r="NVY2" s="44"/>
      <c r="NVZ2" s="44"/>
      <c r="NWA2" s="44"/>
      <c r="NWB2" s="44"/>
      <c r="NWD2" s="44"/>
      <c r="NWE2" s="44"/>
      <c r="NWF2" s="44"/>
      <c r="NWG2" s="44"/>
      <c r="NWH2" s="44"/>
      <c r="NWI2" s="44"/>
      <c r="NWJ2" s="44"/>
      <c r="NWL2" s="44"/>
      <c r="NWM2" s="44"/>
      <c r="NWN2" s="44"/>
      <c r="NWO2" s="44"/>
      <c r="NWP2" s="44"/>
      <c r="NWQ2" s="44"/>
      <c r="NWR2" s="44"/>
      <c r="NWT2" s="44"/>
      <c r="NWU2" s="44"/>
      <c r="NWV2" s="44"/>
      <c r="NWW2" s="44"/>
      <c r="NWX2" s="44"/>
      <c r="NWY2" s="44"/>
      <c r="NWZ2" s="44"/>
      <c r="NXB2" s="44"/>
      <c r="NXC2" s="44"/>
      <c r="NXD2" s="44"/>
      <c r="NXE2" s="44"/>
      <c r="NXF2" s="44"/>
      <c r="NXG2" s="44"/>
      <c r="NXH2" s="44"/>
      <c r="NXJ2" s="44"/>
      <c r="NXK2" s="44"/>
      <c r="NXL2" s="44"/>
      <c r="NXM2" s="44"/>
      <c r="NXN2" s="44"/>
      <c r="NXO2" s="44"/>
      <c r="NXP2" s="44"/>
      <c r="NXR2" s="44"/>
      <c r="NXS2" s="44"/>
      <c r="NXT2" s="44"/>
      <c r="NXU2" s="44"/>
      <c r="NXV2" s="44"/>
      <c r="NXW2" s="44"/>
      <c r="NXX2" s="44"/>
      <c r="NXZ2" s="44"/>
      <c r="NYA2" s="44"/>
      <c r="NYB2" s="44"/>
      <c r="NYC2" s="44"/>
      <c r="NYD2" s="44"/>
      <c r="NYE2" s="44"/>
      <c r="NYF2" s="44"/>
      <c r="NYH2" s="44"/>
      <c r="NYI2" s="44"/>
      <c r="NYJ2" s="44"/>
      <c r="NYK2" s="44"/>
      <c r="NYL2" s="44"/>
      <c r="NYM2" s="44"/>
      <c r="NYN2" s="44"/>
      <c r="NYP2" s="44"/>
      <c r="NYQ2" s="44"/>
      <c r="NYR2" s="44"/>
      <c r="NYS2" s="44"/>
      <c r="NYT2" s="44"/>
      <c r="NYU2" s="44"/>
      <c r="NYV2" s="44"/>
      <c r="NYX2" s="44"/>
      <c r="NYY2" s="44"/>
      <c r="NYZ2" s="44"/>
      <c r="NZA2" s="44"/>
      <c r="NZB2" s="44"/>
      <c r="NZC2" s="44"/>
      <c r="NZD2" s="44"/>
      <c r="NZF2" s="44"/>
      <c r="NZG2" s="44"/>
      <c r="NZH2" s="44"/>
      <c r="NZI2" s="44"/>
      <c r="NZJ2" s="44"/>
      <c r="NZK2" s="44"/>
      <c r="NZL2" s="44"/>
      <c r="NZN2" s="44"/>
      <c r="NZO2" s="44"/>
      <c r="NZP2" s="44"/>
      <c r="NZQ2" s="44"/>
      <c r="NZR2" s="44"/>
      <c r="NZS2" s="44"/>
      <c r="NZT2" s="44"/>
      <c r="NZV2" s="44"/>
      <c r="NZW2" s="44"/>
      <c r="NZX2" s="44"/>
      <c r="NZY2" s="44"/>
      <c r="NZZ2" s="44"/>
      <c r="OAA2" s="44"/>
      <c r="OAB2" s="44"/>
      <c r="OAD2" s="44"/>
      <c r="OAE2" s="44"/>
      <c r="OAF2" s="44"/>
      <c r="OAG2" s="44"/>
      <c r="OAH2" s="44"/>
      <c r="OAI2" s="44"/>
      <c r="OAJ2" s="44"/>
      <c r="OAL2" s="44"/>
      <c r="OAM2" s="44"/>
      <c r="OAN2" s="44"/>
      <c r="OAO2" s="44"/>
      <c r="OAP2" s="44"/>
      <c r="OAQ2" s="44"/>
      <c r="OAR2" s="44"/>
      <c r="OAT2" s="44"/>
      <c r="OAU2" s="44"/>
      <c r="OAV2" s="44"/>
      <c r="OAW2" s="44"/>
      <c r="OAX2" s="44"/>
      <c r="OAY2" s="44"/>
      <c r="OAZ2" s="44"/>
      <c r="OBB2" s="44"/>
      <c r="OBC2" s="44"/>
      <c r="OBD2" s="44"/>
      <c r="OBE2" s="44"/>
      <c r="OBF2" s="44"/>
      <c r="OBG2" s="44"/>
      <c r="OBH2" s="44"/>
      <c r="OBJ2" s="44"/>
      <c r="OBK2" s="44"/>
      <c r="OBL2" s="44"/>
      <c r="OBM2" s="44"/>
      <c r="OBN2" s="44"/>
      <c r="OBO2" s="44"/>
      <c r="OBP2" s="44"/>
      <c r="OBR2" s="44"/>
      <c r="OBS2" s="44"/>
      <c r="OBT2" s="44"/>
      <c r="OBU2" s="44"/>
      <c r="OBV2" s="44"/>
      <c r="OBW2" s="44"/>
      <c r="OBX2" s="44"/>
      <c r="OBZ2" s="44"/>
      <c r="OCA2" s="44"/>
      <c r="OCB2" s="44"/>
      <c r="OCC2" s="44"/>
      <c r="OCD2" s="44"/>
      <c r="OCE2" s="44"/>
      <c r="OCF2" s="44"/>
      <c r="OCH2" s="44"/>
      <c r="OCI2" s="44"/>
      <c r="OCJ2" s="44"/>
      <c r="OCK2" s="44"/>
      <c r="OCL2" s="44"/>
      <c r="OCM2" s="44"/>
      <c r="OCN2" s="44"/>
      <c r="OCP2" s="44"/>
      <c r="OCQ2" s="44"/>
      <c r="OCR2" s="44"/>
      <c r="OCS2" s="44"/>
      <c r="OCT2" s="44"/>
      <c r="OCU2" s="44"/>
      <c r="OCV2" s="44"/>
      <c r="OCX2" s="44"/>
      <c r="OCY2" s="44"/>
      <c r="OCZ2" s="44"/>
      <c r="ODA2" s="44"/>
      <c r="ODB2" s="44"/>
      <c r="ODC2" s="44"/>
      <c r="ODD2" s="44"/>
      <c r="ODF2" s="44"/>
      <c r="ODG2" s="44"/>
      <c r="ODH2" s="44"/>
      <c r="ODI2" s="44"/>
      <c r="ODJ2" s="44"/>
      <c r="ODK2" s="44"/>
      <c r="ODL2" s="44"/>
      <c r="ODN2" s="44"/>
      <c r="ODO2" s="44"/>
      <c r="ODP2" s="44"/>
      <c r="ODQ2" s="44"/>
      <c r="ODR2" s="44"/>
      <c r="ODS2" s="44"/>
      <c r="ODT2" s="44"/>
      <c r="ODV2" s="44"/>
      <c r="ODW2" s="44"/>
      <c r="ODX2" s="44"/>
      <c r="ODY2" s="44"/>
      <c r="ODZ2" s="44"/>
      <c r="OEA2" s="44"/>
      <c r="OEB2" s="44"/>
      <c r="OED2" s="44"/>
      <c r="OEE2" s="44"/>
      <c r="OEF2" s="44"/>
      <c r="OEG2" s="44"/>
      <c r="OEH2" s="44"/>
      <c r="OEI2" s="44"/>
      <c r="OEJ2" s="44"/>
      <c r="OEL2" s="44"/>
      <c r="OEM2" s="44"/>
      <c r="OEN2" s="44"/>
      <c r="OEO2" s="44"/>
      <c r="OEP2" s="44"/>
      <c r="OEQ2" s="44"/>
      <c r="OER2" s="44"/>
      <c r="OET2" s="44"/>
      <c r="OEU2" s="44"/>
      <c r="OEV2" s="44"/>
      <c r="OEW2" s="44"/>
      <c r="OEX2" s="44"/>
      <c r="OEY2" s="44"/>
      <c r="OEZ2" s="44"/>
      <c r="OFB2" s="44"/>
      <c r="OFC2" s="44"/>
      <c r="OFD2" s="44"/>
      <c r="OFE2" s="44"/>
      <c r="OFF2" s="44"/>
      <c r="OFG2" s="44"/>
      <c r="OFH2" s="44"/>
      <c r="OFJ2" s="44"/>
      <c r="OFK2" s="44"/>
      <c r="OFL2" s="44"/>
      <c r="OFM2" s="44"/>
      <c r="OFN2" s="44"/>
      <c r="OFO2" s="44"/>
      <c r="OFP2" s="44"/>
      <c r="OFR2" s="44"/>
      <c r="OFS2" s="44"/>
      <c r="OFT2" s="44"/>
      <c r="OFU2" s="44"/>
      <c r="OFV2" s="44"/>
      <c r="OFW2" s="44"/>
      <c r="OFX2" s="44"/>
      <c r="OFZ2" s="44"/>
      <c r="OGA2" s="44"/>
      <c r="OGB2" s="44"/>
      <c r="OGC2" s="44"/>
      <c r="OGD2" s="44"/>
      <c r="OGE2" s="44"/>
      <c r="OGF2" s="44"/>
      <c r="OGH2" s="44"/>
      <c r="OGI2" s="44"/>
      <c r="OGJ2" s="44"/>
      <c r="OGK2" s="44"/>
      <c r="OGL2" s="44"/>
      <c r="OGM2" s="44"/>
      <c r="OGN2" s="44"/>
      <c r="OGP2" s="44"/>
      <c r="OGQ2" s="44"/>
      <c r="OGR2" s="44"/>
      <c r="OGS2" s="44"/>
      <c r="OGT2" s="44"/>
      <c r="OGU2" s="44"/>
      <c r="OGV2" s="44"/>
      <c r="OGX2" s="44"/>
      <c r="OGY2" s="44"/>
      <c r="OGZ2" s="44"/>
      <c r="OHA2" s="44"/>
      <c r="OHB2" s="44"/>
      <c r="OHC2" s="44"/>
      <c r="OHD2" s="44"/>
      <c r="OHF2" s="44"/>
      <c r="OHG2" s="44"/>
      <c r="OHH2" s="44"/>
      <c r="OHI2" s="44"/>
      <c r="OHJ2" s="44"/>
      <c r="OHK2" s="44"/>
      <c r="OHL2" s="44"/>
      <c r="OHN2" s="44"/>
      <c r="OHO2" s="44"/>
      <c r="OHP2" s="44"/>
      <c r="OHQ2" s="44"/>
      <c r="OHR2" s="44"/>
      <c r="OHS2" s="44"/>
      <c r="OHT2" s="44"/>
      <c r="OHV2" s="44"/>
      <c r="OHW2" s="44"/>
      <c r="OHX2" s="44"/>
      <c r="OHY2" s="44"/>
      <c r="OHZ2" s="44"/>
      <c r="OIA2" s="44"/>
      <c r="OIB2" s="44"/>
      <c r="OID2" s="44"/>
      <c r="OIE2" s="44"/>
      <c r="OIF2" s="44"/>
      <c r="OIG2" s="44"/>
      <c r="OIH2" s="44"/>
      <c r="OII2" s="44"/>
      <c r="OIJ2" s="44"/>
      <c r="OIL2" s="44"/>
      <c r="OIM2" s="44"/>
      <c r="OIN2" s="44"/>
      <c r="OIO2" s="44"/>
      <c r="OIP2" s="44"/>
      <c r="OIQ2" s="44"/>
      <c r="OIR2" s="44"/>
      <c r="OIT2" s="44"/>
      <c r="OIU2" s="44"/>
      <c r="OIV2" s="44"/>
      <c r="OIW2" s="44"/>
      <c r="OIX2" s="44"/>
      <c r="OIY2" s="44"/>
      <c r="OIZ2" s="44"/>
      <c r="OJB2" s="44"/>
      <c r="OJC2" s="44"/>
      <c r="OJD2" s="44"/>
      <c r="OJE2" s="44"/>
      <c r="OJF2" s="44"/>
      <c r="OJG2" s="44"/>
      <c r="OJH2" s="44"/>
      <c r="OJJ2" s="44"/>
      <c r="OJK2" s="44"/>
      <c r="OJL2" s="44"/>
      <c r="OJM2" s="44"/>
      <c r="OJN2" s="44"/>
      <c r="OJO2" s="44"/>
      <c r="OJP2" s="44"/>
      <c r="OJR2" s="44"/>
      <c r="OJS2" s="44"/>
      <c r="OJT2" s="44"/>
      <c r="OJU2" s="44"/>
      <c r="OJV2" s="44"/>
      <c r="OJW2" s="44"/>
      <c r="OJX2" s="44"/>
      <c r="OJZ2" s="44"/>
      <c r="OKA2" s="44"/>
      <c r="OKB2" s="44"/>
      <c r="OKC2" s="44"/>
      <c r="OKD2" s="44"/>
      <c r="OKE2" s="44"/>
      <c r="OKF2" s="44"/>
      <c r="OKH2" s="44"/>
      <c r="OKI2" s="44"/>
      <c r="OKJ2" s="44"/>
      <c r="OKK2" s="44"/>
      <c r="OKL2" s="44"/>
      <c r="OKM2" s="44"/>
      <c r="OKN2" s="44"/>
      <c r="OKP2" s="44"/>
      <c r="OKQ2" s="44"/>
      <c r="OKR2" s="44"/>
      <c r="OKS2" s="44"/>
      <c r="OKT2" s="44"/>
      <c r="OKU2" s="44"/>
      <c r="OKV2" s="44"/>
      <c r="OKX2" s="44"/>
      <c r="OKY2" s="44"/>
      <c r="OKZ2" s="44"/>
      <c r="OLA2" s="44"/>
      <c r="OLB2" s="44"/>
      <c r="OLC2" s="44"/>
      <c r="OLD2" s="44"/>
      <c r="OLF2" s="44"/>
      <c r="OLG2" s="44"/>
      <c r="OLH2" s="44"/>
      <c r="OLI2" s="44"/>
      <c r="OLJ2" s="44"/>
      <c r="OLK2" s="44"/>
      <c r="OLL2" s="44"/>
      <c r="OLN2" s="44"/>
      <c r="OLO2" s="44"/>
      <c r="OLP2" s="44"/>
      <c r="OLQ2" s="44"/>
      <c r="OLR2" s="44"/>
      <c r="OLS2" s="44"/>
      <c r="OLT2" s="44"/>
      <c r="OLV2" s="44"/>
      <c r="OLW2" s="44"/>
      <c r="OLX2" s="44"/>
      <c r="OLY2" s="44"/>
      <c r="OLZ2" s="44"/>
      <c r="OMA2" s="44"/>
      <c r="OMB2" s="44"/>
      <c r="OMD2" s="44"/>
      <c r="OME2" s="44"/>
      <c r="OMF2" s="44"/>
      <c r="OMG2" s="44"/>
      <c r="OMH2" s="44"/>
      <c r="OMI2" s="44"/>
      <c r="OMJ2" s="44"/>
      <c r="OML2" s="44"/>
      <c r="OMM2" s="44"/>
      <c r="OMN2" s="44"/>
      <c r="OMO2" s="44"/>
      <c r="OMP2" s="44"/>
      <c r="OMQ2" s="44"/>
      <c r="OMR2" s="44"/>
      <c r="OMT2" s="44"/>
      <c r="OMU2" s="44"/>
      <c r="OMV2" s="44"/>
      <c r="OMW2" s="44"/>
      <c r="OMX2" s="44"/>
      <c r="OMY2" s="44"/>
      <c r="OMZ2" s="44"/>
      <c r="ONB2" s="44"/>
      <c r="ONC2" s="44"/>
      <c r="OND2" s="44"/>
      <c r="ONE2" s="44"/>
      <c r="ONF2" s="44"/>
      <c r="ONG2" s="44"/>
      <c r="ONH2" s="44"/>
      <c r="ONJ2" s="44"/>
      <c r="ONK2" s="44"/>
      <c r="ONL2" s="44"/>
      <c r="ONM2" s="44"/>
      <c r="ONN2" s="44"/>
      <c r="ONO2" s="44"/>
      <c r="ONP2" s="44"/>
      <c r="ONR2" s="44"/>
      <c r="ONS2" s="44"/>
      <c r="ONT2" s="44"/>
      <c r="ONU2" s="44"/>
      <c r="ONV2" s="44"/>
      <c r="ONW2" s="44"/>
      <c r="ONX2" s="44"/>
      <c r="ONZ2" s="44"/>
      <c r="OOA2" s="44"/>
      <c r="OOB2" s="44"/>
      <c r="OOC2" s="44"/>
      <c r="OOD2" s="44"/>
      <c r="OOE2" s="44"/>
      <c r="OOF2" s="44"/>
      <c r="OOH2" s="44"/>
      <c r="OOI2" s="44"/>
      <c r="OOJ2" s="44"/>
      <c r="OOK2" s="44"/>
      <c r="OOL2" s="44"/>
      <c r="OOM2" s="44"/>
      <c r="OON2" s="44"/>
      <c r="OOP2" s="44"/>
      <c r="OOQ2" s="44"/>
      <c r="OOR2" s="44"/>
      <c r="OOS2" s="44"/>
      <c r="OOT2" s="44"/>
      <c r="OOU2" s="44"/>
      <c r="OOV2" s="44"/>
      <c r="OOX2" s="44"/>
      <c r="OOY2" s="44"/>
      <c r="OOZ2" s="44"/>
      <c r="OPA2" s="44"/>
      <c r="OPB2" s="44"/>
      <c r="OPC2" s="44"/>
      <c r="OPD2" s="44"/>
      <c r="OPF2" s="44"/>
      <c r="OPG2" s="44"/>
      <c r="OPH2" s="44"/>
      <c r="OPI2" s="44"/>
      <c r="OPJ2" s="44"/>
      <c r="OPK2" s="44"/>
      <c r="OPL2" s="44"/>
      <c r="OPN2" s="44"/>
      <c r="OPO2" s="44"/>
      <c r="OPP2" s="44"/>
      <c r="OPQ2" s="44"/>
      <c r="OPR2" s="44"/>
      <c r="OPS2" s="44"/>
      <c r="OPT2" s="44"/>
      <c r="OPV2" s="44"/>
      <c r="OPW2" s="44"/>
      <c r="OPX2" s="44"/>
      <c r="OPY2" s="44"/>
      <c r="OPZ2" s="44"/>
      <c r="OQA2" s="44"/>
      <c r="OQB2" s="44"/>
      <c r="OQD2" s="44"/>
      <c r="OQE2" s="44"/>
      <c r="OQF2" s="44"/>
      <c r="OQG2" s="44"/>
      <c r="OQH2" s="44"/>
      <c r="OQI2" s="44"/>
      <c r="OQJ2" s="44"/>
      <c r="OQL2" s="44"/>
      <c r="OQM2" s="44"/>
      <c r="OQN2" s="44"/>
      <c r="OQO2" s="44"/>
      <c r="OQP2" s="44"/>
      <c r="OQQ2" s="44"/>
      <c r="OQR2" s="44"/>
      <c r="OQT2" s="44"/>
      <c r="OQU2" s="44"/>
      <c r="OQV2" s="44"/>
      <c r="OQW2" s="44"/>
      <c r="OQX2" s="44"/>
      <c r="OQY2" s="44"/>
      <c r="OQZ2" s="44"/>
      <c r="ORB2" s="44"/>
      <c r="ORC2" s="44"/>
      <c r="ORD2" s="44"/>
      <c r="ORE2" s="44"/>
      <c r="ORF2" s="44"/>
      <c r="ORG2" s="44"/>
      <c r="ORH2" s="44"/>
      <c r="ORJ2" s="44"/>
      <c r="ORK2" s="44"/>
      <c r="ORL2" s="44"/>
      <c r="ORM2" s="44"/>
      <c r="ORN2" s="44"/>
      <c r="ORO2" s="44"/>
      <c r="ORP2" s="44"/>
      <c r="ORR2" s="44"/>
      <c r="ORS2" s="44"/>
      <c r="ORT2" s="44"/>
      <c r="ORU2" s="44"/>
      <c r="ORV2" s="44"/>
      <c r="ORW2" s="44"/>
      <c r="ORX2" s="44"/>
      <c r="ORZ2" s="44"/>
      <c r="OSA2" s="44"/>
      <c r="OSB2" s="44"/>
      <c r="OSC2" s="44"/>
      <c r="OSD2" s="44"/>
      <c r="OSE2" s="44"/>
      <c r="OSF2" s="44"/>
      <c r="OSH2" s="44"/>
      <c r="OSI2" s="44"/>
      <c r="OSJ2" s="44"/>
      <c r="OSK2" s="44"/>
      <c r="OSL2" s="44"/>
      <c r="OSM2" s="44"/>
      <c r="OSN2" s="44"/>
      <c r="OSP2" s="44"/>
      <c r="OSQ2" s="44"/>
      <c r="OSR2" s="44"/>
      <c r="OSS2" s="44"/>
      <c r="OST2" s="44"/>
      <c r="OSU2" s="44"/>
      <c r="OSV2" s="44"/>
      <c r="OSX2" s="44"/>
      <c r="OSY2" s="44"/>
      <c r="OSZ2" s="44"/>
      <c r="OTA2" s="44"/>
      <c r="OTB2" s="44"/>
      <c r="OTC2" s="44"/>
      <c r="OTD2" s="44"/>
      <c r="OTF2" s="44"/>
      <c r="OTG2" s="44"/>
      <c r="OTH2" s="44"/>
      <c r="OTI2" s="44"/>
      <c r="OTJ2" s="44"/>
      <c r="OTK2" s="44"/>
      <c r="OTL2" s="44"/>
      <c r="OTN2" s="44"/>
      <c r="OTO2" s="44"/>
      <c r="OTP2" s="44"/>
      <c r="OTQ2" s="44"/>
      <c r="OTR2" s="44"/>
      <c r="OTS2" s="44"/>
      <c r="OTT2" s="44"/>
      <c r="OTV2" s="44"/>
      <c r="OTW2" s="44"/>
      <c r="OTX2" s="44"/>
      <c r="OTY2" s="44"/>
      <c r="OTZ2" s="44"/>
      <c r="OUA2" s="44"/>
      <c r="OUB2" s="44"/>
      <c r="OUD2" s="44"/>
      <c r="OUE2" s="44"/>
      <c r="OUF2" s="44"/>
      <c r="OUG2" s="44"/>
      <c r="OUH2" s="44"/>
      <c r="OUI2" s="44"/>
      <c r="OUJ2" s="44"/>
      <c r="OUL2" s="44"/>
      <c r="OUM2" s="44"/>
      <c r="OUN2" s="44"/>
      <c r="OUO2" s="44"/>
      <c r="OUP2" s="44"/>
      <c r="OUQ2" s="44"/>
      <c r="OUR2" s="44"/>
      <c r="OUT2" s="44"/>
      <c r="OUU2" s="44"/>
      <c r="OUV2" s="44"/>
      <c r="OUW2" s="44"/>
      <c r="OUX2" s="44"/>
      <c r="OUY2" s="44"/>
      <c r="OUZ2" s="44"/>
      <c r="OVB2" s="44"/>
      <c r="OVC2" s="44"/>
      <c r="OVD2" s="44"/>
      <c r="OVE2" s="44"/>
      <c r="OVF2" s="44"/>
      <c r="OVG2" s="44"/>
      <c r="OVH2" s="44"/>
      <c r="OVJ2" s="44"/>
      <c r="OVK2" s="44"/>
      <c r="OVL2" s="44"/>
      <c r="OVM2" s="44"/>
      <c r="OVN2" s="44"/>
      <c r="OVO2" s="44"/>
      <c r="OVP2" s="44"/>
      <c r="OVR2" s="44"/>
      <c r="OVS2" s="44"/>
      <c r="OVT2" s="44"/>
      <c r="OVU2" s="44"/>
      <c r="OVV2" s="44"/>
      <c r="OVW2" s="44"/>
      <c r="OVX2" s="44"/>
      <c r="OVZ2" s="44"/>
      <c r="OWA2" s="44"/>
      <c r="OWB2" s="44"/>
      <c r="OWC2" s="44"/>
      <c r="OWD2" s="44"/>
      <c r="OWE2" s="44"/>
      <c r="OWF2" s="44"/>
      <c r="OWH2" s="44"/>
      <c r="OWI2" s="44"/>
      <c r="OWJ2" s="44"/>
      <c r="OWK2" s="44"/>
      <c r="OWL2" s="44"/>
      <c r="OWM2" s="44"/>
      <c r="OWN2" s="44"/>
      <c r="OWP2" s="44"/>
      <c r="OWQ2" s="44"/>
      <c r="OWR2" s="44"/>
      <c r="OWS2" s="44"/>
      <c r="OWT2" s="44"/>
      <c r="OWU2" s="44"/>
      <c r="OWV2" s="44"/>
      <c r="OWX2" s="44"/>
      <c r="OWY2" s="44"/>
      <c r="OWZ2" s="44"/>
      <c r="OXA2" s="44"/>
      <c r="OXB2" s="44"/>
      <c r="OXC2" s="44"/>
      <c r="OXD2" s="44"/>
      <c r="OXF2" s="44"/>
      <c r="OXG2" s="44"/>
      <c r="OXH2" s="44"/>
      <c r="OXI2" s="44"/>
      <c r="OXJ2" s="44"/>
      <c r="OXK2" s="44"/>
      <c r="OXL2" s="44"/>
      <c r="OXN2" s="44"/>
      <c r="OXO2" s="44"/>
      <c r="OXP2" s="44"/>
      <c r="OXQ2" s="44"/>
      <c r="OXR2" s="44"/>
      <c r="OXS2" s="44"/>
      <c r="OXT2" s="44"/>
      <c r="OXV2" s="44"/>
      <c r="OXW2" s="44"/>
      <c r="OXX2" s="44"/>
      <c r="OXY2" s="44"/>
      <c r="OXZ2" s="44"/>
      <c r="OYA2" s="44"/>
      <c r="OYB2" s="44"/>
      <c r="OYD2" s="44"/>
      <c r="OYE2" s="44"/>
      <c r="OYF2" s="44"/>
      <c r="OYG2" s="44"/>
      <c r="OYH2" s="44"/>
      <c r="OYI2" s="44"/>
      <c r="OYJ2" s="44"/>
      <c r="OYL2" s="44"/>
      <c r="OYM2" s="44"/>
      <c r="OYN2" s="44"/>
      <c r="OYO2" s="44"/>
      <c r="OYP2" s="44"/>
      <c r="OYQ2" s="44"/>
      <c r="OYR2" s="44"/>
      <c r="OYT2" s="44"/>
      <c r="OYU2" s="44"/>
      <c r="OYV2" s="44"/>
      <c r="OYW2" s="44"/>
      <c r="OYX2" s="44"/>
      <c r="OYY2" s="44"/>
      <c r="OYZ2" s="44"/>
      <c r="OZB2" s="44"/>
      <c r="OZC2" s="44"/>
      <c r="OZD2" s="44"/>
      <c r="OZE2" s="44"/>
      <c r="OZF2" s="44"/>
      <c r="OZG2" s="44"/>
      <c r="OZH2" s="44"/>
      <c r="OZJ2" s="44"/>
      <c r="OZK2" s="44"/>
      <c r="OZL2" s="44"/>
      <c r="OZM2" s="44"/>
      <c r="OZN2" s="44"/>
      <c r="OZO2" s="44"/>
      <c r="OZP2" s="44"/>
      <c r="OZR2" s="44"/>
      <c r="OZS2" s="44"/>
      <c r="OZT2" s="44"/>
      <c r="OZU2" s="44"/>
      <c r="OZV2" s="44"/>
      <c r="OZW2" s="44"/>
      <c r="OZX2" s="44"/>
      <c r="OZZ2" s="44"/>
      <c r="PAA2" s="44"/>
      <c r="PAB2" s="44"/>
      <c r="PAC2" s="44"/>
      <c r="PAD2" s="44"/>
      <c r="PAE2" s="44"/>
      <c r="PAF2" s="44"/>
      <c r="PAH2" s="44"/>
      <c r="PAI2" s="44"/>
      <c r="PAJ2" s="44"/>
      <c r="PAK2" s="44"/>
      <c r="PAL2" s="44"/>
      <c r="PAM2" s="44"/>
      <c r="PAN2" s="44"/>
      <c r="PAP2" s="44"/>
      <c r="PAQ2" s="44"/>
      <c r="PAR2" s="44"/>
      <c r="PAS2" s="44"/>
      <c r="PAT2" s="44"/>
      <c r="PAU2" s="44"/>
      <c r="PAV2" s="44"/>
      <c r="PAX2" s="44"/>
      <c r="PAY2" s="44"/>
      <c r="PAZ2" s="44"/>
      <c r="PBA2" s="44"/>
      <c r="PBB2" s="44"/>
      <c r="PBC2" s="44"/>
      <c r="PBD2" s="44"/>
      <c r="PBF2" s="44"/>
      <c r="PBG2" s="44"/>
      <c r="PBH2" s="44"/>
      <c r="PBI2" s="44"/>
      <c r="PBJ2" s="44"/>
      <c r="PBK2" s="44"/>
      <c r="PBL2" s="44"/>
      <c r="PBN2" s="44"/>
      <c r="PBO2" s="44"/>
      <c r="PBP2" s="44"/>
      <c r="PBQ2" s="44"/>
      <c r="PBR2" s="44"/>
      <c r="PBS2" s="44"/>
      <c r="PBT2" s="44"/>
      <c r="PBV2" s="44"/>
      <c r="PBW2" s="44"/>
      <c r="PBX2" s="44"/>
      <c r="PBY2" s="44"/>
      <c r="PBZ2" s="44"/>
      <c r="PCA2" s="44"/>
      <c r="PCB2" s="44"/>
      <c r="PCD2" s="44"/>
      <c r="PCE2" s="44"/>
      <c r="PCF2" s="44"/>
      <c r="PCG2" s="44"/>
      <c r="PCH2" s="44"/>
      <c r="PCI2" s="44"/>
      <c r="PCJ2" s="44"/>
      <c r="PCL2" s="44"/>
      <c r="PCM2" s="44"/>
      <c r="PCN2" s="44"/>
      <c r="PCO2" s="44"/>
      <c r="PCP2" s="44"/>
      <c r="PCQ2" s="44"/>
      <c r="PCR2" s="44"/>
      <c r="PCT2" s="44"/>
      <c r="PCU2" s="44"/>
      <c r="PCV2" s="44"/>
      <c r="PCW2" s="44"/>
      <c r="PCX2" s="44"/>
      <c r="PCY2" s="44"/>
      <c r="PCZ2" s="44"/>
      <c r="PDB2" s="44"/>
      <c r="PDC2" s="44"/>
      <c r="PDD2" s="44"/>
      <c r="PDE2" s="44"/>
      <c r="PDF2" s="44"/>
      <c r="PDG2" s="44"/>
      <c r="PDH2" s="44"/>
      <c r="PDJ2" s="44"/>
      <c r="PDK2" s="44"/>
      <c r="PDL2" s="44"/>
      <c r="PDM2" s="44"/>
      <c r="PDN2" s="44"/>
      <c r="PDO2" s="44"/>
      <c r="PDP2" s="44"/>
      <c r="PDR2" s="44"/>
      <c r="PDS2" s="44"/>
      <c r="PDT2" s="44"/>
      <c r="PDU2" s="44"/>
      <c r="PDV2" s="44"/>
      <c r="PDW2" s="44"/>
      <c r="PDX2" s="44"/>
      <c r="PDZ2" s="44"/>
      <c r="PEA2" s="44"/>
      <c r="PEB2" s="44"/>
      <c r="PEC2" s="44"/>
      <c r="PED2" s="44"/>
      <c r="PEE2" s="44"/>
      <c r="PEF2" s="44"/>
      <c r="PEH2" s="44"/>
      <c r="PEI2" s="44"/>
      <c r="PEJ2" s="44"/>
      <c r="PEK2" s="44"/>
      <c r="PEL2" s="44"/>
      <c r="PEM2" s="44"/>
      <c r="PEN2" s="44"/>
      <c r="PEP2" s="44"/>
      <c r="PEQ2" s="44"/>
      <c r="PER2" s="44"/>
      <c r="PES2" s="44"/>
      <c r="PET2" s="44"/>
      <c r="PEU2" s="44"/>
      <c r="PEV2" s="44"/>
      <c r="PEX2" s="44"/>
      <c r="PEY2" s="44"/>
      <c r="PEZ2" s="44"/>
      <c r="PFA2" s="44"/>
      <c r="PFB2" s="44"/>
      <c r="PFC2" s="44"/>
      <c r="PFD2" s="44"/>
      <c r="PFF2" s="44"/>
      <c r="PFG2" s="44"/>
      <c r="PFH2" s="44"/>
      <c r="PFI2" s="44"/>
      <c r="PFJ2" s="44"/>
      <c r="PFK2" s="44"/>
      <c r="PFL2" s="44"/>
      <c r="PFN2" s="44"/>
      <c r="PFO2" s="44"/>
      <c r="PFP2" s="44"/>
      <c r="PFQ2" s="44"/>
      <c r="PFR2" s="44"/>
      <c r="PFS2" s="44"/>
      <c r="PFT2" s="44"/>
      <c r="PFV2" s="44"/>
      <c r="PFW2" s="44"/>
      <c r="PFX2" s="44"/>
      <c r="PFY2" s="44"/>
      <c r="PFZ2" s="44"/>
      <c r="PGA2" s="44"/>
      <c r="PGB2" s="44"/>
      <c r="PGD2" s="44"/>
      <c r="PGE2" s="44"/>
      <c r="PGF2" s="44"/>
      <c r="PGG2" s="44"/>
      <c r="PGH2" s="44"/>
      <c r="PGI2" s="44"/>
      <c r="PGJ2" s="44"/>
      <c r="PGL2" s="44"/>
      <c r="PGM2" s="44"/>
      <c r="PGN2" s="44"/>
      <c r="PGO2" s="44"/>
      <c r="PGP2" s="44"/>
      <c r="PGQ2" s="44"/>
      <c r="PGR2" s="44"/>
      <c r="PGT2" s="44"/>
      <c r="PGU2" s="44"/>
      <c r="PGV2" s="44"/>
      <c r="PGW2" s="44"/>
      <c r="PGX2" s="44"/>
      <c r="PGY2" s="44"/>
      <c r="PGZ2" s="44"/>
      <c r="PHB2" s="44"/>
      <c r="PHC2" s="44"/>
      <c r="PHD2" s="44"/>
      <c r="PHE2" s="44"/>
      <c r="PHF2" s="44"/>
      <c r="PHG2" s="44"/>
      <c r="PHH2" s="44"/>
      <c r="PHJ2" s="44"/>
      <c r="PHK2" s="44"/>
      <c r="PHL2" s="44"/>
      <c r="PHM2" s="44"/>
      <c r="PHN2" s="44"/>
      <c r="PHO2" s="44"/>
      <c r="PHP2" s="44"/>
      <c r="PHR2" s="44"/>
      <c r="PHS2" s="44"/>
      <c r="PHT2" s="44"/>
      <c r="PHU2" s="44"/>
      <c r="PHV2" s="44"/>
      <c r="PHW2" s="44"/>
      <c r="PHX2" s="44"/>
      <c r="PHZ2" s="44"/>
      <c r="PIA2" s="44"/>
      <c r="PIB2" s="44"/>
      <c r="PIC2" s="44"/>
      <c r="PID2" s="44"/>
      <c r="PIE2" s="44"/>
      <c r="PIF2" s="44"/>
      <c r="PIH2" s="44"/>
      <c r="PII2" s="44"/>
      <c r="PIJ2" s="44"/>
      <c r="PIK2" s="44"/>
      <c r="PIL2" s="44"/>
      <c r="PIM2" s="44"/>
      <c r="PIN2" s="44"/>
      <c r="PIP2" s="44"/>
      <c r="PIQ2" s="44"/>
      <c r="PIR2" s="44"/>
      <c r="PIS2" s="44"/>
      <c r="PIT2" s="44"/>
      <c r="PIU2" s="44"/>
      <c r="PIV2" s="44"/>
      <c r="PIX2" s="44"/>
      <c r="PIY2" s="44"/>
      <c r="PIZ2" s="44"/>
      <c r="PJA2" s="44"/>
      <c r="PJB2" s="44"/>
      <c r="PJC2" s="44"/>
      <c r="PJD2" s="44"/>
      <c r="PJF2" s="44"/>
      <c r="PJG2" s="44"/>
      <c r="PJH2" s="44"/>
      <c r="PJI2" s="44"/>
      <c r="PJJ2" s="44"/>
      <c r="PJK2" s="44"/>
      <c r="PJL2" s="44"/>
      <c r="PJN2" s="44"/>
      <c r="PJO2" s="44"/>
      <c r="PJP2" s="44"/>
      <c r="PJQ2" s="44"/>
      <c r="PJR2" s="44"/>
      <c r="PJS2" s="44"/>
      <c r="PJT2" s="44"/>
      <c r="PJV2" s="44"/>
      <c r="PJW2" s="44"/>
      <c r="PJX2" s="44"/>
      <c r="PJY2" s="44"/>
      <c r="PJZ2" s="44"/>
      <c r="PKA2" s="44"/>
      <c r="PKB2" s="44"/>
      <c r="PKD2" s="44"/>
      <c r="PKE2" s="44"/>
      <c r="PKF2" s="44"/>
      <c r="PKG2" s="44"/>
      <c r="PKH2" s="44"/>
      <c r="PKI2" s="44"/>
      <c r="PKJ2" s="44"/>
      <c r="PKL2" s="44"/>
      <c r="PKM2" s="44"/>
      <c r="PKN2" s="44"/>
      <c r="PKO2" s="44"/>
      <c r="PKP2" s="44"/>
      <c r="PKQ2" s="44"/>
      <c r="PKR2" s="44"/>
      <c r="PKT2" s="44"/>
      <c r="PKU2" s="44"/>
      <c r="PKV2" s="44"/>
      <c r="PKW2" s="44"/>
      <c r="PKX2" s="44"/>
      <c r="PKY2" s="44"/>
      <c r="PKZ2" s="44"/>
      <c r="PLB2" s="44"/>
      <c r="PLC2" s="44"/>
      <c r="PLD2" s="44"/>
      <c r="PLE2" s="44"/>
      <c r="PLF2" s="44"/>
      <c r="PLG2" s="44"/>
      <c r="PLH2" s="44"/>
      <c r="PLJ2" s="44"/>
      <c r="PLK2" s="44"/>
      <c r="PLL2" s="44"/>
      <c r="PLM2" s="44"/>
      <c r="PLN2" s="44"/>
      <c r="PLO2" s="44"/>
      <c r="PLP2" s="44"/>
      <c r="PLR2" s="44"/>
      <c r="PLS2" s="44"/>
      <c r="PLT2" s="44"/>
      <c r="PLU2" s="44"/>
      <c r="PLV2" s="44"/>
      <c r="PLW2" s="44"/>
      <c r="PLX2" s="44"/>
      <c r="PLZ2" s="44"/>
      <c r="PMA2" s="44"/>
      <c r="PMB2" s="44"/>
      <c r="PMC2" s="44"/>
      <c r="PMD2" s="44"/>
      <c r="PME2" s="44"/>
      <c r="PMF2" s="44"/>
      <c r="PMH2" s="44"/>
      <c r="PMI2" s="44"/>
      <c r="PMJ2" s="44"/>
      <c r="PMK2" s="44"/>
      <c r="PML2" s="44"/>
      <c r="PMM2" s="44"/>
      <c r="PMN2" s="44"/>
      <c r="PMP2" s="44"/>
      <c r="PMQ2" s="44"/>
      <c r="PMR2" s="44"/>
      <c r="PMS2" s="44"/>
      <c r="PMT2" s="44"/>
      <c r="PMU2" s="44"/>
      <c r="PMV2" s="44"/>
      <c r="PMX2" s="44"/>
      <c r="PMY2" s="44"/>
      <c r="PMZ2" s="44"/>
      <c r="PNA2" s="44"/>
      <c r="PNB2" s="44"/>
      <c r="PNC2" s="44"/>
      <c r="PND2" s="44"/>
      <c r="PNF2" s="44"/>
      <c r="PNG2" s="44"/>
      <c r="PNH2" s="44"/>
      <c r="PNI2" s="44"/>
      <c r="PNJ2" s="44"/>
      <c r="PNK2" s="44"/>
      <c r="PNL2" s="44"/>
      <c r="PNN2" s="44"/>
      <c r="PNO2" s="44"/>
      <c r="PNP2" s="44"/>
      <c r="PNQ2" s="44"/>
      <c r="PNR2" s="44"/>
      <c r="PNS2" s="44"/>
      <c r="PNT2" s="44"/>
      <c r="PNV2" s="44"/>
      <c r="PNW2" s="44"/>
      <c r="PNX2" s="44"/>
      <c r="PNY2" s="44"/>
      <c r="PNZ2" s="44"/>
      <c r="POA2" s="44"/>
      <c r="POB2" s="44"/>
      <c r="POD2" s="44"/>
      <c r="POE2" s="44"/>
      <c r="POF2" s="44"/>
      <c r="POG2" s="44"/>
      <c r="POH2" s="44"/>
      <c r="POI2" s="44"/>
      <c r="POJ2" s="44"/>
      <c r="POL2" s="44"/>
      <c r="POM2" s="44"/>
      <c r="PON2" s="44"/>
      <c r="POO2" s="44"/>
      <c r="POP2" s="44"/>
      <c r="POQ2" s="44"/>
      <c r="POR2" s="44"/>
      <c r="POT2" s="44"/>
      <c r="POU2" s="44"/>
      <c r="POV2" s="44"/>
      <c r="POW2" s="44"/>
      <c r="POX2" s="44"/>
      <c r="POY2" s="44"/>
      <c r="POZ2" s="44"/>
      <c r="PPB2" s="44"/>
      <c r="PPC2" s="44"/>
      <c r="PPD2" s="44"/>
      <c r="PPE2" s="44"/>
      <c r="PPF2" s="44"/>
      <c r="PPG2" s="44"/>
      <c r="PPH2" s="44"/>
      <c r="PPJ2" s="44"/>
      <c r="PPK2" s="44"/>
      <c r="PPL2" s="44"/>
      <c r="PPM2" s="44"/>
      <c r="PPN2" s="44"/>
      <c r="PPO2" s="44"/>
      <c r="PPP2" s="44"/>
      <c r="PPR2" s="44"/>
      <c r="PPS2" s="44"/>
      <c r="PPT2" s="44"/>
      <c r="PPU2" s="44"/>
      <c r="PPV2" s="44"/>
      <c r="PPW2" s="44"/>
      <c r="PPX2" s="44"/>
      <c r="PPZ2" s="44"/>
      <c r="PQA2" s="44"/>
      <c r="PQB2" s="44"/>
      <c r="PQC2" s="44"/>
      <c r="PQD2" s="44"/>
      <c r="PQE2" s="44"/>
      <c r="PQF2" s="44"/>
      <c r="PQH2" s="44"/>
      <c r="PQI2" s="44"/>
      <c r="PQJ2" s="44"/>
      <c r="PQK2" s="44"/>
      <c r="PQL2" s="44"/>
      <c r="PQM2" s="44"/>
      <c r="PQN2" s="44"/>
      <c r="PQP2" s="44"/>
      <c r="PQQ2" s="44"/>
      <c r="PQR2" s="44"/>
      <c r="PQS2" s="44"/>
      <c r="PQT2" s="44"/>
      <c r="PQU2" s="44"/>
      <c r="PQV2" s="44"/>
      <c r="PQX2" s="44"/>
      <c r="PQY2" s="44"/>
      <c r="PQZ2" s="44"/>
      <c r="PRA2" s="44"/>
      <c r="PRB2" s="44"/>
      <c r="PRC2" s="44"/>
      <c r="PRD2" s="44"/>
      <c r="PRF2" s="44"/>
      <c r="PRG2" s="44"/>
      <c r="PRH2" s="44"/>
      <c r="PRI2" s="44"/>
      <c r="PRJ2" s="44"/>
      <c r="PRK2" s="44"/>
      <c r="PRL2" s="44"/>
      <c r="PRN2" s="44"/>
      <c r="PRO2" s="44"/>
      <c r="PRP2" s="44"/>
      <c r="PRQ2" s="44"/>
      <c r="PRR2" s="44"/>
      <c r="PRS2" s="44"/>
      <c r="PRT2" s="44"/>
      <c r="PRV2" s="44"/>
      <c r="PRW2" s="44"/>
      <c r="PRX2" s="44"/>
      <c r="PRY2" s="44"/>
      <c r="PRZ2" s="44"/>
      <c r="PSA2" s="44"/>
      <c r="PSB2" s="44"/>
      <c r="PSD2" s="44"/>
      <c r="PSE2" s="44"/>
      <c r="PSF2" s="44"/>
      <c r="PSG2" s="44"/>
      <c r="PSH2" s="44"/>
      <c r="PSI2" s="44"/>
      <c r="PSJ2" s="44"/>
      <c r="PSL2" s="44"/>
      <c r="PSM2" s="44"/>
      <c r="PSN2" s="44"/>
      <c r="PSO2" s="44"/>
      <c r="PSP2" s="44"/>
      <c r="PSQ2" s="44"/>
      <c r="PSR2" s="44"/>
      <c r="PST2" s="44"/>
      <c r="PSU2" s="44"/>
      <c r="PSV2" s="44"/>
      <c r="PSW2" s="44"/>
      <c r="PSX2" s="44"/>
      <c r="PSY2" s="44"/>
      <c r="PSZ2" s="44"/>
      <c r="PTB2" s="44"/>
      <c r="PTC2" s="44"/>
      <c r="PTD2" s="44"/>
      <c r="PTE2" s="44"/>
      <c r="PTF2" s="44"/>
      <c r="PTG2" s="44"/>
      <c r="PTH2" s="44"/>
      <c r="PTJ2" s="44"/>
      <c r="PTK2" s="44"/>
      <c r="PTL2" s="44"/>
      <c r="PTM2" s="44"/>
      <c r="PTN2" s="44"/>
      <c r="PTO2" s="44"/>
      <c r="PTP2" s="44"/>
      <c r="PTR2" s="44"/>
      <c r="PTS2" s="44"/>
      <c r="PTT2" s="44"/>
      <c r="PTU2" s="44"/>
      <c r="PTV2" s="44"/>
      <c r="PTW2" s="44"/>
      <c r="PTX2" s="44"/>
      <c r="PTZ2" s="44"/>
      <c r="PUA2" s="44"/>
      <c r="PUB2" s="44"/>
      <c r="PUC2" s="44"/>
      <c r="PUD2" s="44"/>
      <c r="PUE2" s="44"/>
      <c r="PUF2" s="44"/>
      <c r="PUH2" s="44"/>
      <c r="PUI2" s="44"/>
      <c r="PUJ2" s="44"/>
      <c r="PUK2" s="44"/>
      <c r="PUL2" s="44"/>
      <c r="PUM2" s="44"/>
      <c r="PUN2" s="44"/>
      <c r="PUP2" s="44"/>
      <c r="PUQ2" s="44"/>
      <c r="PUR2" s="44"/>
      <c r="PUS2" s="44"/>
      <c r="PUT2" s="44"/>
      <c r="PUU2" s="44"/>
      <c r="PUV2" s="44"/>
      <c r="PUX2" s="44"/>
      <c r="PUY2" s="44"/>
      <c r="PUZ2" s="44"/>
      <c r="PVA2" s="44"/>
      <c r="PVB2" s="44"/>
      <c r="PVC2" s="44"/>
      <c r="PVD2" s="44"/>
      <c r="PVF2" s="44"/>
      <c r="PVG2" s="44"/>
      <c r="PVH2" s="44"/>
      <c r="PVI2" s="44"/>
      <c r="PVJ2" s="44"/>
      <c r="PVK2" s="44"/>
      <c r="PVL2" s="44"/>
      <c r="PVN2" s="44"/>
      <c r="PVO2" s="44"/>
      <c r="PVP2" s="44"/>
      <c r="PVQ2" s="44"/>
      <c r="PVR2" s="44"/>
      <c r="PVS2" s="44"/>
      <c r="PVT2" s="44"/>
      <c r="PVV2" s="44"/>
      <c r="PVW2" s="44"/>
      <c r="PVX2" s="44"/>
      <c r="PVY2" s="44"/>
      <c r="PVZ2" s="44"/>
      <c r="PWA2" s="44"/>
      <c r="PWB2" s="44"/>
      <c r="PWD2" s="44"/>
      <c r="PWE2" s="44"/>
      <c r="PWF2" s="44"/>
      <c r="PWG2" s="44"/>
      <c r="PWH2" s="44"/>
      <c r="PWI2" s="44"/>
      <c r="PWJ2" s="44"/>
      <c r="PWL2" s="44"/>
      <c r="PWM2" s="44"/>
      <c r="PWN2" s="44"/>
      <c r="PWO2" s="44"/>
      <c r="PWP2" s="44"/>
      <c r="PWQ2" s="44"/>
      <c r="PWR2" s="44"/>
      <c r="PWT2" s="44"/>
      <c r="PWU2" s="44"/>
      <c r="PWV2" s="44"/>
      <c r="PWW2" s="44"/>
      <c r="PWX2" s="44"/>
      <c r="PWY2" s="44"/>
      <c r="PWZ2" s="44"/>
      <c r="PXB2" s="44"/>
      <c r="PXC2" s="44"/>
      <c r="PXD2" s="44"/>
      <c r="PXE2" s="44"/>
      <c r="PXF2" s="44"/>
      <c r="PXG2" s="44"/>
      <c r="PXH2" s="44"/>
      <c r="PXJ2" s="44"/>
      <c r="PXK2" s="44"/>
      <c r="PXL2" s="44"/>
      <c r="PXM2" s="44"/>
      <c r="PXN2" s="44"/>
      <c r="PXO2" s="44"/>
      <c r="PXP2" s="44"/>
      <c r="PXR2" s="44"/>
      <c r="PXS2" s="44"/>
      <c r="PXT2" s="44"/>
      <c r="PXU2" s="44"/>
      <c r="PXV2" s="44"/>
      <c r="PXW2" s="44"/>
      <c r="PXX2" s="44"/>
      <c r="PXZ2" s="44"/>
      <c r="PYA2" s="44"/>
      <c r="PYB2" s="44"/>
      <c r="PYC2" s="44"/>
      <c r="PYD2" s="44"/>
      <c r="PYE2" s="44"/>
      <c r="PYF2" s="44"/>
      <c r="PYH2" s="44"/>
      <c r="PYI2" s="44"/>
      <c r="PYJ2" s="44"/>
      <c r="PYK2" s="44"/>
      <c r="PYL2" s="44"/>
      <c r="PYM2" s="44"/>
      <c r="PYN2" s="44"/>
      <c r="PYP2" s="44"/>
      <c r="PYQ2" s="44"/>
      <c r="PYR2" s="44"/>
      <c r="PYS2" s="44"/>
      <c r="PYT2" s="44"/>
      <c r="PYU2" s="44"/>
      <c r="PYV2" s="44"/>
      <c r="PYX2" s="44"/>
      <c r="PYY2" s="44"/>
      <c r="PYZ2" s="44"/>
      <c r="PZA2" s="44"/>
      <c r="PZB2" s="44"/>
      <c r="PZC2" s="44"/>
      <c r="PZD2" s="44"/>
      <c r="PZF2" s="44"/>
      <c r="PZG2" s="44"/>
      <c r="PZH2" s="44"/>
      <c r="PZI2" s="44"/>
      <c r="PZJ2" s="44"/>
      <c r="PZK2" s="44"/>
      <c r="PZL2" s="44"/>
      <c r="PZN2" s="44"/>
      <c r="PZO2" s="44"/>
      <c r="PZP2" s="44"/>
      <c r="PZQ2" s="44"/>
      <c r="PZR2" s="44"/>
      <c r="PZS2" s="44"/>
      <c r="PZT2" s="44"/>
      <c r="PZV2" s="44"/>
      <c r="PZW2" s="44"/>
      <c r="PZX2" s="44"/>
      <c r="PZY2" s="44"/>
      <c r="PZZ2" s="44"/>
      <c r="QAA2" s="44"/>
      <c r="QAB2" s="44"/>
      <c r="QAD2" s="44"/>
      <c r="QAE2" s="44"/>
      <c r="QAF2" s="44"/>
      <c r="QAG2" s="44"/>
      <c r="QAH2" s="44"/>
      <c r="QAI2" s="44"/>
      <c r="QAJ2" s="44"/>
      <c r="QAL2" s="44"/>
      <c r="QAM2" s="44"/>
      <c r="QAN2" s="44"/>
      <c r="QAO2" s="44"/>
      <c r="QAP2" s="44"/>
      <c r="QAQ2" s="44"/>
      <c r="QAR2" s="44"/>
      <c r="QAT2" s="44"/>
      <c r="QAU2" s="44"/>
      <c r="QAV2" s="44"/>
      <c r="QAW2" s="44"/>
      <c r="QAX2" s="44"/>
      <c r="QAY2" s="44"/>
      <c r="QAZ2" s="44"/>
      <c r="QBB2" s="44"/>
      <c r="QBC2" s="44"/>
      <c r="QBD2" s="44"/>
      <c r="QBE2" s="44"/>
      <c r="QBF2" s="44"/>
      <c r="QBG2" s="44"/>
      <c r="QBH2" s="44"/>
      <c r="QBJ2" s="44"/>
      <c r="QBK2" s="44"/>
      <c r="QBL2" s="44"/>
      <c r="QBM2" s="44"/>
      <c r="QBN2" s="44"/>
      <c r="QBO2" s="44"/>
      <c r="QBP2" s="44"/>
      <c r="QBR2" s="44"/>
      <c r="QBS2" s="44"/>
      <c r="QBT2" s="44"/>
      <c r="QBU2" s="44"/>
      <c r="QBV2" s="44"/>
      <c r="QBW2" s="44"/>
      <c r="QBX2" s="44"/>
      <c r="QBZ2" s="44"/>
      <c r="QCA2" s="44"/>
      <c r="QCB2" s="44"/>
      <c r="QCC2" s="44"/>
      <c r="QCD2" s="44"/>
      <c r="QCE2" s="44"/>
      <c r="QCF2" s="44"/>
      <c r="QCH2" s="44"/>
      <c r="QCI2" s="44"/>
      <c r="QCJ2" s="44"/>
      <c r="QCK2" s="44"/>
      <c r="QCL2" s="44"/>
      <c r="QCM2" s="44"/>
      <c r="QCN2" s="44"/>
      <c r="QCP2" s="44"/>
      <c r="QCQ2" s="44"/>
      <c r="QCR2" s="44"/>
      <c r="QCS2" s="44"/>
      <c r="QCT2" s="44"/>
      <c r="QCU2" s="44"/>
      <c r="QCV2" s="44"/>
      <c r="QCX2" s="44"/>
      <c r="QCY2" s="44"/>
      <c r="QCZ2" s="44"/>
      <c r="QDA2" s="44"/>
      <c r="QDB2" s="44"/>
      <c r="QDC2" s="44"/>
      <c r="QDD2" s="44"/>
      <c r="QDF2" s="44"/>
      <c r="QDG2" s="44"/>
      <c r="QDH2" s="44"/>
      <c r="QDI2" s="44"/>
      <c r="QDJ2" s="44"/>
      <c r="QDK2" s="44"/>
      <c r="QDL2" s="44"/>
      <c r="QDN2" s="44"/>
      <c r="QDO2" s="44"/>
      <c r="QDP2" s="44"/>
      <c r="QDQ2" s="44"/>
      <c r="QDR2" s="44"/>
      <c r="QDS2" s="44"/>
      <c r="QDT2" s="44"/>
      <c r="QDV2" s="44"/>
      <c r="QDW2" s="44"/>
      <c r="QDX2" s="44"/>
      <c r="QDY2" s="44"/>
      <c r="QDZ2" s="44"/>
      <c r="QEA2" s="44"/>
      <c r="QEB2" s="44"/>
      <c r="QED2" s="44"/>
      <c r="QEE2" s="44"/>
      <c r="QEF2" s="44"/>
      <c r="QEG2" s="44"/>
      <c r="QEH2" s="44"/>
      <c r="QEI2" s="44"/>
      <c r="QEJ2" s="44"/>
      <c r="QEL2" s="44"/>
      <c r="QEM2" s="44"/>
      <c r="QEN2" s="44"/>
      <c r="QEO2" s="44"/>
      <c r="QEP2" s="44"/>
      <c r="QEQ2" s="44"/>
      <c r="QER2" s="44"/>
      <c r="QET2" s="44"/>
      <c r="QEU2" s="44"/>
      <c r="QEV2" s="44"/>
      <c r="QEW2" s="44"/>
      <c r="QEX2" s="44"/>
      <c r="QEY2" s="44"/>
      <c r="QEZ2" s="44"/>
      <c r="QFB2" s="44"/>
      <c r="QFC2" s="44"/>
      <c r="QFD2" s="44"/>
      <c r="QFE2" s="44"/>
      <c r="QFF2" s="44"/>
      <c r="QFG2" s="44"/>
      <c r="QFH2" s="44"/>
      <c r="QFJ2" s="44"/>
      <c r="QFK2" s="44"/>
      <c r="QFL2" s="44"/>
      <c r="QFM2" s="44"/>
      <c r="QFN2" s="44"/>
      <c r="QFO2" s="44"/>
      <c r="QFP2" s="44"/>
      <c r="QFR2" s="44"/>
      <c r="QFS2" s="44"/>
      <c r="QFT2" s="44"/>
      <c r="QFU2" s="44"/>
      <c r="QFV2" s="44"/>
      <c r="QFW2" s="44"/>
      <c r="QFX2" s="44"/>
      <c r="QFZ2" s="44"/>
      <c r="QGA2" s="44"/>
      <c r="QGB2" s="44"/>
      <c r="QGC2" s="44"/>
      <c r="QGD2" s="44"/>
      <c r="QGE2" s="44"/>
      <c r="QGF2" s="44"/>
      <c r="QGH2" s="44"/>
      <c r="QGI2" s="44"/>
      <c r="QGJ2" s="44"/>
      <c r="QGK2" s="44"/>
      <c r="QGL2" s="44"/>
      <c r="QGM2" s="44"/>
      <c r="QGN2" s="44"/>
      <c r="QGP2" s="44"/>
      <c r="QGQ2" s="44"/>
      <c r="QGR2" s="44"/>
      <c r="QGS2" s="44"/>
      <c r="QGT2" s="44"/>
      <c r="QGU2" s="44"/>
      <c r="QGV2" s="44"/>
      <c r="QGX2" s="44"/>
      <c r="QGY2" s="44"/>
      <c r="QGZ2" s="44"/>
      <c r="QHA2" s="44"/>
      <c r="QHB2" s="44"/>
      <c r="QHC2" s="44"/>
      <c r="QHD2" s="44"/>
      <c r="QHF2" s="44"/>
      <c r="QHG2" s="44"/>
      <c r="QHH2" s="44"/>
      <c r="QHI2" s="44"/>
      <c r="QHJ2" s="44"/>
      <c r="QHK2" s="44"/>
      <c r="QHL2" s="44"/>
      <c r="QHN2" s="44"/>
      <c r="QHO2" s="44"/>
      <c r="QHP2" s="44"/>
      <c r="QHQ2" s="44"/>
      <c r="QHR2" s="44"/>
      <c r="QHS2" s="44"/>
      <c r="QHT2" s="44"/>
      <c r="QHV2" s="44"/>
      <c r="QHW2" s="44"/>
      <c r="QHX2" s="44"/>
      <c r="QHY2" s="44"/>
      <c r="QHZ2" s="44"/>
      <c r="QIA2" s="44"/>
      <c r="QIB2" s="44"/>
      <c r="QID2" s="44"/>
      <c r="QIE2" s="44"/>
      <c r="QIF2" s="44"/>
      <c r="QIG2" s="44"/>
      <c r="QIH2" s="44"/>
      <c r="QII2" s="44"/>
      <c r="QIJ2" s="44"/>
      <c r="QIL2" s="44"/>
      <c r="QIM2" s="44"/>
      <c r="QIN2" s="44"/>
      <c r="QIO2" s="44"/>
      <c r="QIP2" s="44"/>
      <c r="QIQ2" s="44"/>
      <c r="QIR2" s="44"/>
      <c r="QIT2" s="44"/>
      <c r="QIU2" s="44"/>
      <c r="QIV2" s="44"/>
      <c r="QIW2" s="44"/>
      <c r="QIX2" s="44"/>
      <c r="QIY2" s="44"/>
      <c r="QIZ2" s="44"/>
      <c r="QJB2" s="44"/>
      <c r="QJC2" s="44"/>
      <c r="QJD2" s="44"/>
      <c r="QJE2" s="44"/>
      <c r="QJF2" s="44"/>
      <c r="QJG2" s="44"/>
      <c r="QJH2" s="44"/>
      <c r="QJJ2" s="44"/>
      <c r="QJK2" s="44"/>
      <c r="QJL2" s="44"/>
      <c r="QJM2" s="44"/>
      <c r="QJN2" s="44"/>
      <c r="QJO2" s="44"/>
      <c r="QJP2" s="44"/>
      <c r="QJR2" s="44"/>
      <c r="QJS2" s="44"/>
      <c r="QJT2" s="44"/>
      <c r="QJU2" s="44"/>
      <c r="QJV2" s="44"/>
      <c r="QJW2" s="44"/>
      <c r="QJX2" s="44"/>
      <c r="QJZ2" s="44"/>
      <c r="QKA2" s="44"/>
      <c r="QKB2" s="44"/>
      <c r="QKC2" s="44"/>
      <c r="QKD2" s="44"/>
      <c r="QKE2" s="44"/>
      <c r="QKF2" s="44"/>
      <c r="QKH2" s="44"/>
      <c r="QKI2" s="44"/>
      <c r="QKJ2" s="44"/>
      <c r="QKK2" s="44"/>
      <c r="QKL2" s="44"/>
      <c r="QKM2" s="44"/>
      <c r="QKN2" s="44"/>
      <c r="QKP2" s="44"/>
      <c r="QKQ2" s="44"/>
      <c r="QKR2" s="44"/>
      <c r="QKS2" s="44"/>
      <c r="QKT2" s="44"/>
      <c r="QKU2" s="44"/>
      <c r="QKV2" s="44"/>
      <c r="QKX2" s="44"/>
      <c r="QKY2" s="44"/>
      <c r="QKZ2" s="44"/>
      <c r="QLA2" s="44"/>
      <c r="QLB2" s="44"/>
      <c r="QLC2" s="44"/>
      <c r="QLD2" s="44"/>
      <c r="QLF2" s="44"/>
      <c r="QLG2" s="44"/>
      <c r="QLH2" s="44"/>
      <c r="QLI2" s="44"/>
      <c r="QLJ2" s="44"/>
      <c r="QLK2" s="44"/>
      <c r="QLL2" s="44"/>
      <c r="QLN2" s="44"/>
      <c r="QLO2" s="44"/>
      <c r="QLP2" s="44"/>
      <c r="QLQ2" s="44"/>
      <c r="QLR2" s="44"/>
      <c r="QLS2" s="44"/>
      <c r="QLT2" s="44"/>
      <c r="QLV2" s="44"/>
      <c r="QLW2" s="44"/>
      <c r="QLX2" s="44"/>
      <c r="QLY2" s="44"/>
      <c r="QLZ2" s="44"/>
      <c r="QMA2" s="44"/>
      <c r="QMB2" s="44"/>
      <c r="QMD2" s="44"/>
      <c r="QME2" s="44"/>
      <c r="QMF2" s="44"/>
      <c r="QMG2" s="44"/>
      <c r="QMH2" s="44"/>
      <c r="QMI2" s="44"/>
      <c r="QMJ2" s="44"/>
      <c r="QML2" s="44"/>
      <c r="QMM2" s="44"/>
      <c r="QMN2" s="44"/>
      <c r="QMO2" s="44"/>
      <c r="QMP2" s="44"/>
      <c r="QMQ2" s="44"/>
      <c r="QMR2" s="44"/>
      <c r="QMT2" s="44"/>
      <c r="QMU2" s="44"/>
      <c r="QMV2" s="44"/>
      <c r="QMW2" s="44"/>
      <c r="QMX2" s="44"/>
      <c r="QMY2" s="44"/>
      <c r="QMZ2" s="44"/>
      <c r="QNB2" s="44"/>
      <c r="QNC2" s="44"/>
      <c r="QND2" s="44"/>
      <c r="QNE2" s="44"/>
      <c r="QNF2" s="44"/>
      <c r="QNG2" s="44"/>
      <c r="QNH2" s="44"/>
      <c r="QNJ2" s="44"/>
      <c r="QNK2" s="44"/>
      <c r="QNL2" s="44"/>
      <c r="QNM2" s="44"/>
      <c r="QNN2" s="44"/>
      <c r="QNO2" s="44"/>
      <c r="QNP2" s="44"/>
      <c r="QNR2" s="44"/>
      <c r="QNS2" s="44"/>
      <c r="QNT2" s="44"/>
      <c r="QNU2" s="44"/>
      <c r="QNV2" s="44"/>
      <c r="QNW2" s="44"/>
      <c r="QNX2" s="44"/>
      <c r="QNZ2" s="44"/>
      <c r="QOA2" s="44"/>
      <c r="QOB2" s="44"/>
      <c r="QOC2" s="44"/>
      <c r="QOD2" s="44"/>
      <c r="QOE2" s="44"/>
      <c r="QOF2" s="44"/>
      <c r="QOH2" s="44"/>
      <c r="QOI2" s="44"/>
      <c r="QOJ2" s="44"/>
      <c r="QOK2" s="44"/>
      <c r="QOL2" s="44"/>
      <c r="QOM2" s="44"/>
      <c r="QON2" s="44"/>
      <c r="QOP2" s="44"/>
      <c r="QOQ2" s="44"/>
      <c r="QOR2" s="44"/>
      <c r="QOS2" s="44"/>
      <c r="QOT2" s="44"/>
      <c r="QOU2" s="44"/>
      <c r="QOV2" s="44"/>
      <c r="QOX2" s="44"/>
      <c r="QOY2" s="44"/>
      <c r="QOZ2" s="44"/>
      <c r="QPA2" s="44"/>
      <c r="QPB2" s="44"/>
      <c r="QPC2" s="44"/>
      <c r="QPD2" s="44"/>
      <c r="QPF2" s="44"/>
      <c r="QPG2" s="44"/>
      <c r="QPH2" s="44"/>
      <c r="QPI2" s="44"/>
      <c r="QPJ2" s="44"/>
      <c r="QPK2" s="44"/>
      <c r="QPL2" s="44"/>
      <c r="QPN2" s="44"/>
      <c r="QPO2" s="44"/>
      <c r="QPP2" s="44"/>
      <c r="QPQ2" s="44"/>
      <c r="QPR2" s="44"/>
      <c r="QPS2" s="44"/>
      <c r="QPT2" s="44"/>
      <c r="QPV2" s="44"/>
      <c r="QPW2" s="44"/>
      <c r="QPX2" s="44"/>
      <c r="QPY2" s="44"/>
      <c r="QPZ2" s="44"/>
      <c r="QQA2" s="44"/>
      <c r="QQB2" s="44"/>
      <c r="QQD2" s="44"/>
      <c r="QQE2" s="44"/>
      <c r="QQF2" s="44"/>
      <c r="QQG2" s="44"/>
      <c r="QQH2" s="44"/>
      <c r="QQI2" s="44"/>
      <c r="QQJ2" s="44"/>
      <c r="QQL2" s="44"/>
      <c r="QQM2" s="44"/>
      <c r="QQN2" s="44"/>
      <c r="QQO2" s="44"/>
      <c r="QQP2" s="44"/>
      <c r="QQQ2" s="44"/>
      <c r="QQR2" s="44"/>
      <c r="QQT2" s="44"/>
      <c r="QQU2" s="44"/>
      <c r="QQV2" s="44"/>
      <c r="QQW2" s="44"/>
      <c r="QQX2" s="44"/>
      <c r="QQY2" s="44"/>
      <c r="QQZ2" s="44"/>
      <c r="QRB2" s="44"/>
      <c r="QRC2" s="44"/>
      <c r="QRD2" s="44"/>
      <c r="QRE2" s="44"/>
      <c r="QRF2" s="44"/>
      <c r="QRG2" s="44"/>
      <c r="QRH2" s="44"/>
      <c r="QRJ2" s="44"/>
      <c r="QRK2" s="44"/>
      <c r="QRL2" s="44"/>
      <c r="QRM2" s="44"/>
      <c r="QRN2" s="44"/>
      <c r="QRO2" s="44"/>
      <c r="QRP2" s="44"/>
      <c r="QRR2" s="44"/>
      <c r="QRS2" s="44"/>
      <c r="QRT2" s="44"/>
      <c r="QRU2" s="44"/>
      <c r="QRV2" s="44"/>
      <c r="QRW2" s="44"/>
      <c r="QRX2" s="44"/>
      <c r="QRZ2" s="44"/>
      <c r="QSA2" s="44"/>
      <c r="QSB2" s="44"/>
      <c r="QSC2" s="44"/>
      <c r="QSD2" s="44"/>
      <c r="QSE2" s="44"/>
      <c r="QSF2" s="44"/>
      <c r="QSH2" s="44"/>
      <c r="QSI2" s="44"/>
      <c r="QSJ2" s="44"/>
      <c r="QSK2" s="44"/>
      <c r="QSL2" s="44"/>
      <c r="QSM2" s="44"/>
      <c r="QSN2" s="44"/>
      <c r="QSP2" s="44"/>
      <c r="QSQ2" s="44"/>
      <c r="QSR2" s="44"/>
      <c r="QSS2" s="44"/>
      <c r="QST2" s="44"/>
      <c r="QSU2" s="44"/>
      <c r="QSV2" s="44"/>
      <c r="QSX2" s="44"/>
      <c r="QSY2" s="44"/>
      <c r="QSZ2" s="44"/>
      <c r="QTA2" s="44"/>
      <c r="QTB2" s="44"/>
      <c r="QTC2" s="44"/>
      <c r="QTD2" s="44"/>
      <c r="QTF2" s="44"/>
      <c r="QTG2" s="44"/>
      <c r="QTH2" s="44"/>
      <c r="QTI2" s="44"/>
      <c r="QTJ2" s="44"/>
      <c r="QTK2" s="44"/>
      <c r="QTL2" s="44"/>
      <c r="QTN2" s="44"/>
      <c r="QTO2" s="44"/>
      <c r="QTP2" s="44"/>
      <c r="QTQ2" s="44"/>
      <c r="QTR2" s="44"/>
      <c r="QTS2" s="44"/>
      <c r="QTT2" s="44"/>
      <c r="QTV2" s="44"/>
      <c r="QTW2" s="44"/>
      <c r="QTX2" s="44"/>
      <c r="QTY2" s="44"/>
      <c r="QTZ2" s="44"/>
      <c r="QUA2" s="44"/>
      <c r="QUB2" s="44"/>
      <c r="QUD2" s="44"/>
      <c r="QUE2" s="44"/>
      <c r="QUF2" s="44"/>
      <c r="QUG2" s="44"/>
      <c r="QUH2" s="44"/>
      <c r="QUI2" s="44"/>
      <c r="QUJ2" s="44"/>
      <c r="QUL2" s="44"/>
      <c r="QUM2" s="44"/>
      <c r="QUN2" s="44"/>
      <c r="QUO2" s="44"/>
      <c r="QUP2" s="44"/>
      <c r="QUQ2" s="44"/>
      <c r="QUR2" s="44"/>
      <c r="QUT2" s="44"/>
      <c r="QUU2" s="44"/>
      <c r="QUV2" s="44"/>
      <c r="QUW2" s="44"/>
      <c r="QUX2" s="44"/>
      <c r="QUY2" s="44"/>
      <c r="QUZ2" s="44"/>
      <c r="QVB2" s="44"/>
      <c r="QVC2" s="44"/>
      <c r="QVD2" s="44"/>
      <c r="QVE2" s="44"/>
      <c r="QVF2" s="44"/>
      <c r="QVG2" s="44"/>
      <c r="QVH2" s="44"/>
      <c r="QVJ2" s="44"/>
      <c r="QVK2" s="44"/>
      <c r="QVL2" s="44"/>
      <c r="QVM2" s="44"/>
      <c r="QVN2" s="44"/>
      <c r="QVO2" s="44"/>
      <c r="QVP2" s="44"/>
      <c r="QVR2" s="44"/>
      <c r="QVS2" s="44"/>
      <c r="QVT2" s="44"/>
      <c r="QVU2" s="44"/>
      <c r="QVV2" s="44"/>
      <c r="QVW2" s="44"/>
      <c r="QVX2" s="44"/>
      <c r="QVZ2" s="44"/>
      <c r="QWA2" s="44"/>
      <c r="QWB2" s="44"/>
      <c r="QWC2" s="44"/>
      <c r="QWD2" s="44"/>
      <c r="QWE2" s="44"/>
      <c r="QWF2" s="44"/>
      <c r="QWH2" s="44"/>
      <c r="QWI2" s="44"/>
      <c r="QWJ2" s="44"/>
      <c r="QWK2" s="44"/>
      <c r="QWL2" s="44"/>
      <c r="QWM2" s="44"/>
      <c r="QWN2" s="44"/>
      <c r="QWP2" s="44"/>
      <c r="QWQ2" s="44"/>
      <c r="QWR2" s="44"/>
      <c r="QWS2" s="44"/>
      <c r="QWT2" s="44"/>
      <c r="QWU2" s="44"/>
      <c r="QWV2" s="44"/>
      <c r="QWX2" s="44"/>
      <c r="QWY2" s="44"/>
      <c r="QWZ2" s="44"/>
      <c r="QXA2" s="44"/>
      <c r="QXB2" s="44"/>
      <c r="QXC2" s="44"/>
      <c r="QXD2" s="44"/>
      <c r="QXF2" s="44"/>
      <c r="QXG2" s="44"/>
      <c r="QXH2" s="44"/>
      <c r="QXI2" s="44"/>
      <c r="QXJ2" s="44"/>
      <c r="QXK2" s="44"/>
      <c r="QXL2" s="44"/>
      <c r="QXN2" s="44"/>
      <c r="QXO2" s="44"/>
      <c r="QXP2" s="44"/>
      <c r="QXQ2" s="44"/>
      <c r="QXR2" s="44"/>
      <c r="QXS2" s="44"/>
      <c r="QXT2" s="44"/>
      <c r="QXV2" s="44"/>
      <c r="QXW2" s="44"/>
      <c r="QXX2" s="44"/>
      <c r="QXY2" s="44"/>
      <c r="QXZ2" s="44"/>
      <c r="QYA2" s="44"/>
      <c r="QYB2" s="44"/>
      <c r="QYD2" s="44"/>
      <c r="QYE2" s="44"/>
      <c r="QYF2" s="44"/>
      <c r="QYG2" s="44"/>
      <c r="QYH2" s="44"/>
      <c r="QYI2" s="44"/>
      <c r="QYJ2" s="44"/>
      <c r="QYL2" s="44"/>
      <c r="QYM2" s="44"/>
      <c r="QYN2" s="44"/>
      <c r="QYO2" s="44"/>
      <c r="QYP2" s="44"/>
      <c r="QYQ2" s="44"/>
      <c r="QYR2" s="44"/>
      <c r="QYT2" s="44"/>
      <c r="QYU2" s="44"/>
      <c r="QYV2" s="44"/>
      <c r="QYW2" s="44"/>
      <c r="QYX2" s="44"/>
      <c r="QYY2" s="44"/>
      <c r="QYZ2" s="44"/>
      <c r="QZB2" s="44"/>
      <c r="QZC2" s="44"/>
      <c r="QZD2" s="44"/>
      <c r="QZE2" s="44"/>
      <c r="QZF2" s="44"/>
      <c r="QZG2" s="44"/>
      <c r="QZH2" s="44"/>
      <c r="QZJ2" s="44"/>
      <c r="QZK2" s="44"/>
      <c r="QZL2" s="44"/>
      <c r="QZM2" s="44"/>
      <c r="QZN2" s="44"/>
      <c r="QZO2" s="44"/>
      <c r="QZP2" s="44"/>
      <c r="QZR2" s="44"/>
      <c r="QZS2" s="44"/>
      <c r="QZT2" s="44"/>
      <c r="QZU2" s="44"/>
      <c r="QZV2" s="44"/>
      <c r="QZW2" s="44"/>
      <c r="QZX2" s="44"/>
      <c r="QZZ2" s="44"/>
      <c r="RAA2" s="44"/>
      <c r="RAB2" s="44"/>
      <c r="RAC2" s="44"/>
      <c r="RAD2" s="44"/>
      <c r="RAE2" s="44"/>
      <c r="RAF2" s="44"/>
      <c r="RAH2" s="44"/>
      <c r="RAI2" s="44"/>
      <c r="RAJ2" s="44"/>
      <c r="RAK2" s="44"/>
      <c r="RAL2" s="44"/>
      <c r="RAM2" s="44"/>
      <c r="RAN2" s="44"/>
      <c r="RAP2" s="44"/>
      <c r="RAQ2" s="44"/>
      <c r="RAR2" s="44"/>
      <c r="RAS2" s="44"/>
      <c r="RAT2" s="44"/>
      <c r="RAU2" s="44"/>
      <c r="RAV2" s="44"/>
      <c r="RAX2" s="44"/>
      <c r="RAY2" s="44"/>
      <c r="RAZ2" s="44"/>
      <c r="RBA2" s="44"/>
      <c r="RBB2" s="44"/>
      <c r="RBC2" s="44"/>
      <c r="RBD2" s="44"/>
      <c r="RBF2" s="44"/>
      <c r="RBG2" s="44"/>
      <c r="RBH2" s="44"/>
      <c r="RBI2" s="44"/>
      <c r="RBJ2" s="44"/>
      <c r="RBK2" s="44"/>
      <c r="RBL2" s="44"/>
      <c r="RBN2" s="44"/>
      <c r="RBO2" s="44"/>
      <c r="RBP2" s="44"/>
      <c r="RBQ2" s="44"/>
      <c r="RBR2" s="44"/>
      <c r="RBS2" s="44"/>
      <c r="RBT2" s="44"/>
      <c r="RBV2" s="44"/>
      <c r="RBW2" s="44"/>
      <c r="RBX2" s="44"/>
      <c r="RBY2" s="44"/>
      <c r="RBZ2" s="44"/>
      <c r="RCA2" s="44"/>
      <c r="RCB2" s="44"/>
      <c r="RCD2" s="44"/>
      <c r="RCE2" s="44"/>
      <c r="RCF2" s="44"/>
      <c r="RCG2" s="44"/>
      <c r="RCH2" s="44"/>
      <c r="RCI2" s="44"/>
      <c r="RCJ2" s="44"/>
      <c r="RCL2" s="44"/>
      <c r="RCM2" s="44"/>
      <c r="RCN2" s="44"/>
      <c r="RCO2" s="44"/>
      <c r="RCP2" s="44"/>
      <c r="RCQ2" s="44"/>
      <c r="RCR2" s="44"/>
      <c r="RCT2" s="44"/>
      <c r="RCU2" s="44"/>
      <c r="RCV2" s="44"/>
      <c r="RCW2" s="44"/>
      <c r="RCX2" s="44"/>
      <c r="RCY2" s="44"/>
      <c r="RCZ2" s="44"/>
      <c r="RDB2" s="44"/>
      <c r="RDC2" s="44"/>
      <c r="RDD2" s="44"/>
      <c r="RDE2" s="44"/>
      <c r="RDF2" s="44"/>
      <c r="RDG2" s="44"/>
      <c r="RDH2" s="44"/>
      <c r="RDJ2" s="44"/>
      <c r="RDK2" s="44"/>
      <c r="RDL2" s="44"/>
      <c r="RDM2" s="44"/>
      <c r="RDN2" s="44"/>
      <c r="RDO2" s="44"/>
      <c r="RDP2" s="44"/>
      <c r="RDR2" s="44"/>
      <c r="RDS2" s="44"/>
      <c r="RDT2" s="44"/>
      <c r="RDU2" s="44"/>
      <c r="RDV2" s="44"/>
      <c r="RDW2" s="44"/>
      <c r="RDX2" s="44"/>
      <c r="RDZ2" s="44"/>
      <c r="REA2" s="44"/>
      <c r="REB2" s="44"/>
      <c r="REC2" s="44"/>
      <c r="RED2" s="44"/>
      <c r="REE2" s="44"/>
      <c r="REF2" s="44"/>
      <c r="REH2" s="44"/>
      <c r="REI2" s="44"/>
      <c r="REJ2" s="44"/>
      <c r="REK2" s="44"/>
      <c r="REL2" s="44"/>
      <c r="REM2" s="44"/>
      <c r="REN2" s="44"/>
      <c r="REP2" s="44"/>
      <c r="REQ2" s="44"/>
      <c r="RER2" s="44"/>
      <c r="RES2" s="44"/>
      <c r="RET2" s="44"/>
      <c r="REU2" s="44"/>
      <c r="REV2" s="44"/>
      <c r="REX2" s="44"/>
      <c r="REY2" s="44"/>
      <c r="REZ2" s="44"/>
      <c r="RFA2" s="44"/>
      <c r="RFB2" s="44"/>
      <c r="RFC2" s="44"/>
      <c r="RFD2" s="44"/>
      <c r="RFF2" s="44"/>
      <c r="RFG2" s="44"/>
      <c r="RFH2" s="44"/>
      <c r="RFI2" s="44"/>
      <c r="RFJ2" s="44"/>
      <c r="RFK2" s="44"/>
      <c r="RFL2" s="44"/>
      <c r="RFN2" s="44"/>
      <c r="RFO2" s="44"/>
      <c r="RFP2" s="44"/>
      <c r="RFQ2" s="44"/>
      <c r="RFR2" s="44"/>
      <c r="RFS2" s="44"/>
      <c r="RFT2" s="44"/>
      <c r="RFV2" s="44"/>
      <c r="RFW2" s="44"/>
      <c r="RFX2" s="44"/>
      <c r="RFY2" s="44"/>
      <c r="RFZ2" s="44"/>
      <c r="RGA2" s="44"/>
      <c r="RGB2" s="44"/>
      <c r="RGD2" s="44"/>
      <c r="RGE2" s="44"/>
      <c r="RGF2" s="44"/>
      <c r="RGG2" s="44"/>
      <c r="RGH2" s="44"/>
      <c r="RGI2" s="44"/>
      <c r="RGJ2" s="44"/>
      <c r="RGL2" s="44"/>
      <c r="RGM2" s="44"/>
      <c r="RGN2" s="44"/>
      <c r="RGO2" s="44"/>
      <c r="RGP2" s="44"/>
      <c r="RGQ2" s="44"/>
      <c r="RGR2" s="44"/>
      <c r="RGT2" s="44"/>
      <c r="RGU2" s="44"/>
      <c r="RGV2" s="44"/>
      <c r="RGW2" s="44"/>
      <c r="RGX2" s="44"/>
      <c r="RGY2" s="44"/>
      <c r="RGZ2" s="44"/>
      <c r="RHB2" s="44"/>
      <c r="RHC2" s="44"/>
      <c r="RHD2" s="44"/>
      <c r="RHE2" s="44"/>
      <c r="RHF2" s="44"/>
      <c r="RHG2" s="44"/>
      <c r="RHH2" s="44"/>
      <c r="RHJ2" s="44"/>
      <c r="RHK2" s="44"/>
      <c r="RHL2" s="44"/>
      <c r="RHM2" s="44"/>
      <c r="RHN2" s="44"/>
      <c r="RHO2" s="44"/>
      <c r="RHP2" s="44"/>
      <c r="RHR2" s="44"/>
      <c r="RHS2" s="44"/>
      <c r="RHT2" s="44"/>
      <c r="RHU2" s="44"/>
      <c r="RHV2" s="44"/>
      <c r="RHW2" s="44"/>
      <c r="RHX2" s="44"/>
      <c r="RHZ2" s="44"/>
      <c r="RIA2" s="44"/>
      <c r="RIB2" s="44"/>
      <c r="RIC2" s="44"/>
      <c r="RID2" s="44"/>
      <c r="RIE2" s="44"/>
      <c r="RIF2" s="44"/>
      <c r="RIH2" s="44"/>
      <c r="RII2" s="44"/>
      <c r="RIJ2" s="44"/>
      <c r="RIK2" s="44"/>
      <c r="RIL2" s="44"/>
      <c r="RIM2" s="44"/>
      <c r="RIN2" s="44"/>
      <c r="RIP2" s="44"/>
      <c r="RIQ2" s="44"/>
      <c r="RIR2" s="44"/>
      <c r="RIS2" s="44"/>
      <c r="RIT2" s="44"/>
      <c r="RIU2" s="44"/>
      <c r="RIV2" s="44"/>
      <c r="RIX2" s="44"/>
      <c r="RIY2" s="44"/>
      <c r="RIZ2" s="44"/>
      <c r="RJA2" s="44"/>
      <c r="RJB2" s="44"/>
      <c r="RJC2" s="44"/>
      <c r="RJD2" s="44"/>
      <c r="RJF2" s="44"/>
      <c r="RJG2" s="44"/>
      <c r="RJH2" s="44"/>
      <c r="RJI2" s="44"/>
      <c r="RJJ2" s="44"/>
      <c r="RJK2" s="44"/>
      <c r="RJL2" s="44"/>
      <c r="RJN2" s="44"/>
      <c r="RJO2" s="44"/>
      <c r="RJP2" s="44"/>
      <c r="RJQ2" s="44"/>
      <c r="RJR2" s="44"/>
      <c r="RJS2" s="44"/>
      <c r="RJT2" s="44"/>
      <c r="RJV2" s="44"/>
      <c r="RJW2" s="44"/>
      <c r="RJX2" s="44"/>
      <c r="RJY2" s="44"/>
      <c r="RJZ2" s="44"/>
      <c r="RKA2" s="44"/>
      <c r="RKB2" s="44"/>
      <c r="RKD2" s="44"/>
      <c r="RKE2" s="44"/>
      <c r="RKF2" s="44"/>
      <c r="RKG2" s="44"/>
      <c r="RKH2" s="44"/>
      <c r="RKI2" s="44"/>
      <c r="RKJ2" s="44"/>
      <c r="RKL2" s="44"/>
      <c r="RKM2" s="44"/>
      <c r="RKN2" s="44"/>
      <c r="RKO2" s="44"/>
      <c r="RKP2" s="44"/>
      <c r="RKQ2" s="44"/>
      <c r="RKR2" s="44"/>
      <c r="RKT2" s="44"/>
      <c r="RKU2" s="44"/>
      <c r="RKV2" s="44"/>
      <c r="RKW2" s="44"/>
      <c r="RKX2" s="44"/>
      <c r="RKY2" s="44"/>
      <c r="RKZ2" s="44"/>
      <c r="RLB2" s="44"/>
      <c r="RLC2" s="44"/>
      <c r="RLD2" s="44"/>
      <c r="RLE2" s="44"/>
      <c r="RLF2" s="44"/>
      <c r="RLG2" s="44"/>
      <c r="RLH2" s="44"/>
      <c r="RLJ2" s="44"/>
      <c r="RLK2" s="44"/>
      <c r="RLL2" s="44"/>
      <c r="RLM2" s="44"/>
      <c r="RLN2" s="44"/>
      <c r="RLO2" s="44"/>
      <c r="RLP2" s="44"/>
      <c r="RLR2" s="44"/>
      <c r="RLS2" s="44"/>
      <c r="RLT2" s="44"/>
      <c r="RLU2" s="44"/>
      <c r="RLV2" s="44"/>
      <c r="RLW2" s="44"/>
      <c r="RLX2" s="44"/>
      <c r="RLZ2" s="44"/>
      <c r="RMA2" s="44"/>
      <c r="RMB2" s="44"/>
      <c r="RMC2" s="44"/>
      <c r="RMD2" s="44"/>
      <c r="RME2" s="44"/>
      <c r="RMF2" s="44"/>
      <c r="RMH2" s="44"/>
      <c r="RMI2" s="44"/>
      <c r="RMJ2" s="44"/>
      <c r="RMK2" s="44"/>
      <c r="RML2" s="44"/>
      <c r="RMM2" s="44"/>
      <c r="RMN2" s="44"/>
      <c r="RMP2" s="44"/>
      <c r="RMQ2" s="44"/>
      <c r="RMR2" s="44"/>
      <c r="RMS2" s="44"/>
      <c r="RMT2" s="44"/>
      <c r="RMU2" s="44"/>
      <c r="RMV2" s="44"/>
      <c r="RMX2" s="44"/>
      <c r="RMY2" s="44"/>
      <c r="RMZ2" s="44"/>
      <c r="RNA2" s="44"/>
      <c r="RNB2" s="44"/>
      <c r="RNC2" s="44"/>
      <c r="RND2" s="44"/>
      <c r="RNF2" s="44"/>
      <c r="RNG2" s="44"/>
      <c r="RNH2" s="44"/>
      <c r="RNI2" s="44"/>
      <c r="RNJ2" s="44"/>
      <c r="RNK2" s="44"/>
      <c r="RNL2" s="44"/>
      <c r="RNN2" s="44"/>
      <c r="RNO2" s="44"/>
      <c r="RNP2" s="44"/>
      <c r="RNQ2" s="44"/>
      <c r="RNR2" s="44"/>
      <c r="RNS2" s="44"/>
      <c r="RNT2" s="44"/>
      <c r="RNV2" s="44"/>
      <c r="RNW2" s="44"/>
      <c r="RNX2" s="44"/>
      <c r="RNY2" s="44"/>
      <c r="RNZ2" s="44"/>
      <c r="ROA2" s="44"/>
      <c r="ROB2" s="44"/>
      <c r="ROD2" s="44"/>
      <c r="ROE2" s="44"/>
      <c r="ROF2" s="44"/>
      <c r="ROG2" s="44"/>
      <c r="ROH2" s="44"/>
      <c r="ROI2" s="44"/>
      <c r="ROJ2" s="44"/>
      <c r="ROL2" s="44"/>
      <c r="ROM2" s="44"/>
      <c r="RON2" s="44"/>
      <c r="ROO2" s="44"/>
      <c r="ROP2" s="44"/>
      <c r="ROQ2" s="44"/>
      <c r="ROR2" s="44"/>
      <c r="ROT2" s="44"/>
      <c r="ROU2" s="44"/>
      <c r="ROV2" s="44"/>
      <c r="ROW2" s="44"/>
      <c r="ROX2" s="44"/>
      <c r="ROY2" s="44"/>
      <c r="ROZ2" s="44"/>
      <c r="RPB2" s="44"/>
      <c r="RPC2" s="44"/>
      <c r="RPD2" s="44"/>
      <c r="RPE2" s="44"/>
      <c r="RPF2" s="44"/>
      <c r="RPG2" s="44"/>
      <c r="RPH2" s="44"/>
      <c r="RPJ2" s="44"/>
      <c r="RPK2" s="44"/>
      <c r="RPL2" s="44"/>
      <c r="RPM2" s="44"/>
      <c r="RPN2" s="44"/>
      <c r="RPO2" s="44"/>
      <c r="RPP2" s="44"/>
      <c r="RPR2" s="44"/>
      <c r="RPS2" s="44"/>
      <c r="RPT2" s="44"/>
      <c r="RPU2" s="44"/>
      <c r="RPV2" s="44"/>
      <c r="RPW2" s="44"/>
      <c r="RPX2" s="44"/>
      <c r="RPZ2" s="44"/>
      <c r="RQA2" s="44"/>
      <c r="RQB2" s="44"/>
      <c r="RQC2" s="44"/>
      <c r="RQD2" s="44"/>
      <c r="RQE2" s="44"/>
      <c r="RQF2" s="44"/>
      <c r="RQH2" s="44"/>
      <c r="RQI2" s="44"/>
      <c r="RQJ2" s="44"/>
      <c r="RQK2" s="44"/>
      <c r="RQL2" s="44"/>
      <c r="RQM2" s="44"/>
      <c r="RQN2" s="44"/>
      <c r="RQP2" s="44"/>
      <c r="RQQ2" s="44"/>
      <c r="RQR2" s="44"/>
      <c r="RQS2" s="44"/>
      <c r="RQT2" s="44"/>
      <c r="RQU2" s="44"/>
      <c r="RQV2" s="44"/>
      <c r="RQX2" s="44"/>
      <c r="RQY2" s="44"/>
      <c r="RQZ2" s="44"/>
      <c r="RRA2" s="44"/>
      <c r="RRB2" s="44"/>
      <c r="RRC2" s="44"/>
      <c r="RRD2" s="44"/>
      <c r="RRF2" s="44"/>
      <c r="RRG2" s="44"/>
      <c r="RRH2" s="44"/>
      <c r="RRI2" s="44"/>
      <c r="RRJ2" s="44"/>
      <c r="RRK2" s="44"/>
      <c r="RRL2" s="44"/>
      <c r="RRN2" s="44"/>
      <c r="RRO2" s="44"/>
      <c r="RRP2" s="44"/>
      <c r="RRQ2" s="44"/>
      <c r="RRR2" s="44"/>
      <c r="RRS2" s="44"/>
      <c r="RRT2" s="44"/>
      <c r="RRV2" s="44"/>
      <c r="RRW2" s="44"/>
      <c r="RRX2" s="44"/>
      <c r="RRY2" s="44"/>
      <c r="RRZ2" s="44"/>
      <c r="RSA2" s="44"/>
      <c r="RSB2" s="44"/>
      <c r="RSD2" s="44"/>
      <c r="RSE2" s="44"/>
      <c r="RSF2" s="44"/>
      <c r="RSG2" s="44"/>
      <c r="RSH2" s="44"/>
      <c r="RSI2" s="44"/>
      <c r="RSJ2" s="44"/>
      <c r="RSL2" s="44"/>
      <c r="RSM2" s="44"/>
      <c r="RSN2" s="44"/>
      <c r="RSO2" s="44"/>
      <c r="RSP2" s="44"/>
      <c r="RSQ2" s="44"/>
      <c r="RSR2" s="44"/>
      <c r="RST2" s="44"/>
      <c r="RSU2" s="44"/>
      <c r="RSV2" s="44"/>
      <c r="RSW2" s="44"/>
      <c r="RSX2" s="44"/>
      <c r="RSY2" s="44"/>
      <c r="RSZ2" s="44"/>
      <c r="RTB2" s="44"/>
      <c r="RTC2" s="44"/>
      <c r="RTD2" s="44"/>
      <c r="RTE2" s="44"/>
      <c r="RTF2" s="44"/>
      <c r="RTG2" s="44"/>
      <c r="RTH2" s="44"/>
      <c r="RTJ2" s="44"/>
      <c r="RTK2" s="44"/>
      <c r="RTL2" s="44"/>
      <c r="RTM2" s="44"/>
      <c r="RTN2" s="44"/>
      <c r="RTO2" s="44"/>
      <c r="RTP2" s="44"/>
      <c r="RTR2" s="44"/>
      <c r="RTS2" s="44"/>
      <c r="RTT2" s="44"/>
      <c r="RTU2" s="44"/>
      <c r="RTV2" s="44"/>
      <c r="RTW2" s="44"/>
      <c r="RTX2" s="44"/>
      <c r="RTZ2" s="44"/>
      <c r="RUA2" s="44"/>
      <c r="RUB2" s="44"/>
      <c r="RUC2" s="44"/>
      <c r="RUD2" s="44"/>
      <c r="RUE2" s="44"/>
      <c r="RUF2" s="44"/>
      <c r="RUH2" s="44"/>
      <c r="RUI2" s="44"/>
      <c r="RUJ2" s="44"/>
      <c r="RUK2" s="44"/>
      <c r="RUL2" s="44"/>
      <c r="RUM2" s="44"/>
      <c r="RUN2" s="44"/>
      <c r="RUP2" s="44"/>
      <c r="RUQ2" s="44"/>
      <c r="RUR2" s="44"/>
      <c r="RUS2" s="44"/>
      <c r="RUT2" s="44"/>
      <c r="RUU2" s="44"/>
      <c r="RUV2" s="44"/>
      <c r="RUX2" s="44"/>
      <c r="RUY2" s="44"/>
      <c r="RUZ2" s="44"/>
      <c r="RVA2" s="44"/>
      <c r="RVB2" s="44"/>
      <c r="RVC2" s="44"/>
      <c r="RVD2" s="44"/>
      <c r="RVF2" s="44"/>
      <c r="RVG2" s="44"/>
      <c r="RVH2" s="44"/>
      <c r="RVI2" s="44"/>
      <c r="RVJ2" s="44"/>
      <c r="RVK2" s="44"/>
      <c r="RVL2" s="44"/>
      <c r="RVN2" s="44"/>
      <c r="RVO2" s="44"/>
      <c r="RVP2" s="44"/>
      <c r="RVQ2" s="44"/>
      <c r="RVR2" s="44"/>
      <c r="RVS2" s="44"/>
      <c r="RVT2" s="44"/>
      <c r="RVV2" s="44"/>
      <c r="RVW2" s="44"/>
      <c r="RVX2" s="44"/>
      <c r="RVY2" s="44"/>
      <c r="RVZ2" s="44"/>
      <c r="RWA2" s="44"/>
      <c r="RWB2" s="44"/>
      <c r="RWD2" s="44"/>
      <c r="RWE2" s="44"/>
      <c r="RWF2" s="44"/>
      <c r="RWG2" s="44"/>
      <c r="RWH2" s="44"/>
      <c r="RWI2" s="44"/>
      <c r="RWJ2" s="44"/>
      <c r="RWL2" s="44"/>
      <c r="RWM2" s="44"/>
      <c r="RWN2" s="44"/>
      <c r="RWO2" s="44"/>
      <c r="RWP2" s="44"/>
      <c r="RWQ2" s="44"/>
      <c r="RWR2" s="44"/>
      <c r="RWT2" s="44"/>
      <c r="RWU2" s="44"/>
      <c r="RWV2" s="44"/>
      <c r="RWW2" s="44"/>
      <c r="RWX2" s="44"/>
      <c r="RWY2" s="44"/>
      <c r="RWZ2" s="44"/>
      <c r="RXB2" s="44"/>
      <c r="RXC2" s="44"/>
      <c r="RXD2" s="44"/>
      <c r="RXE2" s="44"/>
      <c r="RXF2" s="44"/>
      <c r="RXG2" s="44"/>
      <c r="RXH2" s="44"/>
      <c r="RXJ2" s="44"/>
      <c r="RXK2" s="44"/>
      <c r="RXL2" s="44"/>
      <c r="RXM2" s="44"/>
      <c r="RXN2" s="44"/>
      <c r="RXO2" s="44"/>
      <c r="RXP2" s="44"/>
      <c r="RXR2" s="44"/>
      <c r="RXS2" s="44"/>
      <c r="RXT2" s="44"/>
      <c r="RXU2" s="44"/>
      <c r="RXV2" s="44"/>
      <c r="RXW2" s="44"/>
      <c r="RXX2" s="44"/>
      <c r="RXZ2" s="44"/>
      <c r="RYA2" s="44"/>
      <c r="RYB2" s="44"/>
      <c r="RYC2" s="44"/>
      <c r="RYD2" s="44"/>
      <c r="RYE2" s="44"/>
      <c r="RYF2" s="44"/>
      <c r="RYH2" s="44"/>
      <c r="RYI2" s="44"/>
      <c r="RYJ2" s="44"/>
      <c r="RYK2" s="44"/>
      <c r="RYL2" s="44"/>
      <c r="RYM2" s="44"/>
      <c r="RYN2" s="44"/>
      <c r="RYP2" s="44"/>
      <c r="RYQ2" s="44"/>
      <c r="RYR2" s="44"/>
      <c r="RYS2" s="44"/>
      <c r="RYT2" s="44"/>
      <c r="RYU2" s="44"/>
      <c r="RYV2" s="44"/>
      <c r="RYX2" s="44"/>
      <c r="RYY2" s="44"/>
      <c r="RYZ2" s="44"/>
      <c r="RZA2" s="44"/>
      <c r="RZB2" s="44"/>
      <c r="RZC2" s="44"/>
      <c r="RZD2" s="44"/>
      <c r="RZF2" s="44"/>
      <c r="RZG2" s="44"/>
      <c r="RZH2" s="44"/>
      <c r="RZI2" s="44"/>
      <c r="RZJ2" s="44"/>
      <c r="RZK2" s="44"/>
      <c r="RZL2" s="44"/>
      <c r="RZN2" s="44"/>
      <c r="RZO2" s="44"/>
      <c r="RZP2" s="44"/>
      <c r="RZQ2" s="44"/>
      <c r="RZR2" s="44"/>
      <c r="RZS2" s="44"/>
      <c r="RZT2" s="44"/>
      <c r="RZV2" s="44"/>
      <c r="RZW2" s="44"/>
      <c r="RZX2" s="44"/>
      <c r="RZY2" s="44"/>
      <c r="RZZ2" s="44"/>
      <c r="SAA2" s="44"/>
      <c r="SAB2" s="44"/>
      <c r="SAD2" s="44"/>
      <c r="SAE2" s="44"/>
      <c r="SAF2" s="44"/>
      <c r="SAG2" s="44"/>
      <c r="SAH2" s="44"/>
      <c r="SAI2" s="44"/>
      <c r="SAJ2" s="44"/>
      <c r="SAL2" s="44"/>
      <c r="SAM2" s="44"/>
      <c r="SAN2" s="44"/>
      <c r="SAO2" s="44"/>
      <c r="SAP2" s="44"/>
      <c r="SAQ2" s="44"/>
      <c r="SAR2" s="44"/>
      <c r="SAT2" s="44"/>
      <c r="SAU2" s="44"/>
      <c r="SAV2" s="44"/>
      <c r="SAW2" s="44"/>
      <c r="SAX2" s="44"/>
      <c r="SAY2" s="44"/>
      <c r="SAZ2" s="44"/>
      <c r="SBB2" s="44"/>
      <c r="SBC2" s="44"/>
      <c r="SBD2" s="44"/>
      <c r="SBE2" s="44"/>
      <c r="SBF2" s="44"/>
      <c r="SBG2" s="44"/>
      <c r="SBH2" s="44"/>
      <c r="SBJ2" s="44"/>
      <c r="SBK2" s="44"/>
      <c r="SBL2" s="44"/>
      <c r="SBM2" s="44"/>
      <c r="SBN2" s="44"/>
      <c r="SBO2" s="44"/>
      <c r="SBP2" s="44"/>
      <c r="SBR2" s="44"/>
      <c r="SBS2" s="44"/>
      <c r="SBT2" s="44"/>
      <c r="SBU2" s="44"/>
      <c r="SBV2" s="44"/>
      <c r="SBW2" s="44"/>
      <c r="SBX2" s="44"/>
      <c r="SBZ2" s="44"/>
      <c r="SCA2" s="44"/>
      <c r="SCB2" s="44"/>
      <c r="SCC2" s="44"/>
      <c r="SCD2" s="44"/>
      <c r="SCE2" s="44"/>
      <c r="SCF2" s="44"/>
      <c r="SCH2" s="44"/>
      <c r="SCI2" s="44"/>
      <c r="SCJ2" s="44"/>
      <c r="SCK2" s="44"/>
      <c r="SCL2" s="44"/>
      <c r="SCM2" s="44"/>
      <c r="SCN2" s="44"/>
      <c r="SCP2" s="44"/>
      <c r="SCQ2" s="44"/>
      <c r="SCR2" s="44"/>
      <c r="SCS2" s="44"/>
      <c r="SCT2" s="44"/>
      <c r="SCU2" s="44"/>
      <c r="SCV2" s="44"/>
      <c r="SCX2" s="44"/>
      <c r="SCY2" s="44"/>
      <c r="SCZ2" s="44"/>
      <c r="SDA2" s="44"/>
      <c r="SDB2" s="44"/>
      <c r="SDC2" s="44"/>
      <c r="SDD2" s="44"/>
      <c r="SDF2" s="44"/>
      <c r="SDG2" s="44"/>
      <c r="SDH2" s="44"/>
      <c r="SDI2" s="44"/>
      <c r="SDJ2" s="44"/>
      <c r="SDK2" s="44"/>
      <c r="SDL2" s="44"/>
      <c r="SDN2" s="44"/>
      <c r="SDO2" s="44"/>
      <c r="SDP2" s="44"/>
      <c r="SDQ2" s="44"/>
      <c r="SDR2" s="44"/>
      <c r="SDS2" s="44"/>
      <c r="SDT2" s="44"/>
      <c r="SDV2" s="44"/>
      <c r="SDW2" s="44"/>
      <c r="SDX2" s="44"/>
      <c r="SDY2" s="44"/>
      <c r="SDZ2" s="44"/>
      <c r="SEA2" s="44"/>
      <c r="SEB2" s="44"/>
      <c r="SED2" s="44"/>
      <c r="SEE2" s="44"/>
      <c r="SEF2" s="44"/>
      <c r="SEG2" s="44"/>
      <c r="SEH2" s="44"/>
      <c r="SEI2" s="44"/>
      <c r="SEJ2" s="44"/>
      <c r="SEL2" s="44"/>
      <c r="SEM2" s="44"/>
      <c r="SEN2" s="44"/>
      <c r="SEO2" s="44"/>
      <c r="SEP2" s="44"/>
      <c r="SEQ2" s="44"/>
      <c r="SER2" s="44"/>
      <c r="SET2" s="44"/>
      <c r="SEU2" s="44"/>
      <c r="SEV2" s="44"/>
      <c r="SEW2" s="44"/>
      <c r="SEX2" s="44"/>
      <c r="SEY2" s="44"/>
      <c r="SEZ2" s="44"/>
      <c r="SFB2" s="44"/>
      <c r="SFC2" s="44"/>
      <c r="SFD2" s="44"/>
      <c r="SFE2" s="44"/>
      <c r="SFF2" s="44"/>
      <c r="SFG2" s="44"/>
      <c r="SFH2" s="44"/>
      <c r="SFJ2" s="44"/>
      <c r="SFK2" s="44"/>
      <c r="SFL2" s="44"/>
      <c r="SFM2" s="44"/>
      <c r="SFN2" s="44"/>
      <c r="SFO2" s="44"/>
      <c r="SFP2" s="44"/>
      <c r="SFR2" s="44"/>
      <c r="SFS2" s="44"/>
      <c r="SFT2" s="44"/>
      <c r="SFU2" s="44"/>
      <c r="SFV2" s="44"/>
      <c r="SFW2" s="44"/>
      <c r="SFX2" s="44"/>
      <c r="SFZ2" s="44"/>
      <c r="SGA2" s="44"/>
      <c r="SGB2" s="44"/>
      <c r="SGC2" s="44"/>
      <c r="SGD2" s="44"/>
      <c r="SGE2" s="44"/>
      <c r="SGF2" s="44"/>
      <c r="SGH2" s="44"/>
      <c r="SGI2" s="44"/>
      <c r="SGJ2" s="44"/>
      <c r="SGK2" s="44"/>
      <c r="SGL2" s="44"/>
      <c r="SGM2" s="44"/>
      <c r="SGN2" s="44"/>
      <c r="SGP2" s="44"/>
      <c r="SGQ2" s="44"/>
      <c r="SGR2" s="44"/>
      <c r="SGS2" s="44"/>
      <c r="SGT2" s="44"/>
      <c r="SGU2" s="44"/>
      <c r="SGV2" s="44"/>
      <c r="SGX2" s="44"/>
      <c r="SGY2" s="44"/>
      <c r="SGZ2" s="44"/>
      <c r="SHA2" s="44"/>
      <c r="SHB2" s="44"/>
      <c r="SHC2" s="44"/>
      <c r="SHD2" s="44"/>
      <c r="SHF2" s="44"/>
      <c r="SHG2" s="44"/>
      <c r="SHH2" s="44"/>
      <c r="SHI2" s="44"/>
      <c r="SHJ2" s="44"/>
      <c r="SHK2" s="44"/>
      <c r="SHL2" s="44"/>
      <c r="SHN2" s="44"/>
      <c r="SHO2" s="44"/>
      <c r="SHP2" s="44"/>
      <c r="SHQ2" s="44"/>
      <c r="SHR2" s="44"/>
      <c r="SHS2" s="44"/>
      <c r="SHT2" s="44"/>
      <c r="SHV2" s="44"/>
      <c r="SHW2" s="44"/>
      <c r="SHX2" s="44"/>
      <c r="SHY2" s="44"/>
      <c r="SHZ2" s="44"/>
      <c r="SIA2" s="44"/>
      <c r="SIB2" s="44"/>
      <c r="SID2" s="44"/>
      <c r="SIE2" s="44"/>
      <c r="SIF2" s="44"/>
      <c r="SIG2" s="44"/>
      <c r="SIH2" s="44"/>
      <c r="SII2" s="44"/>
      <c r="SIJ2" s="44"/>
      <c r="SIL2" s="44"/>
      <c r="SIM2" s="44"/>
      <c r="SIN2" s="44"/>
      <c r="SIO2" s="44"/>
      <c r="SIP2" s="44"/>
      <c r="SIQ2" s="44"/>
      <c r="SIR2" s="44"/>
      <c r="SIT2" s="44"/>
      <c r="SIU2" s="44"/>
      <c r="SIV2" s="44"/>
      <c r="SIW2" s="44"/>
      <c r="SIX2" s="44"/>
      <c r="SIY2" s="44"/>
      <c r="SIZ2" s="44"/>
      <c r="SJB2" s="44"/>
      <c r="SJC2" s="44"/>
      <c r="SJD2" s="44"/>
      <c r="SJE2" s="44"/>
      <c r="SJF2" s="44"/>
      <c r="SJG2" s="44"/>
      <c r="SJH2" s="44"/>
      <c r="SJJ2" s="44"/>
      <c r="SJK2" s="44"/>
      <c r="SJL2" s="44"/>
      <c r="SJM2" s="44"/>
      <c r="SJN2" s="44"/>
      <c r="SJO2" s="44"/>
      <c r="SJP2" s="44"/>
      <c r="SJR2" s="44"/>
      <c r="SJS2" s="44"/>
      <c r="SJT2" s="44"/>
      <c r="SJU2" s="44"/>
      <c r="SJV2" s="44"/>
      <c r="SJW2" s="44"/>
      <c r="SJX2" s="44"/>
      <c r="SJZ2" s="44"/>
      <c r="SKA2" s="44"/>
      <c r="SKB2" s="44"/>
      <c r="SKC2" s="44"/>
      <c r="SKD2" s="44"/>
      <c r="SKE2" s="44"/>
      <c r="SKF2" s="44"/>
      <c r="SKH2" s="44"/>
      <c r="SKI2" s="44"/>
      <c r="SKJ2" s="44"/>
      <c r="SKK2" s="44"/>
      <c r="SKL2" s="44"/>
      <c r="SKM2" s="44"/>
      <c r="SKN2" s="44"/>
      <c r="SKP2" s="44"/>
      <c r="SKQ2" s="44"/>
      <c r="SKR2" s="44"/>
      <c r="SKS2" s="44"/>
      <c r="SKT2" s="44"/>
      <c r="SKU2" s="44"/>
      <c r="SKV2" s="44"/>
      <c r="SKX2" s="44"/>
      <c r="SKY2" s="44"/>
      <c r="SKZ2" s="44"/>
      <c r="SLA2" s="44"/>
      <c r="SLB2" s="44"/>
      <c r="SLC2" s="44"/>
      <c r="SLD2" s="44"/>
      <c r="SLF2" s="44"/>
      <c r="SLG2" s="44"/>
      <c r="SLH2" s="44"/>
      <c r="SLI2" s="44"/>
      <c r="SLJ2" s="44"/>
      <c r="SLK2" s="44"/>
      <c r="SLL2" s="44"/>
      <c r="SLN2" s="44"/>
      <c r="SLO2" s="44"/>
      <c r="SLP2" s="44"/>
      <c r="SLQ2" s="44"/>
      <c r="SLR2" s="44"/>
      <c r="SLS2" s="44"/>
      <c r="SLT2" s="44"/>
      <c r="SLV2" s="44"/>
      <c r="SLW2" s="44"/>
      <c r="SLX2" s="44"/>
      <c r="SLY2" s="44"/>
      <c r="SLZ2" s="44"/>
      <c r="SMA2" s="44"/>
      <c r="SMB2" s="44"/>
      <c r="SMD2" s="44"/>
      <c r="SME2" s="44"/>
      <c r="SMF2" s="44"/>
      <c r="SMG2" s="44"/>
      <c r="SMH2" s="44"/>
      <c r="SMI2" s="44"/>
      <c r="SMJ2" s="44"/>
      <c r="SML2" s="44"/>
      <c r="SMM2" s="44"/>
      <c r="SMN2" s="44"/>
      <c r="SMO2" s="44"/>
      <c r="SMP2" s="44"/>
      <c r="SMQ2" s="44"/>
      <c r="SMR2" s="44"/>
      <c r="SMT2" s="44"/>
      <c r="SMU2" s="44"/>
      <c r="SMV2" s="44"/>
      <c r="SMW2" s="44"/>
      <c r="SMX2" s="44"/>
      <c r="SMY2" s="44"/>
      <c r="SMZ2" s="44"/>
      <c r="SNB2" s="44"/>
      <c r="SNC2" s="44"/>
      <c r="SND2" s="44"/>
      <c r="SNE2" s="44"/>
      <c r="SNF2" s="44"/>
      <c r="SNG2" s="44"/>
      <c r="SNH2" s="44"/>
      <c r="SNJ2" s="44"/>
      <c r="SNK2" s="44"/>
      <c r="SNL2" s="44"/>
      <c r="SNM2" s="44"/>
      <c r="SNN2" s="44"/>
      <c r="SNO2" s="44"/>
      <c r="SNP2" s="44"/>
      <c r="SNR2" s="44"/>
      <c r="SNS2" s="44"/>
      <c r="SNT2" s="44"/>
      <c r="SNU2" s="44"/>
      <c r="SNV2" s="44"/>
      <c r="SNW2" s="44"/>
      <c r="SNX2" s="44"/>
      <c r="SNZ2" s="44"/>
      <c r="SOA2" s="44"/>
      <c r="SOB2" s="44"/>
      <c r="SOC2" s="44"/>
      <c r="SOD2" s="44"/>
      <c r="SOE2" s="44"/>
      <c r="SOF2" s="44"/>
      <c r="SOH2" s="44"/>
      <c r="SOI2" s="44"/>
      <c r="SOJ2" s="44"/>
      <c r="SOK2" s="44"/>
      <c r="SOL2" s="44"/>
      <c r="SOM2" s="44"/>
      <c r="SON2" s="44"/>
      <c r="SOP2" s="44"/>
      <c r="SOQ2" s="44"/>
      <c r="SOR2" s="44"/>
      <c r="SOS2" s="44"/>
      <c r="SOT2" s="44"/>
      <c r="SOU2" s="44"/>
      <c r="SOV2" s="44"/>
      <c r="SOX2" s="44"/>
      <c r="SOY2" s="44"/>
      <c r="SOZ2" s="44"/>
      <c r="SPA2" s="44"/>
      <c r="SPB2" s="44"/>
      <c r="SPC2" s="44"/>
      <c r="SPD2" s="44"/>
      <c r="SPF2" s="44"/>
      <c r="SPG2" s="44"/>
      <c r="SPH2" s="44"/>
      <c r="SPI2" s="44"/>
      <c r="SPJ2" s="44"/>
      <c r="SPK2" s="44"/>
      <c r="SPL2" s="44"/>
      <c r="SPN2" s="44"/>
      <c r="SPO2" s="44"/>
      <c r="SPP2" s="44"/>
      <c r="SPQ2" s="44"/>
      <c r="SPR2" s="44"/>
      <c r="SPS2" s="44"/>
      <c r="SPT2" s="44"/>
      <c r="SPV2" s="44"/>
      <c r="SPW2" s="44"/>
      <c r="SPX2" s="44"/>
      <c r="SPY2" s="44"/>
      <c r="SPZ2" s="44"/>
      <c r="SQA2" s="44"/>
      <c r="SQB2" s="44"/>
      <c r="SQD2" s="44"/>
      <c r="SQE2" s="44"/>
      <c r="SQF2" s="44"/>
      <c r="SQG2" s="44"/>
      <c r="SQH2" s="44"/>
      <c r="SQI2" s="44"/>
      <c r="SQJ2" s="44"/>
      <c r="SQL2" s="44"/>
      <c r="SQM2" s="44"/>
      <c r="SQN2" s="44"/>
      <c r="SQO2" s="44"/>
      <c r="SQP2" s="44"/>
      <c r="SQQ2" s="44"/>
      <c r="SQR2" s="44"/>
      <c r="SQT2" s="44"/>
      <c r="SQU2" s="44"/>
      <c r="SQV2" s="44"/>
      <c r="SQW2" s="44"/>
      <c r="SQX2" s="44"/>
      <c r="SQY2" s="44"/>
      <c r="SQZ2" s="44"/>
      <c r="SRB2" s="44"/>
      <c r="SRC2" s="44"/>
      <c r="SRD2" s="44"/>
      <c r="SRE2" s="44"/>
      <c r="SRF2" s="44"/>
      <c r="SRG2" s="44"/>
      <c r="SRH2" s="44"/>
      <c r="SRJ2" s="44"/>
      <c r="SRK2" s="44"/>
      <c r="SRL2" s="44"/>
      <c r="SRM2" s="44"/>
      <c r="SRN2" s="44"/>
      <c r="SRO2" s="44"/>
      <c r="SRP2" s="44"/>
      <c r="SRR2" s="44"/>
      <c r="SRS2" s="44"/>
      <c r="SRT2" s="44"/>
      <c r="SRU2" s="44"/>
      <c r="SRV2" s="44"/>
      <c r="SRW2" s="44"/>
      <c r="SRX2" s="44"/>
      <c r="SRZ2" s="44"/>
      <c r="SSA2" s="44"/>
      <c r="SSB2" s="44"/>
      <c r="SSC2" s="44"/>
      <c r="SSD2" s="44"/>
      <c r="SSE2" s="44"/>
      <c r="SSF2" s="44"/>
      <c r="SSH2" s="44"/>
      <c r="SSI2" s="44"/>
      <c r="SSJ2" s="44"/>
      <c r="SSK2" s="44"/>
      <c r="SSL2" s="44"/>
      <c r="SSM2" s="44"/>
      <c r="SSN2" s="44"/>
      <c r="SSP2" s="44"/>
      <c r="SSQ2" s="44"/>
      <c r="SSR2" s="44"/>
      <c r="SSS2" s="44"/>
      <c r="SST2" s="44"/>
      <c r="SSU2" s="44"/>
      <c r="SSV2" s="44"/>
      <c r="SSX2" s="44"/>
      <c r="SSY2" s="44"/>
      <c r="SSZ2" s="44"/>
      <c r="STA2" s="44"/>
      <c r="STB2" s="44"/>
      <c r="STC2" s="44"/>
      <c r="STD2" s="44"/>
      <c r="STF2" s="44"/>
      <c r="STG2" s="44"/>
      <c r="STH2" s="44"/>
      <c r="STI2" s="44"/>
      <c r="STJ2" s="44"/>
      <c r="STK2" s="44"/>
      <c r="STL2" s="44"/>
      <c r="STN2" s="44"/>
      <c r="STO2" s="44"/>
      <c r="STP2" s="44"/>
      <c r="STQ2" s="44"/>
      <c r="STR2" s="44"/>
      <c r="STS2" s="44"/>
      <c r="STT2" s="44"/>
      <c r="STV2" s="44"/>
      <c r="STW2" s="44"/>
      <c r="STX2" s="44"/>
      <c r="STY2" s="44"/>
      <c r="STZ2" s="44"/>
      <c r="SUA2" s="44"/>
      <c r="SUB2" s="44"/>
      <c r="SUD2" s="44"/>
      <c r="SUE2" s="44"/>
      <c r="SUF2" s="44"/>
      <c r="SUG2" s="44"/>
      <c r="SUH2" s="44"/>
      <c r="SUI2" s="44"/>
      <c r="SUJ2" s="44"/>
      <c r="SUL2" s="44"/>
      <c r="SUM2" s="44"/>
      <c r="SUN2" s="44"/>
      <c r="SUO2" s="44"/>
      <c r="SUP2" s="44"/>
      <c r="SUQ2" s="44"/>
      <c r="SUR2" s="44"/>
      <c r="SUT2" s="44"/>
      <c r="SUU2" s="44"/>
      <c r="SUV2" s="44"/>
      <c r="SUW2" s="44"/>
      <c r="SUX2" s="44"/>
      <c r="SUY2" s="44"/>
      <c r="SUZ2" s="44"/>
      <c r="SVB2" s="44"/>
      <c r="SVC2" s="44"/>
      <c r="SVD2" s="44"/>
      <c r="SVE2" s="44"/>
      <c r="SVF2" s="44"/>
      <c r="SVG2" s="44"/>
      <c r="SVH2" s="44"/>
      <c r="SVJ2" s="44"/>
      <c r="SVK2" s="44"/>
      <c r="SVL2" s="44"/>
      <c r="SVM2" s="44"/>
      <c r="SVN2" s="44"/>
      <c r="SVO2" s="44"/>
      <c r="SVP2" s="44"/>
      <c r="SVR2" s="44"/>
      <c r="SVS2" s="44"/>
      <c r="SVT2" s="44"/>
      <c r="SVU2" s="44"/>
      <c r="SVV2" s="44"/>
      <c r="SVW2" s="44"/>
      <c r="SVX2" s="44"/>
      <c r="SVZ2" s="44"/>
      <c r="SWA2" s="44"/>
      <c r="SWB2" s="44"/>
      <c r="SWC2" s="44"/>
      <c r="SWD2" s="44"/>
      <c r="SWE2" s="44"/>
      <c r="SWF2" s="44"/>
      <c r="SWH2" s="44"/>
      <c r="SWI2" s="44"/>
      <c r="SWJ2" s="44"/>
      <c r="SWK2" s="44"/>
      <c r="SWL2" s="44"/>
      <c r="SWM2" s="44"/>
      <c r="SWN2" s="44"/>
      <c r="SWP2" s="44"/>
      <c r="SWQ2" s="44"/>
      <c r="SWR2" s="44"/>
      <c r="SWS2" s="44"/>
      <c r="SWT2" s="44"/>
      <c r="SWU2" s="44"/>
      <c r="SWV2" s="44"/>
      <c r="SWX2" s="44"/>
      <c r="SWY2" s="44"/>
      <c r="SWZ2" s="44"/>
      <c r="SXA2" s="44"/>
      <c r="SXB2" s="44"/>
      <c r="SXC2" s="44"/>
      <c r="SXD2" s="44"/>
      <c r="SXF2" s="44"/>
      <c r="SXG2" s="44"/>
      <c r="SXH2" s="44"/>
      <c r="SXI2" s="44"/>
      <c r="SXJ2" s="44"/>
      <c r="SXK2" s="44"/>
      <c r="SXL2" s="44"/>
      <c r="SXN2" s="44"/>
      <c r="SXO2" s="44"/>
      <c r="SXP2" s="44"/>
      <c r="SXQ2" s="44"/>
      <c r="SXR2" s="44"/>
      <c r="SXS2" s="44"/>
      <c r="SXT2" s="44"/>
      <c r="SXV2" s="44"/>
      <c r="SXW2" s="44"/>
      <c r="SXX2" s="44"/>
      <c r="SXY2" s="44"/>
      <c r="SXZ2" s="44"/>
      <c r="SYA2" s="44"/>
      <c r="SYB2" s="44"/>
      <c r="SYD2" s="44"/>
      <c r="SYE2" s="44"/>
      <c r="SYF2" s="44"/>
      <c r="SYG2" s="44"/>
      <c r="SYH2" s="44"/>
      <c r="SYI2" s="44"/>
      <c r="SYJ2" s="44"/>
      <c r="SYL2" s="44"/>
      <c r="SYM2" s="44"/>
      <c r="SYN2" s="44"/>
      <c r="SYO2" s="44"/>
      <c r="SYP2" s="44"/>
      <c r="SYQ2" s="44"/>
      <c r="SYR2" s="44"/>
      <c r="SYT2" s="44"/>
      <c r="SYU2" s="44"/>
      <c r="SYV2" s="44"/>
      <c r="SYW2" s="44"/>
      <c r="SYX2" s="44"/>
      <c r="SYY2" s="44"/>
      <c r="SYZ2" s="44"/>
      <c r="SZB2" s="44"/>
      <c r="SZC2" s="44"/>
      <c r="SZD2" s="44"/>
      <c r="SZE2" s="44"/>
      <c r="SZF2" s="44"/>
      <c r="SZG2" s="44"/>
      <c r="SZH2" s="44"/>
      <c r="SZJ2" s="44"/>
      <c r="SZK2" s="44"/>
      <c r="SZL2" s="44"/>
      <c r="SZM2" s="44"/>
      <c r="SZN2" s="44"/>
      <c r="SZO2" s="44"/>
      <c r="SZP2" s="44"/>
      <c r="SZR2" s="44"/>
      <c r="SZS2" s="44"/>
      <c r="SZT2" s="44"/>
      <c r="SZU2" s="44"/>
      <c r="SZV2" s="44"/>
      <c r="SZW2" s="44"/>
      <c r="SZX2" s="44"/>
      <c r="SZZ2" s="44"/>
      <c r="TAA2" s="44"/>
      <c r="TAB2" s="44"/>
      <c r="TAC2" s="44"/>
      <c r="TAD2" s="44"/>
      <c r="TAE2" s="44"/>
      <c r="TAF2" s="44"/>
      <c r="TAH2" s="44"/>
      <c r="TAI2" s="44"/>
      <c r="TAJ2" s="44"/>
      <c r="TAK2" s="44"/>
      <c r="TAL2" s="44"/>
      <c r="TAM2" s="44"/>
      <c r="TAN2" s="44"/>
      <c r="TAP2" s="44"/>
      <c r="TAQ2" s="44"/>
      <c r="TAR2" s="44"/>
      <c r="TAS2" s="44"/>
      <c r="TAT2" s="44"/>
      <c r="TAU2" s="44"/>
      <c r="TAV2" s="44"/>
      <c r="TAX2" s="44"/>
      <c r="TAY2" s="44"/>
      <c r="TAZ2" s="44"/>
      <c r="TBA2" s="44"/>
      <c r="TBB2" s="44"/>
      <c r="TBC2" s="44"/>
      <c r="TBD2" s="44"/>
      <c r="TBF2" s="44"/>
      <c r="TBG2" s="44"/>
      <c r="TBH2" s="44"/>
      <c r="TBI2" s="44"/>
      <c r="TBJ2" s="44"/>
      <c r="TBK2" s="44"/>
      <c r="TBL2" s="44"/>
      <c r="TBN2" s="44"/>
      <c r="TBO2" s="44"/>
      <c r="TBP2" s="44"/>
      <c r="TBQ2" s="44"/>
      <c r="TBR2" s="44"/>
      <c r="TBS2" s="44"/>
      <c r="TBT2" s="44"/>
      <c r="TBV2" s="44"/>
      <c r="TBW2" s="44"/>
      <c r="TBX2" s="44"/>
      <c r="TBY2" s="44"/>
      <c r="TBZ2" s="44"/>
      <c r="TCA2" s="44"/>
      <c r="TCB2" s="44"/>
      <c r="TCD2" s="44"/>
      <c r="TCE2" s="44"/>
      <c r="TCF2" s="44"/>
      <c r="TCG2" s="44"/>
      <c r="TCH2" s="44"/>
      <c r="TCI2" s="44"/>
      <c r="TCJ2" s="44"/>
      <c r="TCL2" s="44"/>
      <c r="TCM2" s="44"/>
      <c r="TCN2" s="44"/>
      <c r="TCO2" s="44"/>
      <c r="TCP2" s="44"/>
      <c r="TCQ2" s="44"/>
      <c r="TCR2" s="44"/>
      <c r="TCT2" s="44"/>
      <c r="TCU2" s="44"/>
      <c r="TCV2" s="44"/>
      <c r="TCW2" s="44"/>
      <c r="TCX2" s="44"/>
      <c r="TCY2" s="44"/>
      <c r="TCZ2" s="44"/>
      <c r="TDB2" s="44"/>
      <c r="TDC2" s="44"/>
      <c r="TDD2" s="44"/>
      <c r="TDE2" s="44"/>
      <c r="TDF2" s="44"/>
      <c r="TDG2" s="44"/>
      <c r="TDH2" s="44"/>
      <c r="TDJ2" s="44"/>
      <c r="TDK2" s="44"/>
      <c r="TDL2" s="44"/>
      <c r="TDM2" s="44"/>
      <c r="TDN2" s="44"/>
      <c r="TDO2" s="44"/>
      <c r="TDP2" s="44"/>
      <c r="TDR2" s="44"/>
      <c r="TDS2" s="44"/>
      <c r="TDT2" s="44"/>
      <c r="TDU2" s="44"/>
      <c r="TDV2" s="44"/>
      <c r="TDW2" s="44"/>
      <c r="TDX2" s="44"/>
      <c r="TDZ2" s="44"/>
      <c r="TEA2" s="44"/>
      <c r="TEB2" s="44"/>
      <c r="TEC2" s="44"/>
      <c r="TED2" s="44"/>
      <c r="TEE2" s="44"/>
      <c r="TEF2" s="44"/>
      <c r="TEH2" s="44"/>
      <c r="TEI2" s="44"/>
      <c r="TEJ2" s="44"/>
      <c r="TEK2" s="44"/>
      <c r="TEL2" s="44"/>
      <c r="TEM2" s="44"/>
      <c r="TEN2" s="44"/>
      <c r="TEP2" s="44"/>
      <c r="TEQ2" s="44"/>
      <c r="TER2" s="44"/>
      <c r="TES2" s="44"/>
      <c r="TET2" s="44"/>
      <c r="TEU2" s="44"/>
      <c r="TEV2" s="44"/>
      <c r="TEX2" s="44"/>
      <c r="TEY2" s="44"/>
      <c r="TEZ2" s="44"/>
      <c r="TFA2" s="44"/>
      <c r="TFB2" s="44"/>
      <c r="TFC2" s="44"/>
      <c r="TFD2" s="44"/>
      <c r="TFF2" s="44"/>
      <c r="TFG2" s="44"/>
      <c r="TFH2" s="44"/>
      <c r="TFI2" s="44"/>
      <c r="TFJ2" s="44"/>
      <c r="TFK2" s="44"/>
      <c r="TFL2" s="44"/>
      <c r="TFN2" s="44"/>
      <c r="TFO2" s="44"/>
      <c r="TFP2" s="44"/>
      <c r="TFQ2" s="44"/>
      <c r="TFR2" s="44"/>
      <c r="TFS2" s="44"/>
      <c r="TFT2" s="44"/>
      <c r="TFV2" s="44"/>
      <c r="TFW2" s="44"/>
      <c r="TFX2" s="44"/>
      <c r="TFY2" s="44"/>
      <c r="TFZ2" s="44"/>
      <c r="TGA2" s="44"/>
      <c r="TGB2" s="44"/>
      <c r="TGD2" s="44"/>
      <c r="TGE2" s="44"/>
      <c r="TGF2" s="44"/>
      <c r="TGG2" s="44"/>
      <c r="TGH2" s="44"/>
      <c r="TGI2" s="44"/>
      <c r="TGJ2" s="44"/>
      <c r="TGL2" s="44"/>
      <c r="TGM2" s="44"/>
      <c r="TGN2" s="44"/>
      <c r="TGO2" s="44"/>
      <c r="TGP2" s="44"/>
      <c r="TGQ2" s="44"/>
      <c r="TGR2" s="44"/>
      <c r="TGT2" s="44"/>
      <c r="TGU2" s="44"/>
      <c r="TGV2" s="44"/>
      <c r="TGW2" s="44"/>
      <c r="TGX2" s="44"/>
      <c r="TGY2" s="44"/>
      <c r="TGZ2" s="44"/>
      <c r="THB2" s="44"/>
      <c r="THC2" s="44"/>
      <c r="THD2" s="44"/>
      <c r="THE2" s="44"/>
      <c r="THF2" s="44"/>
      <c r="THG2" s="44"/>
      <c r="THH2" s="44"/>
      <c r="THJ2" s="44"/>
      <c r="THK2" s="44"/>
      <c r="THL2" s="44"/>
      <c r="THM2" s="44"/>
      <c r="THN2" s="44"/>
      <c r="THO2" s="44"/>
      <c r="THP2" s="44"/>
      <c r="THR2" s="44"/>
      <c r="THS2" s="44"/>
      <c r="THT2" s="44"/>
      <c r="THU2" s="44"/>
      <c r="THV2" s="44"/>
      <c r="THW2" s="44"/>
      <c r="THX2" s="44"/>
      <c r="THZ2" s="44"/>
      <c r="TIA2" s="44"/>
      <c r="TIB2" s="44"/>
      <c r="TIC2" s="44"/>
      <c r="TID2" s="44"/>
      <c r="TIE2" s="44"/>
      <c r="TIF2" s="44"/>
      <c r="TIH2" s="44"/>
      <c r="TII2" s="44"/>
      <c r="TIJ2" s="44"/>
      <c r="TIK2" s="44"/>
      <c r="TIL2" s="44"/>
      <c r="TIM2" s="44"/>
      <c r="TIN2" s="44"/>
      <c r="TIP2" s="44"/>
      <c r="TIQ2" s="44"/>
      <c r="TIR2" s="44"/>
      <c r="TIS2" s="44"/>
      <c r="TIT2" s="44"/>
      <c r="TIU2" s="44"/>
      <c r="TIV2" s="44"/>
      <c r="TIX2" s="44"/>
      <c r="TIY2" s="44"/>
      <c r="TIZ2" s="44"/>
      <c r="TJA2" s="44"/>
      <c r="TJB2" s="44"/>
      <c r="TJC2" s="44"/>
      <c r="TJD2" s="44"/>
      <c r="TJF2" s="44"/>
      <c r="TJG2" s="44"/>
      <c r="TJH2" s="44"/>
      <c r="TJI2" s="44"/>
      <c r="TJJ2" s="44"/>
      <c r="TJK2" s="44"/>
      <c r="TJL2" s="44"/>
      <c r="TJN2" s="44"/>
      <c r="TJO2" s="44"/>
      <c r="TJP2" s="44"/>
      <c r="TJQ2" s="44"/>
      <c r="TJR2" s="44"/>
      <c r="TJS2" s="44"/>
      <c r="TJT2" s="44"/>
      <c r="TJV2" s="44"/>
      <c r="TJW2" s="44"/>
      <c r="TJX2" s="44"/>
      <c r="TJY2" s="44"/>
      <c r="TJZ2" s="44"/>
      <c r="TKA2" s="44"/>
      <c r="TKB2" s="44"/>
      <c r="TKD2" s="44"/>
      <c r="TKE2" s="44"/>
      <c r="TKF2" s="44"/>
      <c r="TKG2" s="44"/>
      <c r="TKH2" s="44"/>
      <c r="TKI2" s="44"/>
      <c r="TKJ2" s="44"/>
      <c r="TKL2" s="44"/>
      <c r="TKM2" s="44"/>
      <c r="TKN2" s="44"/>
      <c r="TKO2" s="44"/>
      <c r="TKP2" s="44"/>
      <c r="TKQ2" s="44"/>
      <c r="TKR2" s="44"/>
      <c r="TKT2" s="44"/>
      <c r="TKU2" s="44"/>
      <c r="TKV2" s="44"/>
      <c r="TKW2" s="44"/>
      <c r="TKX2" s="44"/>
      <c r="TKY2" s="44"/>
      <c r="TKZ2" s="44"/>
      <c r="TLB2" s="44"/>
      <c r="TLC2" s="44"/>
      <c r="TLD2" s="44"/>
      <c r="TLE2" s="44"/>
      <c r="TLF2" s="44"/>
      <c r="TLG2" s="44"/>
      <c r="TLH2" s="44"/>
      <c r="TLJ2" s="44"/>
      <c r="TLK2" s="44"/>
      <c r="TLL2" s="44"/>
      <c r="TLM2" s="44"/>
      <c r="TLN2" s="44"/>
      <c r="TLO2" s="44"/>
      <c r="TLP2" s="44"/>
      <c r="TLR2" s="44"/>
      <c r="TLS2" s="44"/>
      <c r="TLT2" s="44"/>
      <c r="TLU2" s="44"/>
      <c r="TLV2" s="44"/>
      <c r="TLW2" s="44"/>
      <c r="TLX2" s="44"/>
      <c r="TLZ2" s="44"/>
      <c r="TMA2" s="44"/>
      <c r="TMB2" s="44"/>
      <c r="TMC2" s="44"/>
      <c r="TMD2" s="44"/>
      <c r="TME2" s="44"/>
      <c r="TMF2" s="44"/>
      <c r="TMH2" s="44"/>
      <c r="TMI2" s="44"/>
      <c r="TMJ2" s="44"/>
      <c r="TMK2" s="44"/>
      <c r="TML2" s="44"/>
      <c r="TMM2" s="44"/>
      <c r="TMN2" s="44"/>
      <c r="TMP2" s="44"/>
      <c r="TMQ2" s="44"/>
      <c r="TMR2" s="44"/>
      <c r="TMS2" s="44"/>
      <c r="TMT2" s="44"/>
      <c r="TMU2" s="44"/>
      <c r="TMV2" s="44"/>
      <c r="TMX2" s="44"/>
      <c r="TMY2" s="44"/>
      <c r="TMZ2" s="44"/>
      <c r="TNA2" s="44"/>
      <c r="TNB2" s="44"/>
      <c r="TNC2" s="44"/>
      <c r="TND2" s="44"/>
      <c r="TNF2" s="44"/>
      <c r="TNG2" s="44"/>
      <c r="TNH2" s="44"/>
      <c r="TNI2" s="44"/>
      <c r="TNJ2" s="44"/>
      <c r="TNK2" s="44"/>
      <c r="TNL2" s="44"/>
      <c r="TNN2" s="44"/>
      <c r="TNO2" s="44"/>
      <c r="TNP2" s="44"/>
      <c r="TNQ2" s="44"/>
      <c r="TNR2" s="44"/>
      <c r="TNS2" s="44"/>
      <c r="TNT2" s="44"/>
      <c r="TNV2" s="44"/>
      <c r="TNW2" s="44"/>
      <c r="TNX2" s="44"/>
      <c r="TNY2" s="44"/>
      <c r="TNZ2" s="44"/>
      <c r="TOA2" s="44"/>
      <c r="TOB2" s="44"/>
      <c r="TOD2" s="44"/>
      <c r="TOE2" s="44"/>
      <c r="TOF2" s="44"/>
      <c r="TOG2" s="44"/>
      <c r="TOH2" s="44"/>
      <c r="TOI2" s="44"/>
      <c r="TOJ2" s="44"/>
      <c r="TOL2" s="44"/>
      <c r="TOM2" s="44"/>
      <c r="TON2" s="44"/>
      <c r="TOO2" s="44"/>
      <c r="TOP2" s="44"/>
      <c r="TOQ2" s="44"/>
      <c r="TOR2" s="44"/>
      <c r="TOT2" s="44"/>
      <c r="TOU2" s="44"/>
      <c r="TOV2" s="44"/>
      <c r="TOW2" s="44"/>
      <c r="TOX2" s="44"/>
      <c r="TOY2" s="44"/>
      <c r="TOZ2" s="44"/>
      <c r="TPB2" s="44"/>
      <c r="TPC2" s="44"/>
      <c r="TPD2" s="44"/>
      <c r="TPE2" s="44"/>
      <c r="TPF2" s="44"/>
      <c r="TPG2" s="44"/>
      <c r="TPH2" s="44"/>
      <c r="TPJ2" s="44"/>
      <c r="TPK2" s="44"/>
      <c r="TPL2" s="44"/>
      <c r="TPM2" s="44"/>
      <c r="TPN2" s="44"/>
      <c r="TPO2" s="44"/>
      <c r="TPP2" s="44"/>
      <c r="TPR2" s="44"/>
      <c r="TPS2" s="44"/>
      <c r="TPT2" s="44"/>
      <c r="TPU2" s="44"/>
      <c r="TPV2" s="44"/>
      <c r="TPW2" s="44"/>
      <c r="TPX2" s="44"/>
      <c r="TPZ2" s="44"/>
      <c r="TQA2" s="44"/>
      <c r="TQB2" s="44"/>
      <c r="TQC2" s="44"/>
      <c r="TQD2" s="44"/>
      <c r="TQE2" s="44"/>
      <c r="TQF2" s="44"/>
      <c r="TQH2" s="44"/>
      <c r="TQI2" s="44"/>
      <c r="TQJ2" s="44"/>
      <c r="TQK2" s="44"/>
      <c r="TQL2" s="44"/>
      <c r="TQM2" s="44"/>
      <c r="TQN2" s="44"/>
      <c r="TQP2" s="44"/>
      <c r="TQQ2" s="44"/>
      <c r="TQR2" s="44"/>
      <c r="TQS2" s="44"/>
      <c r="TQT2" s="44"/>
      <c r="TQU2" s="44"/>
      <c r="TQV2" s="44"/>
      <c r="TQX2" s="44"/>
      <c r="TQY2" s="44"/>
      <c r="TQZ2" s="44"/>
      <c r="TRA2" s="44"/>
      <c r="TRB2" s="44"/>
      <c r="TRC2" s="44"/>
      <c r="TRD2" s="44"/>
      <c r="TRF2" s="44"/>
      <c r="TRG2" s="44"/>
      <c r="TRH2" s="44"/>
      <c r="TRI2" s="44"/>
      <c r="TRJ2" s="44"/>
      <c r="TRK2" s="44"/>
      <c r="TRL2" s="44"/>
      <c r="TRN2" s="44"/>
      <c r="TRO2" s="44"/>
      <c r="TRP2" s="44"/>
      <c r="TRQ2" s="44"/>
      <c r="TRR2" s="44"/>
      <c r="TRS2" s="44"/>
      <c r="TRT2" s="44"/>
      <c r="TRV2" s="44"/>
      <c r="TRW2" s="44"/>
      <c r="TRX2" s="44"/>
      <c r="TRY2" s="44"/>
      <c r="TRZ2" s="44"/>
      <c r="TSA2" s="44"/>
      <c r="TSB2" s="44"/>
      <c r="TSD2" s="44"/>
      <c r="TSE2" s="44"/>
      <c r="TSF2" s="44"/>
      <c r="TSG2" s="44"/>
      <c r="TSH2" s="44"/>
      <c r="TSI2" s="44"/>
      <c r="TSJ2" s="44"/>
      <c r="TSL2" s="44"/>
      <c r="TSM2" s="44"/>
      <c r="TSN2" s="44"/>
      <c r="TSO2" s="44"/>
      <c r="TSP2" s="44"/>
      <c r="TSQ2" s="44"/>
      <c r="TSR2" s="44"/>
      <c r="TST2" s="44"/>
      <c r="TSU2" s="44"/>
      <c r="TSV2" s="44"/>
      <c r="TSW2" s="44"/>
      <c r="TSX2" s="44"/>
      <c r="TSY2" s="44"/>
      <c r="TSZ2" s="44"/>
      <c r="TTB2" s="44"/>
      <c r="TTC2" s="44"/>
      <c r="TTD2" s="44"/>
      <c r="TTE2" s="44"/>
      <c r="TTF2" s="44"/>
      <c r="TTG2" s="44"/>
      <c r="TTH2" s="44"/>
      <c r="TTJ2" s="44"/>
      <c r="TTK2" s="44"/>
      <c r="TTL2" s="44"/>
      <c r="TTM2" s="44"/>
      <c r="TTN2" s="44"/>
      <c r="TTO2" s="44"/>
      <c r="TTP2" s="44"/>
      <c r="TTR2" s="44"/>
      <c r="TTS2" s="44"/>
      <c r="TTT2" s="44"/>
      <c r="TTU2" s="44"/>
      <c r="TTV2" s="44"/>
      <c r="TTW2" s="44"/>
      <c r="TTX2" s="44"/>
      <c r="TTZ2" s="44"/>
      <c r="TUA2" s="44"/>
      <c r="TUB2" s="44"/>
      <c r="TUC2" s="44"/>
      <c r="TUD2" s="44"/>
      <c r="TUE2" s="44"/>
      <c r="TUF2" s="44"/>
      <c r="TUH2" s="44"/>
      <c r="TUI2" s="44"/>
      <c r="TUJ2" s="44"/>
      <c r="TUK2" s="44"/>
      <c r="TUL2" s="44"/>
      <c r="TUM2" s="44"/>
      <c r="TUN2" s="44"/>
      <c r="TUP2" s="44"/>
      <c r="TUQ2" s="44"/>
      <c r="TUR2" s="44"/>
      <c r="TUS2" s="44"/>
      <c r="TUT2" s="44"/>
      <c r="TUU2" s="44"/>
      <c r="TUV2" s="44"/>
      <c r="TUX2" s="44"/>
      <c r="TUY2" s="44"/>
      <c r="TUZ2" s="44"/>
      <c r="TVA2" s="44"/>
      <c r="TVB2" s="44"/>
      <c r="TVC2" s="44"/>
      <c r="TVD2" s="44"/>
      <c r="TVF2" s="44"/>
      <c r="TVG2" s="44"/>
      <c r="TVH2" s="44"/>
      <c r="TVI2" s="44"/>
      <c r="TVJ2" s="44"/>
      <c r="TVK2" s="44"/>
      <c r="TVL2" s="44"/>
      <c r="TVN2" s="44"/>
      <c r="TVO2" s="44"/>
      <c r="TVP2" s="44"/>
      <c r="TVQ2" s="44"/>
      <c r="TVR2" s="44"/>
      <c r="TVS2" s="44"/>
      <c r="TVT2" s="44"/>
      <c r="TVV2" s="44"/>
      <c r="TVW2" s="44"/>
      <c r="TVX2" s="44"/>
      <c r="TVY2" s="44"/>
      <c r="TVZ2" s="44"/>
      <c r="TWA2" s="44"/>
      <c r="TWB2" s="44"/>
      <c r="TWD2" s="44"/>
      <c r="TWE2" s="44"/>
      <c r="TWF2" s="44"/>
      <c r="TWG2" s="44"/>
      <c r="TWH2" s="44"/>
      <c r="TWI2" s="44"/>
      <c r="TWJ2" s="44"/>
      <c r="TWL2" s="44"/>
      <c r="TWM2" s="44"/>
      <c r="TWN2" s="44"/>
      <c r="TWO2" s="44"/>
      <c r="TWP2" s="44"/>
      <c r="TWQ2" s="44"/>
      <c r="TWR2" s="44"/>
      <c r="TWT2" s="44"/>
      <c r="TWU2" s="44"/>
      <c r="TWV2" s="44"/>
      <c r="TWW2" s="44"/>
      <c r="TWX2" s="44"/>
      <c r="TWY2" s="44"/>
      <c r="TWZ2" s="44"/>
      <c r="TXB2" s="44"/>
      <c r="TXC2" s="44"/>
      <c r="TXD2" s="44"/>
      <c r="TXE2" s="44"/>
      <c r="TXF2" s="44"/>
      <c r="TXG2" s="44"/>
      <c r="TXH2" s="44"/>
      <c r="TXJ2" s="44"/>
      <c r="TXK2" s="44"/>
      <c r="TXL2" s="44"/>
      <c r="TXM2" s="44"/>
      <c r="TXN2" s="44"/>
      <c r="TXO2" s="44"/>
      <c r="TXP2" s="44"/>
      <c r="TXR2" s="44"/>
      <c r="TXS2" s="44"/>
      <c r="TXT2" s="44"/>
      <c r="TXU2" s="44"/>
      <c r="TXV2" s="44"/>
      <c r="TXW2" s="44"/>
      <c r="TXX2" s="44"/>
      <c r="TXZ2" s="44"/>
      <c r="TYA2" s="44"/>
      <c r="TYB2" s="44"/>
      <c r="TYC2" s="44"/>
      <c r="TYD2" s="44"/>
      <c r="TYE2" s="44"/>
      <c r="TYF2" s="44"/>
      <c r="TYH2" s="44"/>
      <c r="TYI2" s="44"/>
      <c r="TYJ2" s="44"/>
      <c r="TYK2" s="44"/>
      <c r="TYL2" s="44"/>
      <c r="TYM2" s="44"/>
      <c r="TYN2" s="44"/>
      <c r="TYP2" s="44"/>
      <c r="TYQ2" s="44"/>
      <c r="TYR2" s="44"/>
      <c r="TYS2" s="44"/>
      <c r="TYT2" s="44"/>
      <c r="TYU2" s="44"/>
      <c r="TYV2" s="44"/>
      <c r="TYX2" s="44"/>
      <c r="TYY2" s="44"/>
      <c r="TYZ2" s="44"/>
      <c r="TZA2" s="44"/>
      <c r="TZB2" s="44"/>
      <c r="TZC2" s="44"/>
      <c r="TZD2" s="44"/>
      <c r="TZF2" s="44"/>
      <c r="TZG2" s="44"/>
      <c r="TZH2" s="44"/>
      <c r="TZI2" s="44"/>
      <c r="TZJ2" s="44"/>
      <c r="TZK2" s="44"/>
      <c r="TZL2" s="44"/>
      <c r="TZN2" s="44"/>
      <c r="TZO2" s="44"/>
      <c r="TZP2" s="44"/>
      <c r="TZQ2" s="44"/>
      <c r="TZR2" s="44"/>
      <c r="TZS2" s="44"/>
      <c r="TZT2" s="44"/>
      <c r="TZV2" s="44"/>
      <c r="TZW2" s="44"/>
      <c r="TZX2" s="44"/>
      <c r="TZY2" s="44"/>
      <c r="TZZ2" s="44"/>
      <c r="UAA2" s="44"/>
      <c r="UAB2" s="44"/>
      <c r="UAD2" s="44"/>
      <c r="UAE2" s="44"/>
      <c r="UAF2" s="44"/>
      <c r="UAG2" s="44"/>
      <c r="UAH2" s="44"/>
      <c r="UAI2" s="44"/>
      <c r="UAJ2" s="44"/>
      <c r="UAL2" s="44"/>
      <c r="UAM2" s="44"/>
      <c r="UAN2" s="44"/>
      <c r="UAO2" s="44"/>
      <c r="UAP2" s="44"/>
      <c r="UAQ2" s="44"/>
      <c r="UAR2" s="44"/>
      <c r="UAT2" s="44"/>
      <c r="UAU2" s="44"/>
      <c r="UAV2" s="44"/>
      <c r="UAW2" s="44"/>
      <c r="UAX2" s="44"/>
      <c r="UAY2" s="44"/>
      <c r="UAZ2" s="44"/>
      <c r="UBB2" s="44"/>
      <c r="UBC2" s="44"/>
      <c r="UBD2" s="44"/>
      <c r="UBE2" s="44"/>
      <c r="UBF2" s="44"/>
      <c r="UBG2" s="44"/>
      <c r="UBH2" s="44"/>
      <c r="UBJ2" s="44"/>
      <c r="UBK2" s="44"/>
      <c r="UBL2" s="44"/>
      <c r="UBM2" s="44"/>
      <c r="UBN2" s="44"/>
      <c r="UBO2" s="44"/>
      <c r="UBP2" s="44"/>
      <c r="UBR2" s="44"/>
      <c r="UBS2" s="44"/>
      <c r="UBT2" s="44"/>
      <c r="UBU2" s="44"/>
      <c r="UBV2" s="44"/>
      <c r="UBW2" s="44"/>
      <c r="UBX2" s="44"/>
      <c r="UBZ2" s="44"/>
      <c r="UCA2" s="44"/>
      <c r="UCB2" s="44"/>
      <c r="UCC2" s="44"/>
      <c r="UCD2" s="44"/>
      <c r="UCE2" s="44"/>
      <c r="UCF2" s="44"/>
      <c r="UCH2" s="44"/>
      <c r="UCI2" s="44"/>
      <c r="UCJ2" s="44"/>
      <c r="UCK2" s="44"/>
      <c r="UCL2" s="44"/>
      <c r="UCM2" s="44"/>
      <c r="UCN2" s="44"/>
      <c r="UCP2" s="44"/>
      <c r="UCQ2" s="44"/>
      <c r="UCR2" s="44"/>
      <c r="UCS2" s="44"/>
      <c r="UCT2" s="44"/>
      <c r="UCU2" s="44"/>
      <c r="UCV2" s="44"/>
      <c r="UCX2" s="44"/>
      <c r="UCY2" s="44"/>
      <c r="UCZ2" s="44"/>
      <c r="UDA2" s="44"/>
      <c r="UDB2" s="44"/>
      <c r="UDC2" s="44"/>
      <c r="UDD2" s="44"/>
      <c r="UDF2" s="44"/>
      <c r="UDG2" s="44"/>
      <c r="UDH2" s="44"/>
      <c r="UDI2" s="44"/>
      <c r="UDJ2" s="44"/>
      <c r="UDK2" s="44"/>
      <c r="UDL2" s="44"/>
      <c r="UDN2" s="44"/>
      <c r="UDO2" s="44"/>
      <c r="UDP2" s="44"/>
      <c r="UDQ2" s="44"/>
      <c r="UDR2" s="44"/>
      <c r="UDS2" s="44"/>
      <c r="UDT2" s="44"/>
      <c r="UDV2" s="44"/>
      <c r="UDW2" s="44"/>
      <c r="UDX2" s="44"/>
      <c r="UDY2" s="44"/>
      <c r="UDZ2" s="44"/>
      <c r="UEA2" s="44"/>
      <c r="UEB2" s="44"/>
      <c r="UED2" s="44"/>
      <c r="UEE2" s="44"/>
      <c r="UEF2" s="44"/>
      <c r="UEG2" s="44"/>
      <c r="UEH2" s="44"/>
      <c r="UEI2" s="44"/>
      <c r="UEJ2" s="44"/>
      <c r="UEL2" s="44"/>
      <c r="UEM2" s="44"/>
      <c r="UEN2" s="44"/>
      <c r="UEO2" s="44"/>
      <c r="UEP2" s="44"/>
      <c r="UEQ2" s="44"/>
      <c r="UER2" s="44"/>
      <c r="UET2" s="44"/>
      <c r="UEU2" s="44"/>
      <c r="UEV2" s="44"/>
      <c r="UEW2" s="44"/>
      <c r="UEX2" s="44"/>
      <c r="UEY2" s="44"/>
      <c r="UEZ2" s="44"/>
      <c r="UFB2" s="44"/>
      <c r="UFC2" s="44"/>
      <c r="UFD2" s="44"/>
      <c r="UFE2" s="44"/>
      <c r="UFF2" s="44"/>
      <c r="UFG2" s="44"/>
      <c r="UFH2" s="44"/>
      <c r="UFJ2" s="44"/>
      <c r="UFK2" s="44"/>
      <c r="UFL2" s="44"/>
      <c r="UFM2" s="44"/>
      <c r="UFN2" s="44"/>
      <c r="UFO2" s="44"/>
      <c r="UFP2" s="44"/>
      <c r="UFR2" s="44"/>
      <c r="UFS2" s="44"/>
      <c r="UFT2" s="44"/>
      <c r="UFU2" s="44"/>
      <c r="UFV2" s="44"/>
      <c r="UFW2" s="44"/>
      <c r="UFX2" s="44"/>
      <c r="UFZ2" s="44"/>
      <c r="UGA2" s="44"/>
      <c r="UGB2" s="44"/>
      <c r="UGC2" s="44"/>
      <c r="UGD2" s="44"/>
      <c r="UGE2" s="44"/>
      <c r="UGF2" s="44"/>
      <c r="UGH2" s="44"/>
      <c r="UGI2" s="44"/>
      <c r="UGJ2" s="44"/>
      <c r="UGK2" s="44"/>
      <c r="UGL2" s="44"/>
      <c r="UGM2" s="44"/>
      <c r="UGN2" s="44"/>
      <c r="UGP2" s="44"/>
      <c r="UGQ2" s="44"/>
      <c r="UGR2" s="44"/>
      <c r="UGS2" s="44"/>
      <c r="UGT2" s="44"/>
      <c r="UGU2" s="44"/>
      <c r="UGV2" s="44"/>
      <c r="UGX2" s="44"/>
      <c r="UGY2" s="44"/>
      <c r="UGZ2" s="44"/>
      <c r="UHA2" s="44"/>
      <c r="UHB2" s="44"/>
      <c r="UHC2" s="44"/>
      <c r="UHD2" s="44"/>
      <c r="UHF2" s="44"/>
      <c r="UHG2" s="44"/>
      <c r="UHH2" s="44"/>
      <c r="UHI2" s="44"/>
      <c r="UHJ2" s="44"/>
      <c r="UHK2" s="44"/>
      <c r="UHL2" s="44"/>
      <c r="UHN2" s="44"/>
      <c r="UHO2" s="44"/>
      <c r="UHP2" s="44"/>
      <c r="UHQ2" s="44"/>
      <c r="UHR2" s="44"/>
      <c r="UHS2" s="44"/>
      <c r="UHT2" s="44"/>
      <c r="UHV2" s="44"/>
      <c r="UHW2" s="44"/>
      <c r="UHX2" s="44"/>
      <c r="UHY2" s="44"/>
      <c r="UHZ2" s="44"/>
      <c r="UIA2" s="44"/>
      <c r="UIB2" s="44"/>
      <c r="UID2" s="44"/>
      <c r="UIE2" s="44"/>
      <c r="UIF2" s="44"/>
      <c r="UIG2" s="44"/>
      <c r="UIH2" s="44"/>
      <c r="UII2" s="44"/>
      <c r="UIJ2" s="44"/>
      <c r="UIL2" s="44"/>
      <c r="UIM2" s="44"/>
      <c r="UIN2" s="44"/>
      <c r="UIO2" s="44"/>
      <c r="UIP2" s="44"/>
      <c r="UIQ2" s="44"/>
      <c r="UIR2" s="44"/>
      <c r="UIT2" s="44"/>
      <c r="UIU2" s="44"/>
      <c r="UIV2" s="44"/>
      <c r="UIW2" s="44"/>
      <c r="UIX2" s="44"/>
      <c r="UIY2" s="44"/>
      <c r="UIZ2" s="44"/>
      <c r="UJB2" s="44"/>
      <c r="UJC2" s="44"/>
      <c r="UJD2" s="44"/>
      <c r="UJE2" s="44"/>
      <c r="UJF2" s="44"/>
      <c r="UJG2" s="44"/>
      <c r="UJH2" s="44"/>
      <c r="UJJ2" s="44"/>
      <c r="UJK2" s="44"/>
      <c r="UJL2" s="44"/>
      <c r="UJM2" s="44"/>
      <c r="UJN2" s="44"/>
      <c r="UJO2" s="44"/>
      <c r="UJP2" s="44"/>
      <c r="UJR2" s="44"/>
      <c r="UJS2" s="44"/>
      <c r="UJT2" s="44"/>
      <c r="UJU2" s="44"/>
      <c r="UJV2" s="44"/>
      <c r="UJW2" s="44"/>
      <c r="UJX2" s="44"/>
      <c r="UJZ2" s="44"/>
      <c r="UKA2" s="44"/>
      <c r="UKB2" s="44"/>
      <c r="UKC2" s="44"/>
      <c r="UKD2" s="44"/>
      <c r="UKE2" s="44"/>
      <c r="UKF2" s="44"/>
      <c r="UKH2" s="44"/>
      <c r="UKI2" s="44"/>
      <c r="UKJ2" s="44"/>
      <c r="UKK2" s="44"/>
      <c r="UKL2" s="44"/>
      <c r="UKM2" s="44"/>
      <c r="UKN2" s="44"/>
      <c r="UKP2" s="44"/>
      <c r="UKQ2" s="44"/>
      <c r="UKR2" s="44"/>
      <c r="UKS2" s="44"/>
      <c r="UKT2" s="44"/>
      <c r="UKU2" s="44"/>
      <c r="UKV2" s="44"/>
      <c r="UKX2" s="44"/>
      <c r="UKY2" s="44"/>
      <c r="UKZ2" s="44"/>
      <c r="ULA2" s="44"/>
      <c r="ULB2" s="44"/>
      <c r="ULC2" s="44"/>
      <c r="ULD2" s="44"/>
      <c r="ULF2" s="44"/>
      <c r="ULG2" s="44"/>
      <c r="ULH2" s="44"/>
      <c r="ULI2" s="44"/>
      <c r="ULJ2" s="44"/>
      <c r="ULK2" s="44"/>
      <c r="ULL2" s="44"/>
      <c r="ULN2" s="44"/>
      <c r="ULO2" s="44"/>
      <c r="ULP2" s="44"/>
      <c r="ULQ2" s="44"/>
      <c r="ULR2" s="44"/>
      <c r="ULS2" s="44"/>
      <c r="ULT2" s="44"/>
      <c r="ULV2" s="44"/>
      <c r="ULW2" s="44"/>
      <c r="ULX2" s="44"/>
      <c r="ULY2" s="44"/>
      <c r="ULZ2" s="44"/>
      <c r="UMA2" s="44"/>
      <c r="UMB2" s="44"/>
      <c r="UMD2" s="44"/>
      <c r="UME2" s="44"/>
      <c r="UMF2" s="44"/>
      <c r="UMG2" s="44"/>
      <c r="UMH2" s="44"/>
      <c r="UMI2" s="44"/>
      <c r="UMJ2" s="44"/>
      <c r="UML2" s="44"/>
      <c r="UMM2" s="44"/>
      <c r="UMN2" s="44"/>
      <c r="UMO2" s="44"/>
      <c r="UMP2" s="44"/>
      <c r="UMQ2" s="44"/>
      <c r="UMR2" s="44"/>
      <c r="UMT2" s="44"/>
      <c r="UMU2" s="44"/>
      <c r="UMV2" s="44"/>
      <c r="UMW2" s="44"/>
      <c r="UMX2" s="44"/>
      <c r="UMY2" s="44"/>
      <c r="UMZ2" s="44"/>
      <c r="UNB2" s="44"/>
      <c r="UNC2" s="44"/>
      <c r="UND2" s="44"/>
      <c r="UNE2" s="44"/>
      <c r="UNF2" s="44"/>
      <c r="UNG2" s="44"/>
      <c r="UNH2" s="44"/>
      <c r="UNJ2" s="44"/>
      <c r="UNK2" s="44"/>
      <c r="UNL2" s="44"/>
      <c r="UNM2" s="44"/>
      <c r="UNN2" s="44"/>
      <c r="UNO2" s="44"/>
      <c r="UNP2" s="44"/>
      <c r="UNR2" s="44"/>
      <c r="UNS2" s="44"/>
      <c r="UNT2" s="44"/>
      <c r="UNU2" s="44"/>
      <c r="UNV2" s="44"/>
      <c r="UNW2" s="44"/>
      <c r="UNX2" s="44"/>
      <c r="UNZ2" s="44"/>
      <c r="UOA2" s="44"/>
      <c r="UOB2" s="44"/>
      <c r="UOC2" s="44"/>
      <c r="UOD2" s="44"/>
      <c r="UOE2" s="44"/>
      <c r="UOF2" s="44"/>
      <c r="UOH2" s="44"/>
      <c r="UOI2" s="44"/>
      <c r="UOJ2" s="44"/>
      <c r="UOK2" s="44"/>
      <c r="UOL2" s="44"/>
      <c r="UOM2" s="44"/>
      <c r="UON2" s="44"/>
      <c r="UOP2" s="44"/>
      <c r="UOQ2" s="44"/>
      <c r="UOR2" s="44"/>
      <c r="UOS2" s="44"/>
      <c r="UOT2" s="44"/>
      <c r="UOU2" s="44"/>
      <c r="UOV2" s="44"/>
      <c r="UOX2" s="44"/>
      <c r="UOY2" s="44"/>
      <c r="UOZ2" s="44"/>
      <c r="UPA2" s="44"/>
      <c r="UPB2" s="44"/>
      <c r="UPC2" s="44"/>
      <c r="UPD2" s="44"/>
      <c r="UPF2" s="44"/>
      <c r="UPG2" s="44"/>
      <c r="UPH2" s="44"/>
      <c r="UPI2" s="44"/>
      <c r="UPJ2" s="44"/>
      <c r="UPK2" s="44"/>
      <c r="UPL2" s="44"/>
      <c r="UPN2" s="44"/>
      <c r="UPO2" s="44"/>
      <c r="UPP2" s="44"/>
      <c r="UPQ2" s="44"/>
      <c r="UPR2" s="44"/>
      <c r="UPS2" s="44"/>
      <c r="UPT2" s="44"/>
      <c r="UPV2" s="44"/>
      <c r="UPW2" s="44"/>
      <c r="UPX2" s="44"/>
      <c r="UPY2" s="44"/>
      <c r="UPZ2" s="44"/>
      <c r="UQA2" s="44"/>
      <c r="UQB2" s="44"/>
      <c r="UQD2" s="44"/>
      <c r="UQE2" s="44"/>
      <c r="UQF2" s="44"/>
      <c r="UQG2" s="44"/>
      <c r="UQH2" s="44"/>
      <c r="UQI2" s="44"/>
      <c r="UQJ2" s="44"/>
      <c r="UQL2" s="44"/>
      <c r="UQM2" s="44"/>
      <c r="UQN2" s="44"/>
      <c r="UQO2" s="44"/>
      <c r="UQP2" s="44"/>
      <c r="UQQ2" s="44"/>
      <c r="UQR2" s="44"/>
      <c r="UQT2" s="44"/>
      <c r="UQU2" s="44"/>
      <c r="UQV2" s="44"/>
      <c r="UQW2" s="44"/>
      <c r="UQX2" s="44"/>
      <c r="UQY2" s="44"/>
      <c r="UQZ2" s="44"/>
      <c r="URB2" s="44"/>
      <c r="URC2" s="44"/>
      <c r="URD2" s="44"/>
      <c r="URE2" s="44"/>
      <c r="URF2" s="44"/>
      <c r="URG2" s="44"/>
      <c r="URH2" s="44"/>
      <c r="URJ2" s="44"/>
      <c r="URK2" s="44"/>
      <c r="URL2" s="44"/>
      <c r="URM2" s="44"/>
      <c r="URN2" s="44"/>
      <c r="URO2" s="44"/>
      <c r="URP2" s="44"/>
      <c r="URR2" s="44"/>
      <c r="URS2" s="44"/>
      <c r="URT2" s="44"/>
      <c r="URU2" s="44"/>
      <c r="URV2" s="44"/>
      <c r="URW2" s="44"/>
      <c r="URX2" s="44"/>
      <c r="URZ2" s="44"/>
      <c r="USA2" s="44"/>
      <c r="USB2" s="44"/>
      <c r="USC2" s="44"/>
      <c r="USD2" s="44"/>
      <c r="USE2" s="44"/>
      <c r="USF2" s="44"/>
      <c r="USH2" s="44"/>
      <c r="USI2" s="44"/>
      <c r="USJ2" s="44"/>
      <c r="USK2" s="44"/>
      <c r="USL2" s="44"/>
      <c r="USM2" s="44"/>
      <c r="USN2" s="44"/>
      <c r="USP2" s="44"/>
      <c r="USQ2" s="44"/>
      <c r="USR2" s="44"/>
      <c r="USS2" s="44"/>
      <c r="UST2" s="44"/>
      <c r="USU2" s="44"/>
      <c r="USV2" s="44"/>
      <c r="USX2" s="44"/>
      <c r="USY2" s="44"/>
      <c r="USZ2" s="44"/>
      <c r="UTA2" s="44"/>
      <c r="UTB2" s="44"/>
      <c r="UTC2" s="44"/>
      <c r="UTD2" s="44"/>
      <c r="UTF2" s="44"/>
      <c r="UTG2" s="44"/>
      <c r="UTH2" s="44"/>
      <c r="UTI2" s="44"/>
      <c r="UTJ2" s="44"/>
      <c r="UTK2" s="44"/>
      <c r="UTL2" s="44"/>
      <c r="UTN2" s="44"/>
      <c r="UTO2" s="44"/>
      <c r="UTP2" s="44"/>
      <c r="UTQ2" s="44"/>
      <c r="UTR2" s="44"/>
      <c r="UTS2" s="44"/>
      <c r="UTT2" s="44"/>
      <c r="UTV2" s="44"/>
      <c r="UTW2" s="44"/>
      <c r="UTX2" s="44"/>
      <c r="UTY2" s="44"/>
      <c r="UTZ2" s="44"/>
      <c r="UUA2" s="44"/>
      <c r="UUB2" s="44"/>
      <c r="UUD2" s="44"/>
      <c r="UUE2" s="44"/>
      <c r="UUF2" s="44"/>
      <c r="UUG2" s="44"/>
      <c r="UUH2" s="44"/>
      <c r="UUI2" s="44"/>
      <c r="UUJ2" s="44"/>
      <c r="UUL2" s="44"/>
      <c r="UUM2" s="44"/>
      <c r="UUN2" s="44"/>
      <c r="UUO2" s="44"/>
      <c r="UUP2" s="44"/>
      <c r="UUQ2" s="44"/>
      <c r="UUR2" s="44"/>
      <c r="UUT2" s="44"/>
      <c r="UUU2" s="44"/>
      <c r="UUV2" s="44"/>
      <c r="UUW2" s="44"/>
      <c r="UUX2" s="44"/>
      <c r="UUY2" s="44"/>
      <c r="UUZ2" s="44"/>
      <c r="UVB2" s="44"/>
      <c r="UVC2" s="44"/>
      <c r="UVD2" s="44"/>
      <c r="UVE2" s="44"/>
      <c r="UVF2" s="44"/>
      <c r="UVG2" s="44"/>
      <c r="UVH2" s="44"/>
      <c r="UVJ2" s="44"/>
      <c r="UVK2" s="44"/>
      <c r="UVL2" s="44"/>
      <c r="UVM2" s="44"/>
      <c r="UVN2" s="44"/>
      <c r="UVO2" s="44"/>
      <c r="UVP2" s="44"/>
      <c r="UVR2" s="44"/>
      <c r="UVS2" s="44"/>
      <c r="UVT2" s="44"/>
      <c r="UVU2" s="44"/>
      <c r="UVV2" s="44"/>
      <c r="UVW2" s="44"/>
      <c r="UVX2" s="44"/>
      <c r="UVZ2" s="44"/>
      <c r="UWA2" s="44"/>
      <c r="UWB2" s="44"/>
      <c r="UWC2" s="44"/>
      <c r="UWD2" s="44"/>
      <c r="UWE2" s="44"/>
      <c r="UWF2" s="44"/>
      <c r="UWH2" s="44"/>
      <c r="UWI2" s="44"/>
      <c r="UWJ2" s="44"/>
      <c r="UWK2" s="44"/>
      <c r="UWL2" s="44"/>
      <c r="UWM2" s="44"/>
      <c r="UWN2" s="44"/>
      <c r="UWP2" s="44"/>
      <c r="UWQ2" s="44"/>
      <c r="UWR2" s="44"/>
      <c r="UWS2" s="44"/>
      <c r="UWT2" s="44"/>
      <c r="UWU2" s="44"/>
      <c r="UWV2" s="44"/>
      <c r="UWX2" s="44"/>
      <c r="UWY2" s="44"/>
      <c r="UWZ2" s="44"/>
      <c r="UXA2" s="44"/>
      <c r="UXB2" s="44"/>
      <c r="UXC2" s="44"/>
      <c r="UXD2" s="44"/>
      <c r="UXF2" s="44"/>
      <c r="UXG2" s="44"/>
      <c r="UXH2" s="44"/>
      <c r="UXI2" s="44"/>
      <c r="UXJ2" s="44"/>
      <c r="UXK2" s="44"/>
      <c r="UXL2" s="44"/>
      <c r="UXN2" s="44"/>
      <c r="UXO2" s="44"/>
      <c r="UXP2" s="44"/>
      <c r="UXQ2" s="44"/>
      <c r="UXR2" s="44"/>
      <c r="UXS2" s="44"/>
      <c r="UXT2" s="44"/>
      <c r="UXV2" s="44"/>
      <c r="UXW2" s="44"/>
      <c r="UXX2" s="44"/>
      <c r="UXY2" s="44"/>
      <c r="UXZ2" s="44"/>
      <c r="UYA2" s="44"/>
      <c r="UYB2" s="44"/>
      <c r="UYD2" s="44"/>
      <c r="UYE2" s="44"/>
      <c r="UYF2" s="44"/>
      <c r="UYG2" s="44"/>
      <c r="UYH2" s="44"/>
      <c r="UYI2" s="44"/>
      <c r="UYJ2" s="44"/>
      <c r="UYL2" s="44"/>
      <c r="UYM2" s="44"/>
      <c r="UYN2" s="44"/>
      <c r="UYO2" s="44"/>
      <c r="UYP2" s="44"/>
      <c r="UYQ2" s="44"/>
      <c r="UYR2" s="44"/>
      <c r="UYT2" s="44"/>
      <c r="UYU2" s="44"/>
      <c r="UYV2" s="44"/>
      <c r="UYW2" s="44"/>
      <c r="UYX2" s="44"/>
      <c r="UYY2" s="44"/>
      <c r="UYZ2" s="44"/>
      <c r="UZB2" s="44"/>
      <c r="UZC2" s="44"/>
      <c r="UZD2" s="44"/>
      <c r="UZE2" s="44"/>
      <c r="UZF2" s="44"/>
      <c r="UZG2" s="44"/>
      <c r="UZH2" s="44"/>
      <c r="UZJ2" s="44"/>
      <c r="UZK2" s="44"/>
      <c r="UZL2" s="44"/>
      <c r="UZM2" s="44"/>
      <c r="UZN2" s="44"/>
      <c r="UZO2" s="44"/>
      <c r="UZP2" s="44"/>
      <c r="UZR2" s="44"/>
      <c r="UZS2" s="44"/>
      <c r="UZT2" s="44"/>
      <c r="UZU2" s="44"/>
      <c r="UZV2" s="44"/>
      <c r="UZW2" s="44"/>
      <c r="UZX2" s="44"/>
      <c r="UZZ2" s="44"/>
      <c r="VAA2" s="44"/>
      <c r="VAB2" s="44"/>
      <c r="VAC2" s="44"/>
      <c r="VAD2" s="44"/>
      <c r="VAE2" s="44"/>
      <c r="VAF2" s="44"/>
      <c r="VAH2" s="44"/>
      <c r="VAI2" s="44"/>
      <c r="VAJ2" s="44"/>
      <c r="VAK2" s="44"/>
      <c r="VAL2" s="44"/>
      <c r="VAM2" s="44"/>
      <c r="VAN2" s="44"/>
      <c r="VAP2" s="44"/>
      <c r="VAQ2" s="44"/>
      <c r="VAR2" s="44"/>
      <c r="VAS2" s="44"/>
      <c r="VAT2" s="44"/>
      <c r="VAU2" s="44"/>
      <c r="VAV2" s="44"/>
      <c r="VAX2" s="44"/>
      <c r="VAY2" s="44"/>
      <c r="VAZ2" s="44"/>
      <c r="VBA2" s="44"/>
      <c r="VBB2" s="44"/>
      <c r="VBC2" s="44"/>
      <c r="VBD2" s="44"/>
      <c r="VBF2" s="44"/>
      <c r="VBG2" s="44"/>
      <c r="VBH2" s="44"/>
      <c r="VBI2" s="44"/>
      <c r="VBJ2" s="44"/>
      <c r="VBK2" s="44"/>
      <c r="VBL2" s="44"/>
      <c r="VBN2" s="44"/>
      <c r="VBO2" s="44"/>
      <c r="VBP2" s="44"/>
      <c r="VBQ2" s="44"/>
      <c r="VBR2" s="44"/>
      <c r="VBS2" s="44"/>
      <c r="VBT2" s="44"/>
      <c r="VBV2" s="44"/>
      <c r="VBW2" s="44"/>
      <c r="VBX2" s="44"/>
      <c r="VBY2" s="44"/>
      <c r="VBZ2" s="44"/>
      <c r="VCA2" s="44"/>
      <c r="VCB2" s="44"/>
      <c r="VCD2" s="44"/>
      <c r="VCE2" s="44"/>
      <c r="VCF2" s="44"/>
      <c r="VCG2" s="44"/>
      <c r="VCH2" s="44"/>
      <c r="VCI2" s="44"/>
      <c r="VCJ2" s="44"/>
      <c r="VCL2" s="44"/>
      <c r="VCM2" s="44"/>
      <c r="VCN2" s="44"/>
      <c r="VCO2" s="44"/>
      <c r="VCP2" s="44"/>
      <c r="VCQ2" s="44"/>
      <c r="VCR2" s="44"/>
      <c r="VCT2" s="44"/>
      <c r="VCU2" s="44"/>
      <c r="VCV2" s="44"/>
      <c r="VCW2" s="44"/>
      <c r="VCX2" s="44"/>
      <c r="VCY2" s="44"/>
      <c r="VCZ2" s="44"/>
      <c r="VDB2" s="44"/>
      <c r="VDC2" s="44"/>
      <c r="VDD2" s="44"/>
      <c r="VDE2" s="44"/>
      <c r="VDF2" s="44"/>
      <c r="VDG2" s="44"/>
      <c r="VDH2" s="44"/>
      <c r="VDJ2" s="44"/>
      <c r="VDK2" s="44"/>
      <c r="VDL2" s="44"/>
      <c r="VDM2" s="44"/>
      <c r="VDN2" s="44"/>
      <c r="VDO2" s="44"/>
      <c r="VDP2" s="44"/>
      <c r="VDR2" s="44"/>
      <c r="VDS2" s="44"/>
      <c r="VDT2" s="44"/>
      <c r="VDU2" s="44"/>
      <c r="VDV2" s="44"/>
      <c r="VDW2" s="44"/>
      <c r="VDX2" s="44"/>
      <c r="VDZ2" s="44"/>
      <c r="VEA2" s="44"/>
      <c r="VEB2" s="44"/>
      <c r="VEC2" s="44"/>
      <c r="VED2" s="44"/>
      <c r="VEE2" s="44"/>
      <c r="VEF2" s="44"/>
      <c r="VEH2" s="44"/>
      <c r="VEI2" s="44"/>
      <c r="VEJ2" s="44"/>
      <c r="VEK2" s="44"/>
      <c r="VEL2" s="44"/>
      <c r="VEM2" s="44"/>
      <c r="VEN2" s="44"/>
      <c r="VEP2" s="44"/>
      <c r="VEQ2" s="44"/>
      <c r="VER2" s="44"/>
      <c r="VES2" s="44"/>
      <c r="VET2" s="44"/>
      <c r="VEU2" s="44"/>
      <c r="VEV2" s="44"/>
      <c r="VEX2" s="44"/>
      <c r="VEY2" s="44"/>
      <c r="VEZ2" s="44"/>
      <c r="VFA2" s="44"/>
      <c r="VFB2" s="44"/>
      <c r="VFC2" s="44"/>
      <c r="VFD2" s="44"/>
      <c r="VFF2" s="44"/>
      <c r="VFG2" s="44"/>
      <c r="VFH2" s="44"/>
      <c r="VFI2" s="44"/>
      <c r="VFJ2" s="44"/>
      <c r="VFK2" s="44"/>
      <c r="VFL2" s="44"/>
      <c r="VFN2" s="44"/>
      <c r="VFO2" s="44"/>
      <c r="VFP2" s="44"/>
      <c r="VFQ2" s="44"/>
      <c r="VFR2" s="44"/>
      <c r="VFS2" s="44"/>
      <c r="VFT2" s="44"/>
      <c r="VFV2" s="44"/>
      <c r="VFW2" s="44"/>
      <c r="VFX2" s="44"/>
      <c r="VFY2" s="44"/>
      <c r="VFZ2" s="44"/>
      <c r="VGA2" s="44"/>
      <c r="VGB2" s="44"/>
      <c r="VGD2" s="44"/>
      <c r="VGE2" s="44"/>
      <c r="VGF2" s="44"/>
      <c r="VGG2" s="44"/>
      <c r="VGH2" s="44"/>
      <c r="VGI2" s="44"/>
      <c r="VGJ2" s="44"/>
      <c r="VGL2" s="44"/>
      <c r="VGM2" s="44"/>
      <c r="VGN2" s="44"/>
      <c r="VGO2" s="44"/>
      <c r="VGP2" s="44"/>
      <c r="VGQ2" s="44"/>
      <c r="VGR2" s="44"/>
      <c r="VGT2" s="44"/>
      <c r="VGU2" s="44"/>
      <c r="VGV2" s="44"/>
      <c r="VGW2" s="44"/>
      <c r="VGX2" s="44"/>
      <c r="VGY2" s="44"/>
      <c r="VGZ2" s="44"/>
      <c r="VHB2" s="44"/>
      <c r="VHC2" s="44"/>
      <c r="VHD2" s="44"/>
      <c r="VHE2" s="44"/>
      <c r="VHF2" s="44"/>
      <c r="VHG2" s="44"/>
      <c r="VHH2" s="44"/>
      <c r="VHJ2" s="44"/>
      <c r="VHK2" s="44"/>
      <c r="VHL2" s="44"/>
      <c r="VHM2" s="44"/>
      <c r="VHN2" s="44"/>
      <c r="VHO2" s="44"/>
      <c r="VHP2" s="44"/>
      <c r="VHR2" s="44"/>
      <c r="VHS2" s="44"/>
      <c r="VHT2" s="44"/>
      <c r="VHU2" s="44"/>
      <c r="VHV2" s="44"/>
      <c r="VHW2" s="44"/>
      <c r="VHX2" s="44"/>
      <c r="VHZ2" s="44"/>
      <c r="VIA2" s="44"/>
      <c r="VIB2" s="44"/>
      <c r="VIC2" s="44"/>
      <c r="VID2" s="44"/>
      <c r="VIE2" s="44"/>
      <c r="VIF2" s="44"/>
      <c r="VIH2" s="44"/>
      <c r="VII2" s="44"/>
      <c r="VIJ2" s="44"/>
      <c r="VIK2" s="44"/>
      <c r="VIL2" s="44"/>
      <c r="VIM2" s="44"/>
      <c r="VIN2" s="44"/>
      <c r="VIP2" s="44"/>
      <c r="VIQ2" s="44"/>
      <c r="VIR2" s="44"/>
      <c r="VIS2" s="44"/>
      <c r="VIT2" s="44"/>
      <c r="VIU2" s="44"/>
      <c r="VIV2" s="44"/>
      <c r="VIX2" s="44"/>
      <c r="VIY2" s="44"/>
      <c r="VIZ2" s="44"/>
      <c r="VJA2" s="44"/>
      <c r="VJB2" s="44"/>
      <c r="VJC2" s="44"/>
      <c r="VJD2" s="44"/>
      <c r="VJF2" s="44"/>
      <c r="VJG2" s="44"/>
      <c r="VJH2" s="44"/>
      <c r="VJI2" s="44"/>
      <c r="VJJ2" s="44"/>
      <c r="VJK2" s="44"/>
      <c r="VJL2" s="44"/>
      <c r="VJN2" s="44"/>
      <c r="VJO2" s="44"/>
      <c r="VJP2" s="44"/>
      <c r="VJQ2" s="44"/>
      <c r="VJR2" s="44"/>
      <c r="VJS2" s="44"/>
      <c r="VJT2" s="44"/>
      <c r="VJV2" s="44"/>
      <c r="VJW2" s="44"/>
      <c r="VJX2" s="44"/>
      <c r="VJY2" s="44"/>
      <c r="VJZ2" s="44"/>
      <c r="VKA2" s="44"/>
      <c r="VKB2" s="44"/>
      <c r="VKD2" s="44"/>
      <c r="VKE2" s="44"/>
      <c r="VKF2" s="44"/>
      <c r="VKG2" s="44"/>
      <c r="VKH2" s="44"/>
      <c r="VKI2" s="44"/>
      <c r="VKJ2" s="44"/>
      <c r="VKL2" s="44"/>
      <c r="VKM2" s="44"/>
      <c r="VKN2" s="44"/>
      <c r="VKO2" s="44"/>
      <c r="VKP2" s="44"/>
      <c r="VKQ2" s="44"/>
      <c r="VKR2" s="44"/>
      <c r="VKT2" s="44"/>
      <c r="VKU2" s="44"/>
      <c r="VKV2" s="44"/>
      <c r="VKW2" s="44"/>
      <c r="VKX2" s="44"/>
      <c r="VKY2" s="44"/>
      <c r="VKZ2" s="44"/>
      <c r="VLB2" s="44"/>
      <c r="VLC2" s="44"/>
      <c r="VLD2" s="44"/>
      <c r="VLE2" s="44"/>
      <c r="VLF2" s="44"/>
      <c r="VLG2" s="44"/>
      <c r="VLH2" s="44"/>
      <c r="VLJ2" s="44"/>
      <c r="VLK2" s="44"/>
      <c r="VLL2" s="44"/>
      <c r="VLM2" s="44"/>
      <c r="VLN2" s="44"/>
      <c r="VLO2" s="44"/>
      <c r="VLP2" s="44"/>
      <c r="VLR2" s="44"/>
      <c r="VLS2" s="44"/>
      <c r="VLT2" s="44"/>
      <c r="VLU2" s="44"/>
      <c r="VLV2" s="44"/>
      <c r="VLW2" s="44"/>
      <c r="VLX2" s="44"/>
      <c r="VLZ2" s="44"/>
      <c r="VMA2" s="44"/>
      <c r="VMB2" s="44"/>
      <c r="VMC2" s="44"/>
      <c r="VMD2" s="44"/>
      <c r="VME2" s="44"/>
      <c r="VMF2" s="44"/>
      <c r="VMH2" s="44"/>
      <c r="VMI2" s="44"/>
      <c r="VMJ2" s="44"/>
      <c r="VMK2" s="44"/>
      <c r="VML2" s="44"/>
      <c r="VMM2" s="44"/>
      <c r="VMN2" s="44"/>
      <c r="VMP2" s="44"/>
      <c r="VMQ2" s="44"/>
      <c r="VMR2" s="44"/>
      <c r="VMS2" s="44"/>
      <c r="VMT2" s="44"/>
      <c r="VMU2" s="44"/>
      <c r="VMV2" s="44"/>
      <c r="VMX2" s="44"/>
      <c r="VMY2" s="44"/>
      <c r="VMZ2" s="44"/>
      <c r="VNA2" s="44"/>
      <c r="VNB2" s="44"/>
      <c r="VNC2" s="44"/>
      <c r="VND2" s="44"/>
      <c r="VNF2" s="44"/>
      <c r="VNG2" s="44"/>
      <c r="VNH2" s="44"/>
      <c r="VNI2" s="44"/>
      <c r="VNJ2" s="44"/>
      <c r="VNK2" s="44"/>
      <c r="VNL2" s="44"/>
      <c r="VNN2" s="44"/>
      <c r="VNO2" s="44"/>
      <c r="VNP2" s="44"/>
      <c r="VNQ2" s="44"/>
      <c r="VNR2" s="44"/>
      <c r="VNS2" s="44"/>
      <c r="VNT2" s="44"/>
      <c r="VNV2" s="44"/>
      <c r="VNW2" s="44"/>
      <c r="VNX2" s="44"/>
      <c r="VNY2" s="44"/>
      <c r="VNZ2" s="44"/>
      <c r="VOA2" s="44"/>
      <c r="VOB2" s="44"/>
      <c r="VOD2" s="44"/>
      <c r="VOE2" s="44"/>
      <c r="VOF2" s="44"/>
      <c r="VOG2" s="44"/>
      <c r="VOH2" s="44"/>
      <c r="VOI2" s="44"/>
      <c r="VOJ2" s="44"/>
      <c r="VOL2" s="44"/>
      <c r="VOM2" s="44"/>
      <c r="VON2" s="44"/>
      <c r="VOO2" s="44"/>
      <c r="VOP2" s="44"/>
      <c r="VOQ2" s="44"/>
      <c r="VOR2" s="44"/>
      <c r="VOT2" s="44"/>
      <c r="VOU2" s="44"/>
      <c r="VOV2" s="44"/>
      <c r="VOW2" s="44"/>
      <c r="VOX2" s="44"/>
      <c r="VOY2" s="44"/>
      <c r="VOZ2" s="44"/>
      <c r="VPB2" s="44"/>
      <c r="VPC2" s="44"/>
      <c r="VPD2" s="44"/>
      <c r="VPE2" s="44"/>
      <c r="VPF2" s="44"/>
      <c r="VPG2" s="44"/>
      <c r="VPH2" s="44"/>
      <c r="VPJ2" s="44"/>
      <c r="VPK2" s="44"/>
      <c r="VPL2" s="44"/>
      <c r="VPM2" s="44"/>
      <c r="VPN2" s="44"/>
      <c r="VPO2" s="44"/>
      <c r="VPP2" s="44"/>
      <c r="VPR2" s="44"/>
      <c r="VPS2" s="44"/>
      <c r="VPT2" s="44"/>
      <c r="VPU2" s="44"/>
      <c r="VPV2" s="44"/>
      <c r="VPW2" s="44"/>
      <c r="VPX2" s="44"/>
      <c r="VPZ2" s="44"/>
      <c r="VQA2" s="44"/>
      <c r="VQB2" s="44"/>
      <c r="VQC2" s="44"/>
      <c r="VQD2" s="44"/>
      <c r="VQE2" s="44"/>
      <c r="VQF2" s="44"/>
      <c r="VQH2" s="44"/>
      <c r="VQI2" s="44"/>
      <c r="VQJ2" s="44"/>
      <c r="VQK2" s="44"/>
      <c r="VQL2" s="44"/>
      <c r="VQM2" s="44"/>
      <c r="VQN2" s="44"/>
      <c r="VQP2" s="44"/>
      <c r="VQQ2" s="44"/>
      <c r="VQR2" s="44"/>
      <c r="VQS2" s="44"/>
      <c r="VQT2" s="44"/>
      <c r="VQU2" s="44"/>
      <c r="VQV2" s="44"/>
      <c r="VQX2" s="44"/>
      <c r="VQY2" s="44"/>
      <c r="VQZ2" s="44"/>
      <c r="VRA2" s="44"/>
      <c r="VRB2" s="44"/>
      <c r="VRC2" s="44"/>
      <c r="VRD2" s="44"/>
      <c r="VRF2" s="44"/>
      <c r="VRG2" s="44"/>
      <c r="VRH2" s="44"/>
      <c r="VRI2" s="44"/>
      <c r="VRJ2" s="44"/>
      <c r="VRK2" s="44"/>
      <c r="VRL2" s="44"/>
      <c r="VRN2" s="44"/>
      <c r="VRO2" s="44"/>
      <c r="VRP2" s="44"/>
      <c r="VRQ2" s="44"/>
      <c r="VRR2" s="44"/>
      <c r="VRS2" s="44"/>
      <c r="VRT2" s="44"/>
      <c r="VRV2" s="44"/>
      <c r="VRW2" s="44"/>
      <c r="VRX2" s="44"/>
      <c r="VRY2" s="44"/>
      <c r="VRZ2" s="44"/>
      <c r="VSA2" s="44"/>
      <c r="VSB2" s="44"/>
      <c r="VSD2" s="44"/>
      <c r="VSE2" s="44"/>
      <c r="VSF2" s="44"/>
      <c r="VSG2" s="44"/>
      <c r="VSH2" s="44"/>
      <c r="VSI2" s="44"/>
      <c r="VSJ2" s="44"/>
      <c r="VSL2" s="44"/>
      <c r="VSM2" s="44"/>
      <c r="VSN2" s="44"/>
      <c r="VSO2" s="44"/>
      <c r="VSP2" s="44"/>
      <c r="VSQ2" s="44"/>
      <c r="VSR2" s="44"/>
      <c r="VST2" s="44"/>
      <c r="VSU2" s="44"/>
      <c r="VSV2" s="44"/>
      <c r="VSW2" s="44"/>
      <c r="VSX2" s="44"/>
      <c r="VSY2" s="44"/>
      <c r="VSZ2" s="44"/>
      <c r="VTB2" s="44"/>
      <c r="VTC2" s="44"/>
      <c r="VTD2" s="44"/>
      <c r="VTE2" s="44"/>
      <c r="VTF2" s="44"/>
      <c r="VTG2" s="44"/>
      <c r="VTH2" s="44"/>
      <c r="VTJ2" s="44"/>
      <c r="VTK2" s="44"/>
      <c r="VTL2" s="44"/>
      <c r="VTM2" s="44"/>
      <c r="VTN2" s="44"/>
      <c r="VTO2" s="44"/>
      <c r="VTP2" s="44"/>
      <c r="VTR2" s="44"/>
      <c r="VTS2" s="44"/>
      <c r="VTT2" s="44"/>
      <c r="VTU2" s="44"/>
      <c r="VTV2" s="44"/>
      <c r="VTW2" s="44"/>
      <c r="VTX2" s="44"/>
      <c r="VTZ2" s="44"/>
      <c r="VUA2" s="44"/>
      <c r="VUB2" s="44"/>
      <c r="VUC2" s="44"/>
      <c r="VUD2" s="44"/>
      <c r="VUE2" s="44"/>
      <c r="VUF2" s="44"/>
      <c r="VUH2" s="44"/>
      <c r="VUI2" s="44"/>
      <c r="VUJ2" s="44"/>
      <c r="VUK2" s="44"/>
      <c r="VUL2" s="44"/>
      <c r="VUM2" s="44"/>
      <c r="VUN2" s="44"/>
      <c r="VUP2" s="44"/>
      <c r="VUQ2" s="44"/>
      <c r="VUR2" s="44"/>
      <c r="VUS2" s="44"/>
      <c r="VUT2" s="44"/>
      <c r="VUU2" s="44"/>
      <c r="VUV2" s="44"/>
      <c r="VUX2" s="44"/>
      <c r="VUY2" s="44"/>
      <c r="VUZ2" s="44"/>
      <c r="VVA2" s="44"/>
      <c r="VVB2" s="44"/>
      <c r="VVC2" s="44"/>
      <c r="VVD2" s="44"/>
      <c r="VVF2" s="44"/>
      <c r="VVG2" s="44"/>
      <c r="VVH2" s="44"/>
      <c r="VVI2" s="44"/>
      <c r="VVJ2" s="44"/>
      <c r="VVK2" s="44"/>
      <c r="VVL2" s="44"/>
      <c r="VVN2" s="44"/>
      <c r="VVO2" s="44"/>
      <c r="VVP2" s="44"/>
      <c r="VVQ2" s="44"/>
      <c r="VVR2" s="44"/>
      <c r="VVS2" s="44"/>
      <c r="VVT2" s="44"/>
      <c r="VVV2" s="44"/>
      <c r="VVW2" s="44"/>
      <c r="VVX2" s="44"/>
      <c r="VVY2" s="44"/>
      <c r="VVZ2" s="44"/>
      <c r="VWA2" s="44"/>
      <c r="VWB2" s="44"/>
      <c r="VWD2" s="44"/>
      <c r="VWE2" s="44"/>
      <c r="VWF2" s="44"/>
      <c r="VWG2" s="44"/>
      <c r="VWH2" s="44"/>
      <c r="VWI2" s="44"/>
      <c r="VWJ2" s="44"/>
      <c r="VWL2" s="44"/>
      <c r="VWM2" s="44"/>
      <c r="VWN2" s="44"/>
      <c r="VWO2" s="44"/>
      <c r="VWP2" s="44"/>
      <c r="VWQ2" s="44"/>
      <c r="VWR2" s="44"/>
      <c r="VWT2" s="44"/>
      <c r="VWU2" s="44"/>
      <c r="VWV2" s="44"/>
      <c r="VWW2" s="44"/>
      <c r="VWX2" s="44"/>
      <c r="VWY2" s="44"/>
      <c r="VWZ2" s="44"/>
      <c r="VXB2" s="44"/>
      <c r="VXC2" s="44"/>
      <c r="VXD2" s="44"/>
      <c r="VXE2" s="44"/>
      <c r="VXF2" s="44"/>
      <c r="VXG2" s="44"/>
      <c r="VXH2" s="44"/>
      <c r="VXJ2" s="44"/>
      <c r="VXK2" s="44"/>
      <c r="VXL2" s="44"/>
      <c r="VXM2" s="44"/>
      <c r="VXN2" s="44"/>
      <c r="VXO2" s="44"/>
      <c r="VXP2" s="44"/>
      <c r="VXR2" s="44"/>
      <c r="VXS2" s="44"/>
      <c r="VXT2" s="44"/>
      <c r="VXU2" s="44"/>
      <c r="VXV2" s="44"/>
      <c r="VXW2" s="44"/>
      <c r="VXX2" s="44"/>
      <c r="VXZ2" s="44"/>
      <c r="VYA2" s="44"/>
      <c r="VYB2" s="44"/>
      <c r="VYC2" s="44"/>
      <c r="VYD2" s="44"/>
      <c r="VYE2" s="44"/>
      <c r="VYF2" s="44"/>
      <c r="VYH2" s="44"/>
      <c r="VYI2" s="44"/>
      <c r="VYJ2" s="44"/>
      <c r="VYK2" s="44"/>
      <c r="VYL2" s="44"/>
      <c r="VYM2" s="44"/>
      <c r="VYN2" s="44"/>
      <c r="VYP2" s="44"/>
      <c r="VYQ2" s="44"/>
      <c r="VYR2" s="44"/>
      <c r="VYS2" s="44"/>
      <c r="VYT2" s="44"/>
      <c r="VYU2" s="44"/>
      <c r="VYV2" s="44"/>
      <c r="VYX2" s="44"/>
      <c r="VYY2" s="44"/>
      <c r="VYZ2" s="44"/>
      <c r="VZA2" s="44"/>
      <c r="VZB2" s="44"/>
      <c r="VZC2" s="44"/>
      <c r="VZD2" s="44"/>
      <c r="VZF2" s="44"/>
      <c r="VZG2" s="44"/>
      <c r="VZH2" s="44"/>
      <c r="VZI2" s="44"/>
      <c r="VZJ2" s="44"/>
      <c r="VZK2" s="44"/>
      <c r="VZL2" s="44"/>
      <c r="VZN2" s="44"/>
      <c r="VZO2" s="44"/>
      <c r="VZP2" s="44"/>
      <c r="VZQ2" s="44"/>
      <c r="VZR2" s="44"/>
      <c r="VZS2" s="44"/>
      <c r="VZT2" s="44"/>
      <c r="VZV2" s="44"/>
      <c r="VZW2" s="44"/>
      <c r="VZX2" s="44"/>
      <c r="VZY2" s="44"/>
      <c r="VZZ2" s="44"/>
      <c r="WAA2" s="44"/>
      <c r="WAB2" s="44"/>
      <c r="WAD2" s="44"/>
      <c r="WAE2" s="44"/>
      <c r="WAF2" s="44"/>
      <c r="WAG2" s="44"/>
      <c r="WAH2" s="44"/>
      <c r="WAI2" s="44"/>
      <c r="WAJ2" s="44"/>
      <c r="WAL2" s="44"/>
      <c r="WAM2" s="44"/>
      <c r="WAN2" s="44"/>
      <c r="WAO2" s="44"/>
      <c r="WAP2" s="44"/>
      <c r="WAQ2" s="44"/>
      <c r="WAR2" s="44"/>
      <c r="WAT2" s="44"/>
      <c r="WAU2" s="44"/>
      <c r="WAV2" s="44"/>
      <c r="WAW2" s="44"/>
      <c r="WAX2" s="44"/>
      <c r="WAY2" s="44"/>
      <c r="WAZ2" s="44"/>
      <c r="WBB2" s="44"/>
      <c r="WBC2" s="44"/>
      <c r="WBD2" s="44"/>
      <c r="WBE2" s="44"/>
      <c r="WBF2" s="44"/>
      <c r="WBG2" s="44"/>
      <c r="WBH2" s="44"/>
      <c r="WBJ2" s="44"/>
      <c r="WBK2" s="44"/>
      <c r="WBL2" s="44"/>
      <c r="WBM2" s="44"/>
      <c r="WBN2" s="44"/>
      <c r="WBO2" s="44"/>
      <c r="WBP2" s="44"/>
      <c r="WBR2" s="44"/>
      <c r="WBS2" s="44"/>
      <c r="WBT2" s="44"/>
      <c r="WBU2" s="44"/>
      <c r="WBV2" s="44"/>
      <c r="WBW2" s="44"/>
      <c r="WBX2" s="44"/>
      <c r="WBZ2" s="44"/>
      <c r="WCA2" s="44"/>
      <c r="WCB2" s="44"/>
      <c r="WCC2" s="44"/>
      <c r="WCD2" s="44"/>
      <c r="WCE2" s="44"/>
      <c r="WCF2" s="44"/>
      <c r="WCH2" s="44"/>
      <c r="WCI2" s="44"/>
      <c r="WCJ2" s="44"/>
      <c r="WCK2" s="44"/>
      <c r="WCL2" s="44"/>
      <c r="WCM2" s="44"/>
      <c r="WCN2" s="44"/>
      <c r="WCP2" s="44"/>
      <c r="WCQ2" s="44"/>
      <c r="WCR2" s="44"/>
      <c r="WCS2" s="44"/>
      <c r="WCT2" s="44"/>
      <c r="WCU2" s="44"/>
      <c r="WCV2" s="44"/>
      <c r="WCX2" s="44"/>
      <c r="WCY2" s="44"/>
      <c r="WCZ2" s="44"/>
      <c r="WDA2" s="44"/>
      <c r="WDB2" s="44"/>
      <c r="WDC2" s="44"/>
      <c r="WDD2" s="44"/>
      <c r="WDF2" s="44"/>
      <c r="WDG2" s="44"/>
      <c r="WDH2" s="44"/>
      <c r="WDI2" s="44"/>
      <c r="WDJ2" s="44"/>
      <c r="WDK2" s="44"/>
      <c r="WDL2" s="44"/>
      <c r="WDN2" s="44"/>
      <c r="WDO2" s="44"/>
      <c r="WDP2" s="44"/>
      <c r="WDQ2" s="44"/>
      <c r="WDR2" s="44"/>
      <c r="WDS2" s="44"/>
      <c r="WDT2" s="44"/>
      <c r="WDV2" s="44"/>
      <c r="WDW2" s="44"/>
      <c r="WDX2" s="44"/>
      <c r="WDY2" s="44"/>
      <c r="WDZ2" s="44"/>
      <c r="WEA2" s="44"/>
      <c r="WEB2" s="44"/>
      <c r="WED2" s="44"/>
      <c r="WEE2" s="44"/>
      <c r="WEF2" s="44"/>
      <c r="WEG2" s="44"/>
      <c r="WEH2" s="44"/>
      <c r="WEI2" s="44"/>
      <c r="WEJ2" s="44"/>
      <c r="WEL2" s="44"/>
      <c r="WEM2" s="44"/>
      <c r="WEN2" s="44"/>
      <c r="WEO2" s="44"/>
      <c r="WEP2" s="44"/>
      <c r="WEQ2" s="44"/>
      <c r="WER2" s="44"/>
      <c r="WET2" s="44"/>
      <c r="WEU2" s="44"/>
      <c r="WEV2" s="44"/>
      <c r="WEW2" s="44"/>
      <c r="WEX2" s="44"/>
      <c r="WEY2" s="44"/>
      <c r="WEZ2" s="44"/>
      <c r="WFB2" s="44"/>
      <c r="WFC2" s="44"/>
      <c r="WFD2" s="44"/>
      <c r="WFE2" s="44"/>
      <c r="WFF2" s="44"/>
      <c r="WFG2" s="44"/>
      <c r="WFH2" s="44"/>
      <c r="WFJ2" s="44"/>
      <c r="WFK2" s="44"/>
      <c r="WFL2" s="44"/>
      <c r="WFM2" s="44"/>
      <c r="WFN2" s="44"/>
      <c r="WFO2" s="44"/>
      <c r="WFP2" s="44"/>
      <c r="WFR2" s="44"/>
      <c r="WFS2" s="44"/>
      <c r="WFT2" s="44"/>
      <c r="WFU2" s="44"/>
      <c r="WFV2" s="44"/>
      <c r="WFW2" s="44"/>
      <c r="WFX2" s="44"/>
      <c r="WFZ2" s="44"/>
      <c r="WGA2" s="44"/>
      <c r="WGB2" s="44"/>
      <c r="WGC2" s="44"/>
      <c r="WGD2" s="44"/>
      <c r="WGE2" s="44"/>
      <c r="WGF2" s="44"/>
      <c r="WGH2" s="44"/>
      <c r="WGI2" s="44"/>
      <c r="WGJ2" s="44"/>
      <c r="WGK2" s="44"/>
      <c r="WGL2" s="44"/>
      <c r="WGM2" s="44"/>
      <c r="WGN2" s="44"/>
      <c r="WGP2" s="44"/>
      <c r="WGQ2" s="44"/>
      <c r="WGR2" s="44"/>
      <c r="WGS2" s="44"/>
      <c r="WGT2" s="44"/>
      <c r="WGU2" s="44"/>
      <c r="WGV2" s="44"/>
      <c r="WGX2" s="44"/>
      <c r="WGY2" s="44"/>
      <c r="WGZ2" s="44"/>
      <c r="WHA2" s="44"/>
      <c r="WHB2" s="44"/>
      <c r="WHC2" s="44"/>
      <c r="WHD2" s="44"/>
      <c r="WHF2" s="44"/>
      <c r="WHG2" s="44"/>
      <c r="WHH2" s="44"/>
      <c r="WHI2" s="44"/>
      <c r="WHJ2" s="44"/>
      <c r="WHK2" s="44"/>
      <c r="WHL2" s="44"/>
      <c r="WHN2" s="44"/>
      <c r="WHO2" s="44"/>
      <c r="WHP2" s="44"/>
      <c r="WHQ2" s="44"/>
      <c r="WHR2" s="44"/>
      <c r="WHS2" s="44"/>
      <c r="WHT2" s="44"/>
      <c r="WHV2" s="44"/>
      <c r="WHW2" s="44"/>
      <c r="WHX2" s="44"/>
      <c r="WHY2" s="44"/>
      <c r="WHZ2" s="44"/>
      <c r="WIA2" s="44"/>
      <c r="WIB2" s="44"/>
      <c r="WID2" s="44"/>
      <c r="WIE2" s="44"/>
      <c r="WIF2" s="44"/>
      <c r="WIG2" s="44"/>
      <c r="WIH2" s="44"/>
      <c r="WII2" s="44"/>
      <c r="WIJ2" s="44"/>
      <c r="WIL2" s="44"/>
      <c r="WIM2" s="44"/>
      <c r="WIN2" s="44"/>
      <c r="WIO2" s="44"/>
      <c r="WIP2" s="44"/>
      <c r="WIQ2" s="44"/>
      <c r="WIR2" s="44"/>
      <c r="WIT2" s="44"/>
      <c r="WIU2" s="44"/>
      <c r="WIV2" s="44"/>
      <c r="WIW2" s="44"/>
      <c r="WIX2" s="44"/>
      <c r="WIY2" s="44"/>
      <c r="WIZ2" s="44"/>
      <c r="WJB2" s="44"/>
      <c r="WJC2" s="44"/>
      <c r="WJD2" s="44"/>
      <c r="WJE2" s="44"/>
      <c r="WJF2" s="44"/>
      <c r="WJG2" s="44"/>
      <c r="WJH2" s="44"/>
      <c r="WJJ2" s="44"/>
      <c r="WJK2" s="44"/>
      <c r="WJL2" s="44"/>
      <c r="WJM2" s="44"/>
      <c r="WJN2" s="44"/>
      <c r="WJO2" s="44"/>
      <c r="WJP2" s="44"/>
      <c r="WJR2" s="44"/>
      <c r="WJS2" s="44"/>
      <c r="WJT2" s="44"/>
      <c r="WJU2" s="44"/>
      <c r="WJV2" s="44"/>
      <c r="WJW2" s="44"/>
      <c r="WJX2" s="44"/>
      <c r="WJZ2" s="44"/>
      <c r="WKA2" s="44"/>
      <c r="WKB2" s="44"/>
      <c r="WKC2" s="44"/>
      <c r="WKD2" s="44"/>
      <c r="WKE2" s="44"/>
      <c r="WKF2" s="44"/>
      <c r="WKH2" s="44"/>
      <c r="WKI2" s="44"/>
      <c r="WKJ2" s="44"/>
      <c r="WKK2" s="44"/>
      <c r="WKL2" s="44"/>
      <c r="WKM2" s="44"/>
      <c r="WKN2" s="44"/>
      <c r="WKP2" s="44"/>
      <c r="WKQ2" s="44"/>
      <c r="WKR2" s="44"/>
      <c r="WKS2" s="44"/>
      <c r="WKT2" s="44"/>
      <c r="WKU2" s="44"/>
      <c r="WKV2" s="44"/>
      <c r="WKX2" s="44"/>
      <c r="WKY2" s="44"/>
      <c r="WKZ2" s="44"/>
      <c r="WLA2" s="44"/>
      <c r="WLB2" s="44"/>
      <c r="WLC2" s="44"/>
      <c r="WLD2" s="44"/>
      <c r="WLF2" s="44"/>
      <c r="WLG2" s="44"/>
      <c r="WLH2" s="44"/>
      <c r="WLI2" s="44"/>
      <c r="WLJ2" s="44"/>
      <c r="WLK2" s="44"/>
      <c r="WLL2" s="44"/>
      <c r="WLN2" s="44"/>
      <c r="WLO2" s="44"/>
      <c r="WLP2" s="44"/>
      <c r="WLQ2" s="44"/>
      <c r="WLR2" s="44"/>
      <c r="WLS2" s="44"/>
      <c r="WLT2" s="44"/>
      <c r="WLV2" s="44"/>
      <c r="WLW2" s="44"/>
      <c r="WLX2" s="44"/>
      <c r="WLY2" s="44"/>
      <c r="WLZ2" s="44"/>
      <c r="WMA2" s="44"/>
      <c r="WMB2" s="44"/>
      <c r="WMD2" s="44"/>
      <c r="WME2" s="44"/>
      <c r="WMF2" s="44"/>
      <c r="WMG2" s="44"/>
      <c r="WMH2" s="44"/>
      <c r="WMI2" s="44"/>
      <c r="WMJ2" s="44"/>
      <c r="WML2" s="44"/>
      <c r="WMM2" s="44"/>
      <c r="WMN2" s="44"/>
      <c r="WMO2" s="44"/>
      <c r="WMP2" s="44"/>
      <c r="WMQ2" s="44"/>
      <c r="WMR2" s="44"/>
      <c r="WMT2" s="44"/>
      <c r="WMU2" s="44"/>
      <c r="WMV2" s="44"/>
      <c r="WMW2" s="44"/>
      <c r="WMX2" s="44"/>
      <c r="WMY2" s="44"/>
      <c r="WMZ2" s="44"/>
      <c r="WNB2" s="44"/>
      <c r="WNC2" s="44"/>
      <c r="WND2" s="44"/>
      <c r="WNE2" s="44"/>
      <c r="WNF2" s="44"/>
      <c r="WNG2" s="44"/>
      <c r="WNH2" s="44"/>
      <c r="WNJ2" s="44"/>
      <c r="WNK2" s="44"/>
      <c r="WNL2" s="44"/>
      <c r="WNM2" s="44"/>
      <c r="WNN2" s="44"/>
      <c r="WNO2" s="44"/>
      <c r="WNP2" s="44"/>
      <c r="WNR2" s="44"/>
      <c r="WNS2" s="44"/>
      <c r="WNT2" s="44"/>
      <c r="WNU2" s="44"/>
      <c r="WNV2" s="44"/>
      <c r="WNW2" s="44"/>
      <c r="WNX2" s="44"/>
      <c r="WNZ2" s="44"/>
      <c r="WOA2" s="44"/>
      <c r="WOB2" s="44"/>
      <c r="WOC2" s="44"/>
      <c r="WOD2" s="44"/>
      <c r="WOE2" s="44"/>
      <c r="WOF2" s="44"/>
      <c r="WOH2" s="44"/>
      <c r="WOI2" s="44"/>
      <c r="WOJ2" s="44"/>
      <c r="WOK2" s="44"/>
      <c r="WOL2" s="44"/>
      <c r="WOM2" s="44"/>
      <c r="WON2" s="44"/>
      <c r="WOP2" s="44"/>
      <c r="WOQ2" s="44"/>
      <c r="WOR2" s="44"/>
      <c r="WOS2" s="44"/>
      <c r="WOT2" s="44"/>
      <c r="WOU2" s="44"/>
      <c r="WOV2" s="44"/>
      <c r="WOX2" s="44"/>
      <c r="WOY2" s="44"/>
      <c r="WOZ2" s="44"/>
      <c r="WPA2" s="44"/>
      <c r="WPB2" s="44"/>
      <c r="WPC2" s="44"/>
      <c r="WPD2" s="44"/>
      <c r="WPF2" s="44"/>
      <c r="WPG2" s="44"/>
      <c r="WPH2" s="44"/>
      <c r="WPI2" s="44"/>
      <c r="WPJ2" s="44"/>
      <c r="WPK2" s="44"/>
      <c r="WPL2" s="44"/>
      <c r="WPN2" s="44"/>
      <c r="WPO2" s="44"/>
      <c r="WPP2" s="44"/>
      <c r="WPQ2" s="44"/>
      <c r="WPR2" s="44"/>
      <c r="WPS2" s="44"/>
      <c r="WPT2" s="44"/>
      <c r="WPV2" s="44"/>
      <c r="WPW2" s="44"/>
      <c r="WPX2" s="44"/>
      <c r="WPY2" s="44"/>
      <c r="WPZ2" s="44"/>
      <c r="WQA2" s="44"/>
      <c r="WQB2" s="44"/>
      <c r="WQD2" s="44"/>
      <c r="WQE2" s="44"/>
      <c r="WQF2" s="44"/>
      <c r="WQG2" s="44"/>
      <c r="WQH2" s="44"/>
      <c r="WQI2" s="44"/>
      <c r="WQJ2" s="44"/>
      <c r="WQL2" s="44"/>
      <c r="WQM2" s="44"/>
      <c r="WQN2" s="44"/>
      <c r="WQO2" s="44"/>
      <c r="WQP2" s="44"/>
      <c r="WQQ2" s="44"/>
      <c r="WQR2" s="44"/>
      <c r="WQT2" s="44"/>
      <c r="WQU2" s="44"/>
      <c r="WQV2" s="44"/>
      <c r="WQW2" s="44"/>
      <c r="WQX2" s="44"/>
      <c r="WQY2" s="44"/>
      <c r="WQZ2" s="44"/>
      <c r="WRB2" s="44"/>
      <c r="WRC2" s="44"/>
      <c r="WRD2" s="44"/>
      <c r="WRE2" s="44"/>
      <c r="WRF2" s="44"/>
      <c r="WRG2" s="44"/>
      <c r="WRH2" s="44"/>
      <c r="WRJ2" s="44"/>
      <c r="WRK2" s="44"/>
      <c r="WRL2" s="44"/>
      <c r="WRM2" s="44"/>
      <c r="WRN2" s="44"/>
      <c r="WRO2" s="44"/>
      <c r="WRP2" s="44"/>
      <c r="WRR2" s="44"/>
      <c r="WRS2" s="44"/>
      <c r="WRT2" s="44"/>
      <c r="WRU2" s="44"/>
      <c r="WRV2" s="44"/>
      <c r="WRW2" s="44"/>
      <c r="WRX2" s="44"/>
      <c r="WRZ2" s="44"/>
      <c r="WSA2" s="44"/>
      <c r="WSB2" s="44"/>
      <c r="WSC2" s="44"/>
      <c r="WSD2" s="44"/>
      <c r="WSE2" s="44"/>
      <c r="WSF2" s="44"/>
      <c r="WSH2" s="44"/>
      <c r="WSI2" s="44"/>
      <c r="WSJ2" s="44"/>
      <c r="WSK2" s="44"/>
      <c r="WSL2" s="44"/>
      <c r="WSM2" s="44"/>
      <c r="WSN2" s="44"/>
      <c r="WSP2" s="44"/>
      <c r="WSQ2" s="44"/>
      <c r="WSR2" s="44"/>
      <c r="WSS2" s="44"/>
      <c r="WST2" s="44"/>
      <c r="WSU2" s="44"/>
      <c r="WSV2" s="44"/>
      <c r="WSX2" s="44"/>
      <c r="WSY2" s="44"/>
      <c r="WSZ2" s="44"/>
      <c r="WTA2" s="44"/>
      <c r="WTB2" s="44"/>
      <c r="WTC2" s="44"/>
      <c r="WTD2" s="44"/>
      <c r="WTF2" s="44"/>
      <c r="WTG2" s="44"/>
      <c r="WTH2" s="44"/>
      <c r="WTI2" s="44"/>
      <c r="WTJ2" s="44"/>
      <c r="WTK2" s="44"/>
      <c r="WTL2" s="44"/>
      <c r="WTN2" s="44"/>
      <c r="WTO2" s="44"/>
      <c r="WTP2" s="44"/>
      <c r="WTQ2" s="44"/>
      <c r="WTR2" s="44"/>
      <c r="WTS2" s="44"/>
      <c r="WTT2" s="44"/>
      <c r="WTV2" s="44"/>
      <c r="WTW2" s="44"/>
      <c r="WTX2" s="44"/>
      <c r="WTY2" s="44"/>
      <c r="WTZ2" s="44"/>
      <c r="WUA2" s="44"/>
      <c r="WUB2" s="44"/>
      <c r="WUD2" s="44"/>
      <c r="WUE2" s="44"/>
      <c r="WUF2" s="44"/>
      <c r="WUG2" s="44"/>
      <c r="WUH2" s="44"/>
      <c r="WUI2" s="44"/>
      <c r="WUJ2" s="44"/>
      <c r="WUL2" s="44"/>
      <c r="WUM2" s="44"/>
      <c r="WUN2" s="44"/>
      <c r="WUO2" s="44"/>
      <c r="WUP2" s="44"/>
      <c r="WUQ2" s="44"/>
      <c r="WUR2" s="44"/>
      <c r="WUT2" s="44"/>
      <c r="WUU2" s="44"/>
      <c r="WUV2" s="44"/>
      <c r="WUW2" s="44"/>
      <c r="WUX2" s="44"/>
      <c r="WUY2" s="44"/>
      <c r="WUZ2" s="44"/>
      <c r="WVB2" s="44"/>
      <c r="WVC2" s="44"/>
      <c r="WVD2" s="44"/>
      <c r="WVE2" s="44"/>
      <c r="WVF2" s="44"/>
      <c r="WVG2" s="44"/>
      <c r="WVH2" s="44"/>
      <c r="WVJ2" s="44"/>
      <c r="WVK2" s="44"/>
      <c r="WVL2" s="44"/>
      <c r="WVM2" s="44"/>
      <c r="WVN2" s="44"/>
      <c r="WVO2" s="44"/>
      <c r="WVP2" s="44"/>
      <c r="WVR2" s="44"/>
      <c r="WVS2" s="44"/>
      <c r="WVT2" s="44"/>
      <c r="WVU2" s="44"/>
      <c r="WVV2" s="44"/>
      <c r="WVW2" s="44"/>
      <c r="WVX2" s="44"/>
      <c r="WVZ2" s="44"/>
      <c r="WWA2" s="44"/>
      <c r="WWB2" s="44"/>
      <c r="WWC2" s="44"/>
      <c r="WWD2" s="44"/>
      <c r="WWE2" s="44"/>
      <c r="WWF2" s="44"/>
      <c r="WWH2" s="44"/>
      <c r="WWI2" s="44"/>
      <c r="WWJ2" s="44"/>
      <c r="WWK2" s="44"/>
      <c r="WWL2" s="44"/>
      <c r="WWM2" s="44"/>
      <c r="WWN2" s="44"/>
      <c r="WWP2" s="44"/>
      <c r="WWQ2" s="44"/>
      <c r="WWR2" s="44"/>
      <c r="WWS2" s="44"/>
      <c r="WWT2" s="44"/>
      <c r="WWU2" s="44"/>
      <c r="WWV2" s="44"/>
      <c r="WWX2" s="44"/>
      <c r="WWY2" s="44"/>
      <c r="WWZ2" s="44"/>
      <c r="WXA2" s="44"/>
      <c r="WXB2" s="44"/>
      <c r="WXC2" s="44"/>
      <c r="WXD2" s="44"/>
      <c r="WXF2" s="44"/>
      <c r="WXG2" s="44"/>
      <c r="WXH2" s="44"/>
      <c r="WXI2" s="44"/>
      <c r="WXJ2" s="44"/>
      <c r="WXK2" s="44"/>
      <c r="WXL2" s="44"/>
      <c r="WXN2" s="44"/>
      <c r="WXO2" s="44"/>
      <c r="WXP2" s="44"/>
      <c r="WXQ2" s="44"/>
      <c r="WXR2" s="44"/>
      <c r="WXS2" s="44"/>
      <c r="WXT2" s="44"/>
      <c r="WXV2" s="44"/>
      <c r="WXW2" s="44"/>
      <c r="WXX2" s="44"/>
      <c r="WXY2" s="44"/>
      <c r="WXZ2" s="44"/>
      <c r="WYA2" s="44"/>
      <c r="WYB2" s="44"/>
      <c r="WYD2" s="44"/>
      <c r="WYE2" s="44"/>
      <c r="WYF2" s="44"/>
      <c r="WYG2" s="44"/>
      <c r="WYH2" s="44"/>
      <c r="WYI2" s="44"/>
      <c r="WYJ2" s="44"/>
      <c r="WYL2" s="44"/>
      <c r="WYM2" s="44"/>
      <c r="WYN2" s="44"/>
      <c r="WYO2" s="44"/>
      <c r="WYP2" s="44"/>
      <c r="WYQ2" s="44"/>
      <c r="WYR2" s="44"/>
      <c r="WYT2" s="44"/>
      <c r="WYU2" s="44"/>
      <c r="WYV2" s="44"/>
      <c r="WYW2" s="44"/>
      <c r="WYX2" s="44"/>
      <c r="WYY2" s="44"/>
      <c r="WYZ2" s="44"/>
      <c r="WZB2" s="44"/>
      <c r="WZC2" s="44"/>
      <c r="WZD2" s="44"/>
      <c r="WZE2" s="44"/>
      <c r="WZF2" s="44"/>
      <c r="WZG2" s="44"/>
      <c r="WZH2" s="44"/>
      <c r="WZJ2" s="44"/>
      <c r="WZK2" s="44"/>
      <c r="WZL2" s="44"/>
      <c r="WZM2" s="44"/>
      <c r="WZN2" s="44"/>
      <c r="WZO2" s="44"/>
      <c r="WZP2" s="44"/>
      <c r="WZR2" s="44"/>
      <c r="WZS2" s="44"/>
      <c r="WZT2" s="44"/>
      <c r="WZU2" s="44"/>
      <c r="WZV2" s="44"/>
      <c r="WZW2" s="44"/>
      <c r="WZX2" s="44"/>
      <c r="WZZ2" s="44"/>
      <c r="XAA2" s="44"/>
      <c r="XAB2" s="44"/>
      <c r="XAC2" s="44"/>
      <c r="XAD2" s="44"/>
      <c r="XAE2" s="44"/>
      <c r="XAF2" s="44"/>
      <c r="XAH2" s="44"/>
      <c r="XAI2" s="44"/>
      <c r="XAJ2" s="44"/>
      <c r="XAK2" s="44"/>
      <c r="XAL2" s="44"/>
      <c r="XAM2" s="44"/>
      <c r="XAN2" s="44"/>
      <c r="XAP2" s="44"/>
      <c r="XAQ2" s="44"/>
      <c r="XAR2" s="44"/>
      <c r="XAS2" s="44"/>
      <c r="XAT2" s="44"/>
      <c r="XAU2" s="44"/>
      <c r="XAV2" s="44"/>
      <c r="XAX2" s="44"/>
      <c r="XAY2" s="44"/>
      <c r="XAZ2" s="44"/>
      <c r="XBA2" s="44"/>
      <c r="XBB2" s="44"/>
      <c r="XBC2" s="44"/>
      <c r="XBD2" s="44"/>
      <c r="XBF2" s="44"/>
      <c r="XBG2" s="44"/>
      <c r="XBH2" s="44"/>
      <c r="XBI2" s="44"/>
      <c r="XBJ2" s="44"/>
      <c r="XBK2" s="44"/>
      <c r="XBL2" s="44"/>
      <c r="XBN2" s="44"/>
      <c r="XBO2" s="44"/>
      <c r="XBP2" s="44"/>
      <c r="XBQ2" s="44"/>
      <c r="XBR2" s="44"/>
      <c r="XBS2" s="44"/>
      <c r="XBT2" s="44"/>
      <c r="XBV2" s="44"/>
      <c r="XBW2" s="44"/>
      <c r="XBX2" s="44"/>
      <c r="XBY2" s="44"/>
      <c r="XBZ2" s="44"/>
      <c r="XCA2" s="44"/>
      <c r="XCB2" s="44"/>
      <c r="XCD2" s="44"/>
      <c r="XCE2" s="44"/>
      <c r="XCF2" s="44"/>
      <c r="XCG2" s="44"/>
      <c r="XCH2" s="44"/>
      <c r="XCI2" s="44"/>
      <c r="XCJ2" s="44"/>
      <c r="XCL2" s="44"/>
      <c r="XCM2" s="44"/>
      <c r="XCN2" s="44"/>
      <c r="XCO2" s="44"/>
      <c r="XCP2" s="44"/>
      <c r="XCQ2" s="44"/>
      <c r="XCR2" s="44"/>
      <c r="XCT2" s="44"/>
      <c r="XCU2" s="44"/>
      <c r="XCV2" s="44"/>
      <c r="XCW2" s="44"/>
      <c r="XCX2" s="44"/>
      <c r="XCY2" s="44"/>
      <c r="XCZ2" s="44"/>
      <c r="XDB2" s="44"/>
      <c r="XDC2" s="44"/>
      <c r="XDD2" s="44"/>
      <c r="XDE2" s="44"/>
      <c r="XDF2" s="44"/>
      <c r="XDG2" s="44"/>
      <c r="XDH2" s="44"/>
      <c r="XDJ2" s="44"/>
      <c r="XDK2" s="44"/>
      <c r="XDL2" s="44"/>
      <c r="XDM2" s="44"/>
      <c r="XDN2" s="44"/>
      <c r="XDO2" s="44"/>
      <c r="XDP2" s="44"/>
      <c r="XDR2" s="44"/>
      <c r="XDS2" s="44"/>
      <c r="XDT2" s="44"/>
      <c r="XDU2" s="44"/>
      <c r="XDV2" s="44"/>
      <c r="XDW2" s="44"/>
      <c r="XDX2" s="44"/>
      <c r="XDZ2" s="44"/>
      <c r="XEA2" s="44"/>
      <c r="XEB2" s="44"/>
      <c r="XEC2" s="44"/>
      <c r="XED2" s="44"/>
      <c r="XEE2" s="44"/>
      <c r="XEF2" s="44"/>
      <c r="XEH2" s="44"/>
      <c r="XEI2" s="44"/>
      <c r="XEJ2" s="44"/>
      <c r="XEK2" s="44"/>
      <c r="XEL2" s="44"/>
      <c r="XEM2" s="44"/>
      <c r="XEN2" s="44"/>
      <c r="XEP2" s="44"/>
      <c r="XEQ2" s="44"/>
      <c r="XER2" s="44"/>
      <c r="XES2" s="44"/>
      <c r="XET2" s="44"/>
      <c r="XEU2" s="44"/>
      <c r="XEV2" s="44"/>
      <c r="XEX2" s="44"/>
      <c r="XEY2" s="44"/>
      <c r="XEZ2" s="44"/>
      <c r="XFA2" s="44"/>
      <c r="XFB2" s="44"/>
      <c r="XFC2" s="44"/>
      <c r="XFD2" s="44"/>
    </row>
    <row r="3" spans="1:1024 1026:2048 2050:3072 3074:4096 4098:5120 5122:6144 6146:7168 7170:8192 8194:9216 9218:10240 10242:11264 11266:12288 12290:13312 13314:14336 14338:15360 15362:16384" ht="15" thickBot="1" x14ac:dyDescent="0.35">
      <c r="A3" s="29"/>
      <c r="B3" s="2"/>
      <c r="C3" s="2"/>
      <c r="D3" s="30"/>
      <c r="E3" s="2"/>
      <c r="F3" s="2"/>
      <c r="G3" s="2"/>
      <c r="H3" s="30"/>
    </row>
    <row r="4" spans="1:1024 1026:2048 2050:3072 3074:4096 4098:5120 5122:6144 6146:7168 7170:8192 8194:9216 9218:10240 10242:11264 11266:12288 12290:13312 13314:14336 14338:15360 15362:16384" ht="15" thickBot="1" x14ac:dyDescent="0.35">
      <c r="A4" s="18" t="s">
        <v>54</v>
      </c>
      <c r="B4" s="18" t="s">
        <v>65</v>
      </c>
      <c r="C4" s="18" t="s">
        <v>66</v>
      </c>
      <c r="D4" s="18" t="s">
        <v>67</v>
      </c>
      <c r="E4" s="18" t="s">
        <v>68</v>
      </c>
      <c r="F4" s="18" t="s">
        <v>69</v>
      </c>
      <c r="G4" s="18" t="s">
        <v>70</v>
      </c>
      <c r="H4" s="18" t="s">
        <v>71</v>
      </c>
    </row>
    <row r="5" spans="1:1024 1026:2048 2050:3072 3074:4096 4098:5120 5122:6144 6146:7168 7170:8192 8194:9216 9218:10240 10242:11264 11266:12288 12290:13312 13314:14336 14338:15360 15362:16384" x14ac:dyDescent="0.3">
      <c r="A5" s="19" t="s">
        <v>35</v>
      </c>
      <c r="B5" s="21">
        <v>0.97</v>
      </c>
      <c r="C5" s="21">
        <v>0.71</v>
      </c>
      <c r="D5" s="31" t="s">
        <v>19</v>
      </c>
      <c r="E5" s="32">
        <v>1854</v>
      </c>
      <c r="F5" s="32">
        <v>10906</v>
      </c>
      <c r="G5" s="32">
        <v>2633</v>
      </c>
      <c r="H5" s="32">
        <v>13448</v>
      </c>
    </row>
    <row r="6" spans="1:1024 1026:2048 2050:3072 3074:4096 4098:5120 5122:6144 6146:7168 7170:8192 8194:9216 9218:10240 10242:11264 11266:12288 12290:13312 13314:14336 14338:15360 15362:16384" x14ac:dyDescent="0.3">
      <c r="A6" s="22" t="s">
        <v>34</v>
      </c>
      <c r="B6" s="24">
        <v>0.74</v>
      </c>
      <c r="C6" s="24">
        <v>0.53</v>
      </c>
      <c r="D6" s="33" t="s">
        <v>19</v>
      </c>
      <c r="E6" s="34">
        <v>1758</v>
      </c>
      <c r="F6" s="34">
        <v>26813</v>
      </c>
      <c r="G6" s="34">
        <v>5016</v>
      </c>
      <c r="H6" s="34">
        <v>15452</v>
      </c>
    </row>
    <row r="7" spans="1:1024 1026:2048 2050:3072 3074:4096 4098:5120 5122:6144 6146:7168 7170:8192 8194:9216 9218:10240 10242:11264 11266:12288 12290:13312 13314:14336 14338:15360 15362:16384" x14ac:dyDescent="0.3">
      <c r="A7" s="22" t="s">
        <v>37</v>
      </c>
      <c r="B7" s="24">
        <v>0.66</v>
      </c>
      <c r="C7" s="24">
        <v>0.22</v>
      </c>
      <c r="D7" s="33" t="s">
        <v>18</v>
      </c>
      <c r="E7" s="34">
        <v>67</v>
      </c>
      <c r="F7" s="34">
        <v>1643</v>
      </c>
      <c r="G7" s="34">
        <v>367</v>
      </c>
      <c r="H7" s="34">
        <v>7694</v>
      </c>
    </row>
    <row r="8" spans="1:1024 1026:2048 2050:3072 3074:4096 4098:5120 5122:6144 6146:7168 7170:8192 8194:9216 9218:10240 10242:11264 11266:12288 12290:13312 13314:14336 14338:15360 15362:16384" x14ac:dyDescent="0.3">
      <c r="A8" s="22" t="s">
        <v>38</v>
      </c>
      <c r="B8" s="35">
        <v>0.77</v>
      </c>
      <c r="C8" s="35">
        <v>0.55000000000000004</v>
      </c>
      <c r="D8" s="36" t="s">
        <v>19</v>
      </c>
      <c r="E8" s="37">
        <v>519</v>
      </c>
      <c r="F8" s="37">
        <v>4716</v>
      </c>
      <c r="G8" s="37">
        <v>1124</v>
      </c>
      <c r="H8" s="37">
        <v>4800</v>
      </c>
    </row>
    <row r="9" spans="1:1024 1026:2048 2050:3072 3074:4096 4098:5120 5122:6144 6146:7168 7170:8192 8194:9216 9218:10240 10242:11264 11266:12288 12290:13312 13314:14336 14338:15360 15362:16384" x14ac:dyDescent="0.3">
      <c r="A9" s="25" t="s">
        <v>33</v>
      </c>
      <c r="B9" s="38">
        <v>0.66</v>
      </c>
      <c r="C9" s="38">
        <v>0.47</v>
      </c>
      <c r="D9" s="39" t="s">
        <v>18</v>
      </c>
      <c r="E9" s="40">
        <v>5102</v>
      </c>
      <c r="F9" s="40">
        <v>20901</v>
      </c>
      <c r="G9" s="40">
        <v>6505</v>
      </c>
      <c r="H9" s="40">
        <v>15576</v>
      </c>
    </row>
    <row r="10" spans="1:1024 1026:2048 2050:3072 3074:4096 4098:5120 5122:6144 6146:7168 7170:8192 8194:9216 9218:10240 10242:11264 11266:12288 12290:13312 13314:14336 14338:15360 15362:16384" x14ac:dyDescent="0.3">
      <c r="A10" s="25" t="s">
        <v>36</v>
      </c>
      <c r="B10" s="38">
        <v>0.91</v>
      </c>
      <c r="C10" s="38">
        <v>0.4</v>
      </c>
      <c r="D10" s="39" t="s">
        <v>18</v>
      </c>
      <c r="E10" s="40">
        <v>3482</v>
      </c>
      <c r="F10" s="40">
        <v>12647</v>
      </c>
      <c r="G10" s="40">
        <v>-352</v>
      </c>
      <c r="H10" s="40">
        <v>12173</v>
      </c>
    </row>
    <row r="11" spans="1:1024 1026:2048 2050:3072 3074:4096 4098:5120 5122:6144 6146:7168 7170:8192 8194:9216 9218:10240 10242:11264 11266:12288 12290:13312 13314:14336 14338:15360 15362:16384" x14ac:dyDescent="0.3">
      <c r="A11" s="25" t="s">
        <v>32</v>
      </c>
      <c r="B11" s="38">
        <v>0.59</v>
      </c>
      <c r="C11" s="38">
        <v>0.16</v>
      </c>
      <c r="D11" s="39" t="s">
        <v>17</v>
      </c>
      <c r="E11" s="40">
        <v>2121</v>
      </c>
      <c r="F11" s="40">
        <v>14225</v>
      </c>
      <c r="G11" s="40">
        <v>2973</v>
      </c>
      <c r="H11" s="40">
        <v>45525</v>
      </c>
    </row>
    <row r="12" spans="1:1024 1026:2048 2050:3072 3074:4096 4098:5120 5122:6144 6146:7168 7170:8192 8194:9216 9218:10240 10242:11264 11266:12288 12290:13312 13314:14336 14338:15360 15362:16384" x14ac:dyDescent="0.3">
      <c r="A12" s="25" t="s">
        <v>39</v>
      </c>
      <c r="B12" s="38">
        <v>0.13</v>
      </c>
      <c r="C12" s="38">
        <v>7.0000000000000007E-2</v>
      </c>
      <c r="D12" s="39" t="s">
        <v>16</v>
      </c>
      <c r="E12" s="40">
        <v>28</v>
      </c>
      <c r="F12" s="40">
        <v>181</v>
      </c>
      <c r="G12" s="40">
        <v>368</v>
      </c>
      <c r="H12" s="40">
        <v>1128</v>
      </c>
    </row>
  </sheetData>
  <mergeCells count="4097">
    <mergeCell ref="XEK2:XEN2"/>
    <mergeCell ref="XEP2:XER2"/>
    <mergeCell ref="XES2:XEV2"/>
    <mergeCell ref="XEX2:XEZ2"/>
    <mergeCell ref="XFA2:XFD2"/>
    <mergeCell ref="XDM2:XDP2"/>
    <mergeCell ref="XDR2:XDT2"/>
    <mergeCell ref="XDU2:XDX2"/>
    <mergeCell ref="XDZ2:XEB2"/>
    <mergeCell ref="XEC2:XEF2"/>
    <mergeCell ref="XEH2:XEJ2"/>
    <mergeCell ref="XCO2:XCR2"/>
    <mergeCell ref="XCT2:XCV2"/>
    <mergeCell ref="XCW2:XCZ2"/>
    <mergeCell ref="XDB2:XDD2"/>
    <mergeCell ref="XDE2:XDH2"/>
    <mergeCell ref="XDJ2:XDL2"/>
    <mergeCell ref="XBQ2:XBT2"/>
    <mergeCell ref="XBV2:XBX2"/>
    <mergeCell ref="XBY2:XCB2"/>
    <mergeCell ref="XCD2:XCF2"/>
    <mergeCell ref="XCG2:XCJ2"/>
    <mergeCell ref="XCL2:XCN2"/>
    <mergeCell ref="XAS2:XAV2"/>
    <mergeCell ref="XAX2:XAZ2"/>
    <mergeCell ref="XBA2:XBD2"/>
    <mergeCell ref="XBF2:XBH2"/>
    <mergeCell ref="XBI2:XBL2"/>
    <mergeCell ref="XBN2:XBP2"/>
    <mergeCell ref="WZU2:WZX2"/>
    <mergeCell ref="WZZ2:XAB2"/>
    <mergeCell ref="XAC2:XAF2"/>
    <mergeCell ref="XAH2:XAJ2"/>
    <mergeCell ref="XAK2:XAN2"/>
    <mergeCell ref="XAP2:XAR2"/>
    <mergeCell ref="WYW2:WYZ2"/>
    <mergeCell ref="WZB2:WZD2"/>
    <mergeCell ref="WZE2:WZH2"/>
    <mergeCell ref="WZJ2:WZL2"/>
    <mergeCell ref="WZM2:WZP2"/>
    <mergeCell ref="WZR2:WZT2"/>
    <mergeCell ref="WXY2:WYB2"/>
    <mergeCell ref="WYD2:WYF2"/>
    <mergeCell ref="WYG2:WYJ2"/>
    <mergeCell ref="WYL2:WYN2"/>
    <mergeCell ref="WYO2:WYR2"/>
    <mergeCell ref="WYT2:WYV2"/>
    <mergeCell ref="WXA2:WXD2"/>
    <mergeCell ref="WXF2:WXH2"/>
    <mergeCell ref="WXI2:WXL2"/>
    <mergeCell ref="WXN2:WXP2"/>
    <mergeCell ref="WXQ2:WXT2"/>
    <mergeCell ref="WXV2:WXX2"/>
    <mergeCell ref="WWC2:WWF2"/>
    <mergeCell ref="WWH2:WWJ2"/>
    <mergeCell ref="WWK2:WWN2"/>
    <mergeCell ref="WWP2:WWR2"/>
    <mergeCell ref="WWS2:WWV2"/>
    <mergeCell ref="WWX2:WWZ2"/>
    <mergeCell ref="WVE2:WVH2"/>
    <mergeCell ref="WVJ2:WVL2"/>
    <mergeCell ref="WVM2:WVP2"/>
    <mergeCell ref="WVR2:WVT2"/>
    <mergeCell ref="WVU2:WVX2"/>
    <mergeCell ref="WVZ2:WWB2"/>
    <mergeCell ref="WUG2:WUJ2"/>
    <mergeCell ref="WUL2:WUN2"/>
    <mergeCell ref="WUO2:WUR2"/>
    <mergeCell ref="WUT2:WUV2"/>
    <mergeCell ref="WUW2:WUZ2"/>
    <mergeCell ref="WVB2:WVD2"/>
    <mergeCell ref="WTI2:WTL2"/>
    <mergeCell ref="WTN2:WTP2"/>
    <mergeCell ref="WTQ2:WTT2"/>
    <mergeCell ref="WTV2:WTX2"/>
    <mergeCell ref="WTY2:WUB2"/>
    <mergeCell ref="WUD2:WUF2"/>
    <mergeCell ref="WSK2:WSN2"/>
    <mergeCell ref="WSP2:WSR2"/>
    <mergeCell ref="WSS2:WSV2"/>
    <mergeCell ref="WSX2:WSZ2"/>
    <mergeCell ref="WTA2:WTD2"/>
    <mergeCell ref="WTF2:WTH2"/>
    <mergeCell ref="WRM2:WRP2"/>
    <mergeCell ref="WRR2:WRT2"/>
    <mergeCell ref="WRU2:WRX2"/>
    <mergeCell ref="WRZ2:WSB2"/>
    <mergeCell ref="WSC2:WSF2"/>
    <mergeCell ref="WSH2:WSJ2"/>
    <mergeCell ref="WQO2:WQR2"/>
    <mergeCell ref="WQT2:WQV2"/>
    <mergeCell ref="WQW2:WQZ2"/>
    <mergeCell ref="WRB2:WRD2"/>
    <mergeCell ref="WRE2:WRH2"/>
    <mergeCell ref="WRJ2:WRL2"/>
    <mergeCell ref="WPQ2:WPT2"/>
    <mergeCell ref="WPV2:WPX2"/>
    <mergeCell ref="WPY2:WQB2"/>
    <mergeCell ref="WQD2:WQF2"/>
    <mergeCell ref="WQG2:WQJ2"/>
    <mergeCell ref="WQL2:WQN2"/>
    <mergeCell ref="WOS2:WOV2"/>
    <mergeCell ref="WOX2:WOZ2"/>
    <mergeCell ref="WPA2:WPD2"/>
    <mergeCell ref="WPF2:WPH2"/>
    <mergeCell ref="WPI2:WPL2"/>
    <mergeCell ref="WPN2:WPP2"/>
    <mergeCell ref="WNU2:WNX2"/>
    <mergeCell ref="WNZ2:WOB2"/>
    <mergeCell ref="WOC2:WOF2"/>
    <mergeCell ref="WOH2:WOJ2"/>
    <mergeCell ref="WOK2:WON2"/>
    <mergeCell ref="WOP2:WOR2"/>
    <mergeCell ref="WMW2:WMZ2"/>
    <mergeCell ref="WNB2:WND2"/>
    <mergeCell ref="WNE2:WNH2"/>
    <mergeCell ref="WNJ2:WNL2"/>
    <mergeCell ref="WNM2:WNP2"/>
    <mergeCell ref="WNR2:WNT2"/>
    <mergeCell ref="WLY2:WMB2"/>
    <mergeCell ref="WMD2:WMF2"/>
    <mergeCell ref="WMG2:WMJ2"/>
    <mergeCell ref="WML2:WMN2"/>
    <mergeCell ref="WMO2:WMR2"/>
    <mergeCell ref="WMT2:WMV2"/>
    <mergeCell ref="WLA2:WLD2"/>
    <mergeCell ref="WLF2:WLH2"/>
    <mergeCell ref="WLI2:WLL2"/>
    <mergeCell ref="WLN2:WLP2"/>
    <mergeCell ref="WLQ2:WLT2"/>
    <mergeCell ref="WLV2:WLX2"/>
    <mergeCell ref="WKC2:WKF2"/>
    <mergeCell ref="WKH2:WKJ2"/>
    <mergeCell ref="WKK2:WKN2"/>
    <mergeCell ref="WKP2:WKR2"/>
    <mergeCell ref="WKS2:WKV2"/>
    <mergeCell ref="WKX2:WKZ2"/>
    <mergeCell ref="WJE2:WJH2"/>
    <mergeCell ref="WJJ2:WJL2"/>
    <mergeCell ref="WJM2:WJP2"/>
    <mergeCell ref="WJR2:WJT2"/>
    <mergeCell ref="WJU2:WJX2"/>
    <mergeCell ref="WJZ2:WKB2"/>
    <mergeCell ref="WIG2:WIJ2"/>
    <mergeCell ref="WIL2:WIN2"/>
    <mergeCell ref="WIO2:WIR2"/>
    <mergeCell ref="WIT2:WIV2"/>
    <mergeCell ref="WIW2:WIZ2"/>
    <mergeCell ref="WJB2:WJD2"/>
    <mergeCell ref="WHI2:WHL2"/>
    <mergeCell ref="WHN2:WHP2"/>
    <mergeCell ref="WHQ2:WHT2"/>
    <mergeCell ref="WHV2:WHX2"/>
    <mergeCell ref="WHY2:WIB2"/>
    <mergeCell ref="WID2:WIF2"/>
    <mergeCell ref="WGK2:WGN2"/>
    <mergeCell ref="WGP2:WGR2"/>
    <mergeCell ref="WGS2:WGV2"/>
    <mergeCell ref="WGX2:WGZ2"/>
    <mergeCell ref="WHA2:WHD2"/>
    <mergeCell ref="WHF2:WHH2"/>
    <mergeCell ref="WFM2:WFP2"/>
    <mergeCell ref="WFR2:WFT2"/>
    <mergeCell ref="WFU2:WFX2"/>
    <mergeCell ref="WFZ2:WGB2"/>
    <mergeCell ref="WGC2:WGF2"/>
    <mergeCell ref="WGH2:WGJ2"/>
    <mergeCell ref="WEO2:WER2"/>
    <mergeCell ref="WET2:WEV2"/>
    <mergeCell ref="WEW2:WEZ2"/>
    <mergeCell ref="WFB2:WFD2"/>
    <mergeCell ref="WFE2:WFH2"/>
    <mergeCell ref="WFJ2:WFL2"/>
    <mergeCell ref="WDQ2:WDT2"/>
    <mergeCell ref="WDV2:WDX2"/>
    <mergeCell ref="WDY2:WEB2"/>
    <mergeCell ref="WED2:WEF2"/>
    <mergeCell ref="WEG2:WEJ2"/>
    <mergeCell ref="WEL2:WEN2"/>
    <mergeCell ref="WCS2:WCV2"/>
    <mergeCell ref="WCX2:WCZ2"/>
    <mergeCell ref="WDA2:WDD2"/>
    <mergeCell ref="WDF2:WDH2"/>
    <mergeCell ref="WDI2:WDL2"/>
    <mergeCell ref="WDN2:WDP2"/>
    <mergeCell ref="WBU2:WBX2"/>
    <mergeCell ref="WBZ2:WCB2"/>
    <mergeCell ref="WCC2:WCF2"/>
    <mergeCell ref="WCH2:WCJ2"/>
    <mergeCell ref="WCK2:WCN2"/>
    <mergeCell ref="WCP2:WCR2"/>
    <mergeCell ref="WAW2:WAZ2"/>
    <mergeCell ref="WBB2:WBD2"/>
    <mergeCell ref="WBE2:WBH2"/>
    <mergeCell ref="WBJ2:WBL2"/>
    <mergeCell ref="WBM2:WBP2"/>
    <mergeCell ref="WBR2:WBT2"/>
    <mergeCell ref="VZY2:WAB2"/>
    <mergeCell ref="WAD2:WAF2"/>
    <mergeCell ref="WAG2:WAJ2"/>
    <mergeCell ref="WAL2:WAN2"/>
    <mergeCell ref="WAO2:WAR2"/>
    <mergeCell ref="WAT2:WAV2"/>
    <mergeCell ref="VZA2:VZD2"/>
    <mergeCell ref="VZF2:VZH2"/>
    <mergeCell ref="VZI2:VZL2"/>
    <mergeCell ref="VZN2:VZP2"/>
    <mergeCell ref="VZQ2:VZT2"/>
    <mergeCell ref="VZV2:VZX2"/>
    <mergeCell ref="VYC2:VYF2"/>
    <mergeCell ref="VYH2:VYJ2"/>
    <mergeCell ref="VYK2:VYN2"/>
    <mergeCell ref="VYP2:VYR2"/>
    <mergeCell ref="VYS2:VYV2"/>
    <mergeCell ref="VYX2:VYZ2"/>
    <mergeCell ref="VXE2:VXH2"/>
    <mergeCell ref="VXJ2:VXL2"/>
    <mergeCell ref="VXM2:VXP2"/>
    <mergeCell ref="VXR2:VXT2"/>
    <mergeCell ref="VXU2:VXX2"/>
    <mergeCell ref="VXZ2:VYB2"/>
    <mergeCell ref="VWG2:VWJ2"/>
    <mergeCell ref="VWL2:VWN2"/>
    <mergeCell ref="VWO2:VWR2"/>
    <mergeCell ref="VWT2:VWV2"/>
    <mergeCell ref="VWW2:VWZ2"/>
    <mergeCell ref="VXB2:VXD2"/>
    <mergeCell ref="VVI2:VVL2"/>
    <mergeCell ref="VVN2:VVP2"/>
    <mergeCell ref="VVQ2:VVT2"/>
    <mergeCell ref="VVV2:VVX2"/>
    <mergeCell ref="VVY2:VWB2"/>
    <mergeCell ref="VWD2:VWF2"/>
    <mergeCell ref="VUK2:VUN2"/>
    <mergeCell ref="VUP2:VUR2"/>
    <mergeCell ref="VUS2:VUV2"/>
    <mergeCell ref="VUX2:VUZ2"/>
    <mergeCell ref="VVA2:VVD2"/>
    <mergeCell ref="VVF2:VVH2"/>
    <mergeCell ref="VTM2:VTP2"/>
    <mergeCell ref="VTR2:VTT2"/>
    <mergeCell ref="VTU2:VTX2"/>
    <mergeCell ref="VTZ2:VUB2"/>
    <mergeCell ref="VUC2:VUF2"/>
    <mergeCell ref="VUH2:VUJ2"/>
    <mergeCell ref="VSO2:VSR2"/>
    <mergeCell ref="VST2:VSV2"/>
    <mergeCell ref="VSW2:VSZ2"/>
    <mergeCell ref="VTB2:VTD2"/>
    <mergeCell ref="VTE2:VTH2"/>
    <mergeCell ref="VTJ2:VTL2"/>
    <mergeCell ref="VRQ2:VRT2"/>
    <mergeCell ref="VRV2:VRX2"/>
    <mergeCell ref="VRY2:VSB2"/>
    <mergeCell ref="VSD2:VSF2"/>
    <mergeCell ref="VSG2:VSJ2"/>
    <mergeCell ref="VSL2:VSN2"/>
    <mergeCell ref="VQS2:VQV2"/>
    <mergeCell ref="VQX2:VQZ2"/>
    <mergeCell ref="VRA2:VRD2"/>
    <mergeCell ref="VRF2:VRH2"/>
    <mergeCell ref="VRI2:VRL2"/>
    <mergeCell ref="VRN2:VRP2"/>
    <mergeCell ref="VPU2:VPX2"/>
    <mergeCell ref="VPZ2:VQB2"/>
    <mergeCell ref="VQC2:VQF2"/>
    <mergeCell ref="VQH2:VQJ2"/>
    <mergeCell ref="VQK2:VQN2"/>
    <mergeCell ref="VQP2:VQR2"/>
    <mergeCell ref="VOW2:VOZ2"/>
    <mergeCell ref="VPB2:VPD2"/>
    <mergeCell ref="VPE2:VPH2"/>
    <mergeCell ref="VPJ2:VPL2"/>
    <mergeCell ref="VPM2:VPP2"/>
    <mergeCell ref="VPR2:VPT2"/>
    <mergeCell ref="VNY2:VOB2"/>
    <mergeCell ref="VOD2:VOF2"/>
    <mergeCell ref="VOG2:VOJ2"/>
    <mergeCell ref="VOL2:VON2"/>
    <mergeCell ref="VOO2:VOR2"/>
    <mergeCell ref="VOT2:VOV2"/>
    <mergeCell ref="VNA2:VND2"/>
    <mergeCell ref="VNF2:VNH2"/>
    <mergeCell ref="VNI2:VNL2"/>
    <mergeCell ref="VNN2:VNP2"/>
    <mergeCell ref="VNQ2:VNT2"/>
    <mergeCell ref="VNV2:VNX2"/>
    <mergeCell ref="VMC2:VMF2"/>
    <mergeCell ref="VMH2:VMJ2"/>
    <mergeCell ref="VMK2:VMN2"/>
    <mergeCell ref="VMP2:VMR2"/>
    <mergeCell ref="VMS2:VMV2"/>
    <mergeCell ref="VMX2:VMZ2"/>
    <mergeCell ref="VLE2:VLH2"/>
    <mergeCell ref="VLJ2:VLL2"/>
    <mergeCell ref="VLM2:VLP2"/>
    <mergeCell ref="VLR2:VLT2"/>
    <mergeCell ref="VLU2:VLX2"/>
    <mergeCell ref="VLZ2:VMB2"/>
    <mergeCell ref="VKG2:VKJ2"/>
    <mergeCell ref="VKL2:VKN2"/>
    <mergeCell ref="VKO2:VKR2"/>
    <mergeCell ref="VKT2:VKV2"/>
    <mergeCell ref="VKW2:VKZ2"/>
    <mergeCell ref="VLB2:VLD2"/>
    <mergeCell ref="VJI2:VJL2"/>
    <mergeCell ref="VJN2:VJP2"/>
    <mergeCell ref="VJQ2:VJT2"/>
    <mergeCell ref="VJV2:VJX2"/>
    <mergeCell ref="VJY2:VKB2"/>
    <mergeCell ref="VKD2:VKF2"/>
    <mergeCell ref="VIK2:VIN2"/>
    <mergeCell ref="VIP2:VIR2"/>
    <mergeCell ref="VIS2:VIV2"/>
    <mergeCell ref="VIX2:VIZ2"/>
    <mergeCell ref="VJA2:VJD2"/>
    <mergeCell ref="VJF2:VJH2"/>
    <mergeCell ref="VHM2:VHP2"/>
    <mergeCell ref="VHR2:VHT2"/>
    <mergeCell ref="VHU2:VHX2"/>
    <mergeCell ref="VHZ2:VIB2"/>
    <mergeCell ref="VIC2:VIF2"/>
    <mergeCell ref="VIH2:VIJ2"/>
    <mergeCell ref="VGO2:VGR2"/>
    <mergeCell ref="VGT2:VGV2"/>
    <mergeCell ref="VGW2:VGZ2"/>
    <mergeCell ref="VHB2:VHD2"/>
    <mergeCell ref="VHE2:VHH2"/>
    <mergeCell ref="VHJ2:VHL2"/>
    <mergeCell ref="VFQ2:VFT2"/>
    <mergeCell ref="VFV2:VFX2"/>
    <mergeCell ref="VFY2:VGB2"/>
    <mergeCell ref="VGD2:VGF2"/>
    <mergeCell ref="VGG2:VGJ2"/>
    <mergeCell ref="VGL2:VGN2"/>
    <mergeCell ref="VES2:VEV2"/>
    <mergeCell ref="VEX2:VEZ2"/>
    <mergeCell ref="VFA2:VFD2"/>
    <mergeCell ref="VFF2:VFH2"/>
    <mergeCell ref="VFI2:VFL2"/>
    <mergeCell ref="VFN2:VFP2"/>
    <mergeCell ref="VDU2:VDX2"/>
    <mergeCell ref="VDZ2:VEB2"/>
    <mergeCell ref="VEC2:VEF2"/>
    <mergeCell ref="VEH2:VEJ2"/>
    <mergeCell ref="VEK2:VEN2"/>
    <mergeCell ref="VEP2:VER2"/>
    <mergeCell ref="VCW2:VCZ2"/>
    <mergeCell ref="VDB2:VDD2"/>
    <mergeCell ref="VDE2:VDH2"/>
    <mergeCell ref="VDJ2:VDL2"/>
    <mergeCell ref="VDM2:VDP2"/>
    <mergeCell ref="VDR2:VDT2"/>
    <mergeCell ref="VBY2:VCB2"/>
    <mergeCell ref="VCD2:VCF2"/>
    <mergeCell ref="VCG2:VCJ2"/>
    <mergeCell ref="VCL2:VCN2"/>
    <mergeCell ref="VCO2:VCR2"/>
    <mergeCell ref="VCT2:VCV2"/>
    <mergeCell ref="VBA2:VBD2"/>
    <mergeCell ref="VBF2:VBH2"/>
    <mergeCell ref="VBI2:VBL2"/>
    <mergeCell ref="VBN2:VBP2"/>
    <mergeCell ref="VBQ2:VBT2"/>
    <mergeCell ref="VBV2:VBX2"/>
    <mergeCell ref="VAC2:VAF2"/>
    <mergeCell ref="VAH2:VAJ2"/>
    <mergeCell ref="VAK2:VAN2"/>
    <mergeCell ref="VAP2:VAR2"/>
    <mergeCell ref="VAS2:VAV2"/>
    <mergeCell ref="VAX2:VAZ2"/>
    <mergeCell ref="UZE2:UZH2"/>
    <mergeCell ref="UZJ2:UZL2"/>
    <mergeCell ref="UZM2:UZP2"/>
    <mergeCell ref="UZR2:UZT2"/>
    <mergeCell ref="UZU2:UZX2"/>
    <mergeCell ref="UZZ2:VAB2"/>
    <mergeCell ref="UYG2:UYJ2"/>
    <mergeCell ref="UYL2:UYN2"/>
    <mergeCell ref="UYO2:UYR2"/>
    <mergeCell ref="UYT2:UYV2"/>
    <mergeCell ref="UYW2:UYZ2"/>
    <mergeCell ref="UZB2:UZD2"/>
    <mergeCell ref="UXI2:UXL2"/>
    <mergeCell ref="UXN2:UXP2"/>
    <mergeCell ref="UXQ2:UXT2"/>
    <mergeCell ref="UXV2:UXX2"/>
    <mergeCell ref="UXY2:UYB2"/>
    <mergeCell ref="UYD2:UYF2"/>
    <mergeCell ref="UWK2:UWN2"/>
    <mergeCell ref="UWP2:UWR2"/>
    <mergeCell ref="UWS2:UWV2"/>
    <mergeCell ref="UWX2:UWZ2"/>
    <mergeCell ref="UXA2:UXD2"/>
    <mergeCell ref="UXF2:UXH2"/>
    <mergeCell ref="UVM2:UVP2"/>
    <mergeCell ref="UVR2:UVT2"/>
    <mergeCell ref="UVU2:UVX2"/>
    <mergeCell ref="UVZ2:UWB2"/>
    <mergeCell ref="UWC2:UWF2"/>
    <mergeCell ref="UWH2:UWJ2"/>
    <mergeCell ref="UUO2:UUR2"/>
    <mergeCell ref="UUT2:UUV2"/>
    <mergeCell ref="UUW2:UUZ2"/>
    <mergeCell ref="UVB2:UVD2"/>
    <mergeCell ref="UVE2:UVH2"/>
    <mergeCell ref="UVJ2:UVL2"/>
    <mergeCell ref="UTQ2:UTT2"/>
    <mergeCell ref="UTV2:UTX2"/>
    <mergeCell ref="UTY2:UUB2"/>
    <mergeCell ref="UUD2:UUF2"/>
    <mergeCell ref="UUG2:UUJ2"/>
    <mergeCell ref="UUL2:UUN2"/>
    <mergeCell ref="USS2:USV2"/>
    <mergeCell ref="USX2:USZ2"/>
    <mergeCell ref="UTA2:UTD2"/>
    <mergeCell ref="UTF2:UTH2"/>
    <mergeCell ref="UTI2:UTL2"/>
    <mergeCell ref="UTN2:UTP2"/>
    <mergeCell ref="URU2:URX2"/>
    <mergeCell ref="URZ2:USB2"/>
    <mergeCell ref="USC2:USF2"/>
    <mergeCell ref="USH2:USJ2"/>
    <mergeCell ref="USK2:USN2"/>
    <mergeCell ref="USP2:USR2"/>
    <mergeCell ref="UQW2:UQZ2"/>
    <mergeCell ref="URB2:URD2"/>
    <mergeCell ref="URE2:URH2"/>
    <mergeCell ref="URJ2:URL2"/>
    <mergeCell ref="URM2:URP2"/>
    <mergeCell ref="URR2:URT2"/>
    <mergeCell ref="UPY2:UQB2"/>
    <mergeCell ref="UQD2:UQF2"/>
    <mergeCell ref="UQG2:UQJ2"/>
    <mergeCell ref="UQL2:UQN2"/>
    <mergeCell ref="UQO2:UQR2"/>
    <mergeCell ref="UQT2:UQV2"/>
    <mergeCell ref="UPA2:UPD2"/>
    <mergeCell ref="UPF2:UPH2"/>
    <mergeCell ref="UPI2:UPL2"/>
    <mergeCell ref="UPN2:UPP2"/>
    <mergeCell ref="UPQ2:UPT2"/>
    <mergeCell ref="UPV2:UPX2"/>
    <mergeCell ref="UOC2:UOF2"/>
    <mergeCell ref="UOH2:UOJ2"/>
    <mergeCell ref="UOK2:UON2"/>
    <mergeCell ref="UOP2:UOR2"/>
    <mergeCell ref="UOS2:UOV2"/>
    <mergeCell ref="UOX2:UOZ2"/>
    <mergeCell ref="UNE2:UNH2"/>
    <mergeCell ref="UNJ2:UNL2"/>
    <mergeCell ref="UNM2:UNP2"/>
    <mergeCell ref="UNR2:UNT2"/>
    <mergeCell ref="UNU2:UNX2"/>
    <mergeCell ref="UNZ2:UOB2"/>
    <mergeCell ref="UMG2:UMJ2"/>
    <mergeCell ref="UML2:UMN2"/>
    <mergeCell ref="UMO2:UMR2"/>
    <mergeCell ref="UMT2:UMV2"/>
    <mergeCell ref="UMW2:UMZ2"/>
    <mergeCell ref="UNB2:UND2"/>
    <mergeCell ref="ULI2:ULL2"/>
    <mergeCell ref="ULN2:ULP2"/>
    <mergeCell ref="ULQ2:ULT2"/>
    <mergeCell ref="ULV2:ULX2"/>
    <mergeCell ref="ULY2:UMB2"/>
    <mergeCell ref="UMD2:UMF2"/>
    <mergeCell ref="UKK2:UKN2"/>
    <mergeCell ref="UKP2:UKR2"/>
    <mergeCell ref="UKS2:UKV2"/>
    <mergeCell ref="UKX2:UKZ2"/>
    <mergeCell ref="ULA2:ULD2"/>
    <mergeCell ref="ULF2:ULH2"/>
    <mergeCell ref="UJM2:UJP2"/>
    <mergeCell ref="UJR2:UJT2"/>
    <mergeCell ref="UJU2:UJX2"/>
    <mergeCell ref="UJZ2:UKB2"/>
    <mergeCell ref="UKC2:UKF2"/>
    <mergeCell ref="UKH2:UKJ2"/>
    <mergeCell ref="UIO2:UIR2"/>
    <mergeCell ref="UIT2:UIV2"/>
    <mergeCell ref="UIW2:UIZ2"/>
    <mergeCell ref="UJB2:UJD2"/>
    <mergeCell ref="UJE2:UJH2"/>
    <mergeCell ref="UJJ2:UJL2"/>
    <mergeCell ref="UHQ2:UHT2"/>
    <mergeCell ref="UHV2:UHX2"/>
    <mergeCell ref="UHY2:UIB2"/>
    <mergeCell ref="UID2:UIF2"/>
    <mergeCell ref="UIG2:UIJ2"/>
    <mergeCell ref="UIL2:UIN2"/>
    <mergeCell ref="UGS2:UGV2"/>
    <mergeCell ref="UGX2:UGZ2"/>
    <mergeCell ref="UHA2:UHD2"/>
    <mergeCell ref="UHF2:UHH2"/>
    <mergeCell ref="UHI2:UHL2"/>
    <mergeCell ref="UHN2:UHP2"/>
    <mergeCell ref="UFU2:UFX2"/>
    <mergeCell ref="UFZ2:UGB2"/>
    <mergeCell ref="UGC2:UGF2"/>
    <mergeCell ref="UGH2:UGJ2"/>
    <mergeCell ref="UGK2:UGN2"/>
    <mergeCell ref="UGP2:UGR2"/>
    <mergeCell ref="UEW2:UEZ2"/>
    <mergeCell ref="UFB2:UFD2"/>
    <mergeCell ref="UFE2:UFH2"/>
    <mergeCell ref="UFJ2:UFL2"/>
    <mergeCell ref="UFM2:UFP2"/>
    <mergeCell ref="UFR2:UFT2"/>
    <mergeCell ref="UDY2:UEB2"/>
    <mergeCell ref="UED2:UEF2"/>
    <mergeCell ref="UEG2:UEJ2"/>
    <mergeCell ref="UEL2:UEN2"/>
    <mergeCell ref="UEO2:UER2"/>
    <mergeCell ref="UET2:UEV2"/>
    <mergeCell ref="UDA2:UDD2"/>
    <mergeCell ref="UDF2:UDH2"/>
    <mergeCell ref="UDI2:UDL2"/>
    <mergeCell ref="UDN2:UDP2"/>
    <mergeCell ref="UDQ2:UDT2"/>
    <mergeCell ref="UDV2:UDX2"/>
    <mergeCell ref="UCC2:UCF2"/>
    <mergeCell ref="UCH2:UCJ2"/>
    <mergeCell ref="UCK2:UCN2"/>
    <mergeCell ref="UCP2:UCR2"/>
    <mergeCell ref="UCS2:UCV2"/>
    <mergeCell ref="UCX2:UCZ2"/>
    <mergeCell ref="UBE2:UBH2"/>
    <mergeCell ref="UBJ2:UBL2"/>
    <mergeCell ref="UBM2:UBP2"/>
    <mergeCell ref="UBR2:UBT2"/>
    <mergeCell ref="UBU2:UBX2"/>
    <mergeCell ref="UBZ2:UCB2"/>
    <mergeCell ref="UAG2:UAJ2"/>
    <mergeCell ref="UAL2:UAN2"/>
    <mergeCell ref="UAO2:UAR2"/>
    <mergeCell ref="UAT2:UAV2"/>
    <mergeCell ref="UAW2:UAZ2"/>
    <mergeCell ref="UBB2:UBD2"/>
    <mergeCell ref="TZI2:TZL2"/>
    <mergeCell ref="TZN2:TZP2"/>
    <mergeCell ref="TZQ2:TZT2"/>
    <mergeCell ref="TZV2:TZX2"/>
    <mergeCell ref="TZY2:UAB2"/>
    <mergeCell ref="UAD2:UAF2"/>
    <mergeCell ref="TYK2:TYN2"/>
    <mergeCell ref="TYP2:TYR2"/>
    <mergeCell ref="TYS2:TYV2"/>
    <mergeCell ref="TYX2:TYZ2"/>
    <mergeCell ref="TZA2:TZD2"/>
    <mergeCell ref="TZF2:TZH2"/>
    <mergeCell ref="TXM2:TXP2"/>
    <mergeCell ref="TXR2:TXT2"/>
    <mergeCell ref="TXU2:TXX2"/>
    <mergeCell ref="TXZ2:TYB2"/>
    <mergeCell ref="TYC2:TYF2"/>
    <mergeCell ref="TYH2:TYJ2"/>
    <mergeCell ref="TWO2:TWR2"/>
    <mergeCell ref="TWT2:TWV2"/>
    <mergeCell ref="TWW2:TWZ2"/>
    <mergeCell ref="TXB2:TXD2"/>
    <mergeCell ref="TXE2:TXH2"/>
    <mergeCell ref="TXJ2:TXL2"/>
    <mergeCell ref="TVQ2:TVT2"/>
    <mergeCell ref="TVV2:TVX2"/>
    <mergeCell ref="TVY2:TWB2"/>
    <mergeCell ref="TWD2:TWF2"/>
    <mergeCell ref="TWG2:TWJ2"/>
    <mergeCell ref="TWL2:TWN2"/>
    <mergeCell ref="TUS2:TUV2"/>
    <mergeCell ref="TUX2:TUZ2"/>
    <mergeCell ref="TVA2:TVD2"/>
    <mergeCell ref="TVF2:TVH2"/>
    <mergeCell ref="TVI2:TVL2"/>
    <mergeCell ref="TVN2:TVP2"/>
    <mergeCell ref="TTU2:TTX2"/>
    <mergeCell ref="TTZ2:TUB2"/>
    <mergeCell ref="TUC2:TUF2"/>
    <mergeCell ref="TUH2:TUJ2"/>
    <mergeCell ref="TUK2:TUN2"/>
    <mergeCell ref="TUP2:TUR2"/>
    <mergeCell ref="TSW2:TSZ2"/>
    <mergeCell ref="TTB2:TTD2"/>
    <mergeCell ref="TTE2:TTH2"/>
    <mergeCell ref="TTJ2:TTL2"/>
    <mergeCell ref="TTM2:TTP2"/>
    <mergeCell ref="TTR2:TTT2"/>
    <mergeCell ref="TRY2:TSB2"/>
    <mergeCell ref="TSD2:TSF2"/>
    <mergeCell ref="TSG2:TSJ2"/>
    <mergeCell ref="TSL2:TSN2"/>
    <mergeCell ref="TSO2:TSR2"/>
    <mergeCell ref="TST2:TSV2"/>
    <mergeCell ref="TRA2:TRD2"/>
    <mergeCell ref="TRF2:TRH2"/>
    <mergeCell ref="TRI2:TRL2"/>
    <mergeCell ref="TRN2:TRP2"/>
    <mergeCell ref="TRQ2:TRT2"/>
    <mergeCell ref="TRV2:TRX2"/>
    <mergeCell ref="TQC2:TQF2"/>
    <mergeCell ref="TQH2:TQJ2"/>
    <mergeCell ref="TQK2:TQN2"/>
    <mergeCell ref="TQP2:TQR2"/>
    <mergeCell ref="TQS2:TQV2"/>
    <mergeCell ref="TQX2:TQZ2"/>
    <mergeCell ref="TPE2:TPH2"/>
    <mergeCell ref="TPJ2:TPL2"/>
    <mergeCell ref="TPM2:TPP2"/>
    <mergeCell ref="TPR2:TPT2"/>
    <mergeCell ref="TPU2:TPX2"/>
    <mergeCell ref="TPZ2:TQB2"/>
    <mergeCell ref="TOG2:TOJ2"/>
    <mergeCell ref="TOL2:TON2"/>
    <mergeCell ref="TOO2:TOR2"/>
    <mergeCell ref="TOT2:TOV2"/>
    <mergeCell ref="TOW2:TOZ2"/>
    <mergeCell ref="TPB2:TPD2"/>
    <mergeCell ref="TNI2:TNL2"/>
    <mergeCell ref="TNN2:TNP2"/>
    <mergeCell ref="TNQ2:TNT2"/>
    <mergeCell ref="TNV2:TNX2"/>
    <mergeCell ref="TNY2:TOB2"/>
    <mergeCell ref="TOD2:TOF2"/>
    <mergeCell ref="TMK2:TMN2"/>
    <mergeCell ref="TMP2:TMR2"/>
    <mergeCell ref="TMS2:TMV2"/>
    <mergeCell ref="TMX2:TMZ2"/>
    <mergeCell ref="TNA2:TND2"/>
    <mergeCell ref="TNF2:TNH2"/>
    <mergeCell ref="TLM2:TLP2"/>
    <mergeCell ref="TLR2:TLT2"/>
    <mergeCell ref="TLU2:TLX2"/>
    <mergeCell ref="TLZ2:TMB2"/>
    <mergeCell ref="TMC2:TMF2"/>
    <mergeCell ref="TMH2:TMJ2"/>
    <mergeCell ref="TKO2:TKR2"/>
    <mergeCell ref="TKT2:TKV2"/>
    <mergeCell ref="TKW2:TKZ2"/>
    <mergeCell ref="TLB2:TLD2"/>
    <mergeCell ref="TLE2:TLH2"/>
    <mergeCell ref="TLJ2:TLL2"/>
    <mergeCell ref="TJQ2:TJT2"/>
    <mergeCell ref="TJV2:TJX2"/>
    <mergeCell ref="TJY2:TKB2"/>
    <mergeCell ref="TKD2:TKF2"/>
    <mergeCell ref="TKG2:TKJ2"/>
    <mergeCell ref="TKL2:TKN2"/>
    <mergeCell ref="TIS2:TIV2"/>
    <mergeCell ref="TIX2:TIZ2"/>
    <mergeCell ref="TJA2:TJD2"/>
    <mergeCell ref="TJF2:TJH2"/>
    <mergeCell ref="TJI2:TJL2"/>
    <mergeCell ref="TJN2:TJP2"/>
    <mergeCell ref="THU2:THX2"/>
    <mergeCell ref="THZ2:TIB2"/>
    <mergeCell ref="TIC2:TIF2"/>
    <mergeCell ref="TIH2:TIJ2"/>
    <mergeCell ref="TIK2:TIN2"/>
    <mergeCell ref="TIP2:TIR2"/>
    <mergeCell ref="TGW2:TGZ2"/>
    <mergeCell ref="THB2:THD2"/>
    <mergeCell ref="THE2:THH2"/>
    <mergeCell ref="THJ2:THL2"/>
    <mergeCell ref="THM2:THP2"/>
    <mergeCell ref="THR2:THT2"/>
    <mergeCell ref="TFY2:TGB2"/>
    <mergeCell ref="TGD2:TGF2"/>
    <mergeCell ref="TGG2:TGJ2"/>
    <mergeCell ref="TGL2:TGN2"/>
    <mergeCell ref="TGO2:TGR2"/>
    <mergeCell ref="TGT2:TGV2"/>
    <mergeCell ref="TFA2:TFD2"/>
    <mergeCell ref="TFF2:TFH2"/>
    <mergeCell ref="TFI2:TFL2"/>
    <mergeCell ref="TFN2:TFP2"/>
    <mergeCell ref="TFQ2:TFT2"/>
    <mergeCell ref="TFV2:TFX2"/>
    <mergeCell ref="TEC2:TEF2"/>
    <mergeCell ref="TEH2:TEJ2"/>
    <mergeCell ref="TEK2:TEN2"/>
    <mergeCell ref="TEP2:TER2"/>
    <mergeCell ref="TES2:TEV2"/>
    <mergeCell ref="TEX2:TEZ2"/>
    <mergeCell ref="TDE2:TDH2"/>
    <mergeCell ref="TDJ2:TDL2"/>
    <mergeCell ref="TDM2:TDP2"/>
    <mergeCell ref="TDR2:TDT2"/>
    <mergeCell ref="TDU2:TDX2"/>
    <mergeCell ref="TDZ2:TEB2"/>
    <mergeCell ref="TCG2:TCJ2"/>
    <mergeCell ref="TCL2:TCN2"/>
    <mergeCell ref="TCO2:TCR2"/>
    <mergeCell ref="TCT2:TCV2"/>
    <mergeCell ref="TCW2:TCZ2"/>
    <mergeCell ref="TDB2:TDD2"/>
    <mergeCell ref="TBI2:TBL2"/>
    <mergeCell ref="TBN2:TBP2"/>
    <mergeCell ref="TBQ2:TBT2"/>
    <mergeCell ref="TBV2:TBX2"/>
    <mergeCell ref="TBY2:TCB2"/>
    <mergeCell ref="TCD2:TCF2"/>
    <mergeCell ref="TAK2:TAN2"/>
    <mergeCell ref="TAP2:TAR2"/>
    <mergeCell ref="TAS2:TAV2"/>
    <mergeCell ref="TAX2:TAZ2"/>
    <mergeCell ref="TBA2:TBD2"/>
    <mergeCell ref="TBF2:TBH2"/>
    <mergeCell ref="SZM2:SZP2"/>
    <mergeCell ref="SZR2:SZT2"/>
    <mergeCell ref="SZU2:SZX2"/>
    <mergeCell ref="SZZ2:TAB2"/>
    <mergeCell ref="TAC2:TAF2"/>
    <mergeCell ref="TAH2:TAJ2"/>
    <mergeCell ref="SYO2:SYR2"/>
    <mergeCell ref="SYT2:SYV2"/>
    <mergeCell ref="SYW2:SYZ2"/>
    <mergeCell ref="SZB2:SZD2"/>
    <mergeCell ref="SZE2:SZH2"/>
    <mergeCell ref="SZJ2:SZL2"/>
    <mergeCell ref="SXQ2:SXT2"/>
    <mergeCell ref="SXV2:SXX2"/>
    <mergeCell ref="SXY2:SYB2"/>
    <mergeCell ref="SYD2:SYF2"/>
    <mergeCell ref="SYG2:SYJ2"/>
    <mergeCell ref="SYL2:SYN2"/>
    <mergeCell ref="SWS2:SWV2"/>
    <mergeCell ref="SWX2:SWZ2"/>
    <mergeCell ref="SXA2:SXD2"/>
    <mergeCell ref="SXF2:SXH2"/>
    <mergeCell ref="SXI2:SXL2"/>
    <mergeCell ref="SXN2:SXP2"/>
    <mergeCell ref="SVU2:SVX2"/>
    <mergeCell ref="SVZ2:SWB2"/>
    <mergeCell ref="SWC2:SWF2"/>
    <mergeCell ref="SWH2:SWJ2"/>
    <mergeCell ref="SWK2:SWN2"/>
    <mergeCell ref="SWP2:SWR2"/>
    <mergeCell ref="SUW2:SUZ2"/>
    <mergeCell ref="SVB2:SVD2"/>
    <mergeCell ref="SVE2:SVH2"/>
    <mergeCell ref="SVJ2:SVL2"/>
    <mergeCell ref="SVM2:SVP2"/>
    <mergeCell ref="SVR2:SVT2"/>
    <mergeCell ref="STY2:SUB2"/>
    <mergeCell ref="SUD2:SUF2"/>
    <mergeCell ref="SUG2:SUJ2"/>
    <mergeCell ref="SUL2:SUN2"/>
    <mergeCell ref="SUO2:SUR2"/>
    <mergeCell ref="SUT2:SUV2"/>
    <mergeCell ref="STA2:STD2"/>
    <mergeCell ref="STF2:STH2"/>
    <mergeCell ref="STI2:STL2"/>
    <mergeCell ref="STN2:STP2"/>
    <mergeCell ref="STQ2:STT2"/>
    <mergeCell ref="STV2:STX2"/>
    <mergeCell ref="SSC2:SSF2"/>
    <mergeCell ref="SSH2:SSJ2"/>
    <mergeCell ref="SSK2:SSN2"/>
    <mergeCell ref="SSP2:SSR2"/>
    <mergeCell ref="SSS2:SSV2"/>
    <mergeCell ref="SSX2:SSZ2"/>
    <mergeCell ref="SRE2:SRH2"/>
    <mergeCell ref="SRJ2:SRL2"/>
    <mergeCell ref="SRM2:SRP2"/>
    <mergeCell ref="SRR2:SRT2"/>
    <mergeCell ref="SRU2:SRX2"/>
    <mergeCell ref="SRZ2:SSB2"/>
    <mergeCell ref="SQG2:SQJ2"/>
    <mergeCell ref="SQL2:SQN2"/>
    <mergeCell ref="SQO2:SQR2"/>
    <mergeCell ref="SQT2:SQV2"/>
    <mergeCell ref="SQW2:SQZ2"/>
    <mergeCell ref="SRB2:SRD2"/>
    <mergeCell ref="SPI2:SPL2"/>
    <mergeCell ref="SPN2:SPP2"/>
    <mergeCell ref="SPQ2:SPT2"/>
    <mergeCell ref="SPV2:SPX2"/>
    <mergeCell ref="SPY2:SQB2"/>
    <mergeCell ref="SQD2:SQF2"/>
    <mergeCell ref="SOK2:SON2"/>
    <mergeCell ref="SOP2:SOR2"/>
    <mergeCell ref="SOS2:SOV2"/>
    <mergeCell ref="SOX2:SOZ2"/>
    <mergeCell ref="SPA2:SPD2"/>
    <mergeCell ref="SPF2:SPH2"/>
    <mergeCell ref="SNM2:SNP2"/>
    <mergeCell ref="SNR2:SNT2"/>
    <mergeCell ref="SNU2:SNX2"/>
    <mergeCell ref="SNZ2:SOB2"/>
    <mergeCell ref="SOC2:SOF2"/>
    <mergeCell ref="SOH2:SOJ2"/>
    <mergeCell ref="SMO2:SMR2"/>
    <mergeCell ref="SMT2:SMV2"/>
    <mergeCell ref="SMW2:SMZ2"/>
    <mergeCell ref="SNB2:SND2"/>
    <mergeCell ref="SNE2:SNH2"/>
    <mergeCell ref="SNJ2:SNL2"/>
    <mergeCell ref="SLQ2:SLT2"/>
    <mergeCell ref="SLV2:SLX2"/>
    <mergeCell ref="SLY2:SMB2"/>
    <mergeCell ref="SMD2:SMF2"/>
    <mergeCell ref="SMG2:SMJ2"/>
    <mergeCell ref="SML2:SMN2"/>
    <mergeCell ref="SKS2:SKV2"/>
    <mergeCell ref="SKX2:SKZ2"/>
    <mergeCell ref="SLA2:SLD2"/>
    <mergeCell ref="SLF2:SLH2"/>
    <mergeCell ref="SLI2:SLL2"/>
    <mergeCell ref="SLN2:SLP2"/>
    <mergeCell ref="SJU2:SJX2"/>
    <mergeCell ref="SJZ2:SKB2"/>
    <mergeCell ref="SKC2:SKF2"/>
    <mergeCell ref="SKH2:SKJ2"/>
    <mergeCell ref="SKK2:SKN2"/>
    <mergeCell ref="SKP2:SKR2"/>
    <mergeCell ref="SIW2:SIZ2"/>
    <mergeCell ref="SJB2:SJD2"/>
    <mergeCell ref="SJE2:SJH2"/>
    <mergeCell ref="SJJ2:SJL2"/>
    <mergeCell ref="SJM2:SJP2"/>
    <mergeCell ref="SJR2:SJT2"/>
    <mergeCell ref="SHY2:SIB2"/>
    <mergeCell ref="SID2:SIF2"/>
    <mergeCell ref="SIG2:SIJ2"/>
    <mergeCell ref="SIL2:SIN2"/>
    <mergeCell ref="SIO2:SIR2"/>
    <mergeCell ref="SIT2:SIV2"/>
    <mergeCell ref="SHA2:SHD2"/>
    <mergeCell ref="SHF2:SHH2"/>
    <mergeCell ref="SHI2:SHL2"/>
    <mergeCell ref="SHN2:SHP2"/>
    <mergeCell ref="SHQ2:SHT2"/>
    <mergeCell ref="SHV2:SHX2"/>
    <mergeCell ref="SGC2:SGF2"/>
    <mergeCell ref="SGH2:SGJ2"/>
    <mergeCell ref="SGK2:SGN2"/>
    <mergeCell ref="SGP2:SGR2"/>
    <mergeCell ref="SGS2:SGV2"/>
    <mergeCell ref="SGX2:SGZ2"/>
    <mergeCell ref="SFE2:SFH2"/>
    <mergeCell ref="SFJ2:SFL2"/>
    <mergeCell ref="SFM2:SFP2"/>
    <mergeCell ref="SFR2:SFT2"/>
    <mergeCell ref="SFU2:SFX2"/>
    <mergeCell ref="SFZ2:SGB2"/>
    <mergeCell ref="SEG2:SEJ2"/>
    <mergeCell ref="SEL2:SEN2"/>
    <mergeCell ref="SEO2:SER2"/>
    <mergeCell ref="SET2:SEV2"/>
    <mergeCell ref="SEW2:SEZ2"/>
    <mergeCell ref="SFB2:SFD2"/>
    <mergeCell ref="SDI2:SDL2"/>
    <mergeCell ref="SDN2:SDP2"/>
    <mergeCell ref="SDQ2:SDT2"/>
    <mergeCell ref="SDV2:SDX2"/>
    <mergeCell ref="SDY2:SEB2"/>
    <mergeCell ref="SED2:SEF2"/>
    <mergeCell ref="SCK2:SCN2"/>
    <mergeCell ref="SCP2:SCR2"/>
    <mergeCell ref="SCS2:SCV2"/>
    <mergeCell ref="SCX2:SCZ2"/>
    <mergeCell ref="SDA2:SDD2"/>
    <mergeCell ref="SDF2:SDH2"/>
    <mergeCell ref="SBM2:SBP2"/>
    <mergeCell ref="SBR2:SBT2"/>
    <mergeCell ref="SBU2:SBX2"/>
    <mergeCell ref="SBZ2:SCB2"/>
    <mergeCell ref="SCC2:SCF2"/>
    <mergeCell ref="SCH2:SCJ2"/>
    <mergeCell ref="SAO2:SAR2"/>
    <mergeCell ref="SAT2:SAV2"/>
    <mergeCell ref="SAW2:SAZ2"/>
    <mergeCell ref="SBB2:SBD2"/>
    <mergeCell ref="SBE2:SBH2"/>
    <mergeCell ref="SBJ2:SBL2"/>
    <mergeCell ref="RZQ2:RZT2"/>
    <mergeCell ref="RZV2:RZX2"/>
    <mergeCell ref="RZY2:SAB2"/>
    <mergeCell ref="SAD2:SAF2"/>
    <mergeCell ref="SAG2:SAJ2"/>
    <mergeCell ref="SAL2:SAN2"/>
    <mergeCell ref="RYS2:RYV2"/>
    <mergeCell ref="RYX2:RYZ2"/>
    <mergeCell ref="RZA2:RZD2"/>
    <mergeCell ref="RZF2:RZH2"/>
    <mergeCell ref="RZI2:RZL2"/>
    <mergeCell ref="RZN2:RZP2"/>
    <mergeCell ref="RXU2:RXX2"/>
    <mergeCell ref="RXZ2:RYB2"/>
    <mergeCell ref="RYC2:RYF2"/>
    <mergeCell ref="RYH2:RYJ2"/>
    <mergeCell ref="RYK2:RYN2"/>
    <mergeCell ref="RYP2:RYR2"/>
    <mergeCell ref="RWW2:RWZ2"/>
    <mergeCell ref="RXB2:RXD2"/>
    <mergeCell ref="RXE2:RXH2"/>
    <mergeCell ref="RXJ2:RXL2"/>
    <mergeCell ref="RXM2:RXP2"/>
    <mergeCell ref="RXR2:RXT2"/>
    <mergeCell ref="RVY2:RWB2"/>
    <mergeCell ref="RWD2:RWF2"/>
    <mergeCell ref="RWG2:RWJ2"/>
    <mergeCell ref="RWL2:RWN2"/>
    <mergeCell ref="RWO2:RWR2"/>
    <mergeCell ref="RWT2:RWV2"/>
    <mergeCell ref="RVA2:RVD2"/>
    <mergeCell ref="RVF2:RVH2"/>
    <mergeCell ref="RVI2:RVL2"/>
    <mergeCell ref="RVN2:RVP2"/>
    <mergeCell ref="RVQ2:RVT2"/>
    <mergeCell ref="RVV2:RVX2"/>
    <mergeCell ref="RUC2:RUF2"/>
    <mergeCell ref="RUH2:RUJ2"/>
    <mergeCell ref="RUK2:RUN2"/>
    <mergeCell ref="RUP2:RUR2"/>
    <mergeCell ref="RUS2:RUV2"/>
    <mergeCell ref="RUX2:RUZ2"/>
    <mergeCell ref="RTE2:RTH2"/>
    <mergeCell ref="RTJ2:RTL2"/>
    <mergeCell ref="RTM2:RTP2"/>
    <mergeCell ref="RTR2:RTT2"/>
    <mergeCell ref="RTU2:RTX2"/>
    <mergeCell ref="RTZ2:RUB2"/>
    <mergeCell ref="RSG2:RSJ2"/>
    <mergeCell ref="RSL2:RSN2"/>
    <mergeCell ref="RSO2:RSR2"/>
    <mergeCell ref="RST2:RSV2"/>
    <mergeCell ref="RSW2:RSZ2"/>
    <mergeCell ref="RTB2:RTD2"/>
    <mergeCell ref="RRI2:RRL2"/>
    <mergeCell ref="RRN2:RRP2"/>
    <mergeCell ref="RRQ2:RRT2"/>
    <mergeCell ref="RRV2:RRX2"/>
    <mergeCell ref="RRY2:RSB2"/>
    <mergeCell ref="RSD2:RSF2"/>
    <mergeCell ref="RQK2:RQN2"/>
    <mergeCell ref="RQP2:RQR2"/>
    <mergeCell ref="RQS2:RQV2"/>
    <mergeCell ref="RQX2:RQZ2"/>
    <mergeCell ref="RRA2:RRD2"/>
    <mergeCell ref="RRF2:RRH2"/>
    <mergeCell ref="RPM2:RPP2"/>
    <mergeCell ref="RPR2:RPT2"/>
    <mergeCell ref="RPU2:RPX2"/>
    <mergeCell ref="RPZ2:RQB2"/>
    <mergeCell ref="RQC2:RQF2"/>
    <mergeCell ref="RQH2:RQJ2"/>
    <mergeCell ref="ROO2:ROR2"/>
    <mergeCell ref="ROT2:ROV2"/>
    <mergeCell ref="ROW2:ROZ2"/>
    <mergeCell ref="RPB2:RPD2"/>
    <mergeCell ref="RPE2:RPH2"/>
    <mergeCell ref="RPJ2:RPL2"/>
    <mergeCell ref="RNQ2:RNT2"/>
    <mergeCell ref="RNV2:RNX2"/>
    <mergeCell ref="RNY2:ROB2"/>
    <mergeCell ref="ROD2:ROF2"/>
    <mergeCell ref="ROG2:ROJ2"/>
    <mergeCell ref="ROL2:RON2"/>
    <mergeCell ref="RMS2:RMV2"/>
    <mergeCell ref="RMX2:RMZ2"/>
    <mergeCell ref="RNA2:RND2"/>
    <mergeCell ref="RNF2:RNH2"/>
    <mergeCell ref="RNI2:RNL2"/>
    <mergeCell ref="RNN2:RNP2"/>
    <mergeCell ref="RLU2:RLX2"/>
    <mergeCell ref="RLZ2:RMB2"/>
    <mergeCell ref="RMC2:RMF2"/>
    <mergeCell ref="RMH2:RMJ2"/>
    <mergeCell ref="RMK2:RMN2"/>
    <mergeCell ref="RMP2:RMR2"/>
    <mergeCell ref="RKW2:RKZ2"/>
    <mergeCell ref="RLB2:RLD2"/>
    <mergeCell ref="RLE2:RLH2"/>
    <mergeCell ref="RLJ2:RLL2"/>
    <mergeCell ref="RLM2:RLP2"/>
    <mergeCell ref="RLR2:RLT2"/>
    <mergeCell ref="RJY2:RKB2"/>
    <mergeCell ref="RKD2:RKF2"/>
    <mergeCell ref="RKG2:RKJ2"/>
    <mergeCell ref="RKL2:RKN2"/>
    <mergeCell ref="RKO2:RKR2"/>
    <mergeCell ref="RKT2:RKV2"/>
    <mergeCell ref="RJA2:RJD2"/>
    <mergeCell ref="RJF2:RJH2"/>
    <mergeCell ref="RJI2:RJL2"/>
    <mergeCell ref="RJN2:RJP2"/>
    <mergeCell ref="RJQ2:RJT2"/>
    <mergeCell ref="RJV2:RJX2"/>
    <mergeCell ref="RIC2:RIF2"/>
    <mergeCell ref="RIH2:RIJ2"/>
    <mergeCell ref="RIK2:RIN2"/>
    <mergeCell ref="RIP2:RIR2"/>
    <mergeCell ref="RIS2:RIV2"/>
    <mergeCell ref="RIX2:RIZ2"/>
    <mergeCell ref="RHE2:RHH2"/>
    <mergeCell ref="RHJ2:RHL2"/>
    <mergeCell ref="RHM2:RHP2"/>
    <mergeCell ref="RHR2:RHT2"/>
    <mergeCell ref="RHU2:RHX2"/>
    <mergeCell ref="RHZ2:RIB2"/>
    <mergeCell ref="RGG2:RGJ2"/>
    <mergeCell ref="RGL2:RGN2"/>
    <mergeCell ref="RGO2:RGR2"/>
    <mergeCell ref="RGT2:RGV2"/>
    <mergeCell ref="RGW2:RGZ2"/>
    <mergeCell ref="RHB2:RHD2"/>
    <mergeCell ref="RFI2:RFL2"/>
    <mergeCell ref="RFN2:RFP2"/>
    <mergeCell ref="RFQ2:RFT2"/>
    <mergeCell ref="RFV2:RFX2"/>
    <mergeCell ref="RFY2:RGB2"/>
    <mergeCell ref="RGD2:RGF2"/>
    <mergeCell ref="REK2:REN2"/>
    <mergeCell ref="REP2:RER2"/>
    <mergeCell ref="RES2:REV2"/>
    <mergeCell ref="REX2:REZ2"/>
    <mergeCell ref="RFA2:RFD2"/>
    <mergeCell ref="RFF2:RFH2"/>
    <mergeCell ref="RDM2:RDP2"/>
    <mergeCell ref="RDR2:RDT2"/>
    <mergeCell ref="RDU2:RDX2"/>
    <mergeCell ref="RDZ2:REB2"/>
    <mergeCell ref="REC2:REF2"/>
    <mergeCell ref="REH2:REJ2"/>
    <mergeCell ref="RCO2:RCR2"/>
    <mergeCell ref="RCT2:RCV2"/>
    <mergeCell ref="RCW2:RCZ2"/>
    <mergeCell ref="RDB2:RDD2"/>
    <mergeCell ref="RDE2:RDH2"/>
    <mergeCell ref="RDJ2:RDL2"/>
    <mergeCell ref="RBQ2:RBT2"/>
    <mergeCell ref="RBV2:RBX2"/>
    <mergeCell ref="RBY2:RCB2"/>
    <mergeCell ref="RCD2:RCF2"/>
    <mergeCell ref="RCG2:RCJ2"/>
    <mergeCell ref="RCL2:RCN2"/>
    <mergeCell ref="RAS2:RAV2"/>
    <mergeCell ref="RAX2:RAZ2"/>
    <mergeCell ref="RBA2:RBD2"/>
    <mergeCell ref="RBF2:RBH2"/>
    <mergeCell ref="RBI2:RBL2"/>
    <mergeCell ref="RBN2:RBP2"/>
    <mergeCell ref="QZU2:QZX2"/>
    <mergeCell ref="QZZ2:RAB2"/>
    <mergeCell ref="RAC2:RAF2"/>
    <mergeCell ref="RAH2:RAJ2"/>
    <mergeCell ref="RAK2:RAN2"/>
    <mergeCell ref="RAP2:RAR2"/>
    <mergeCell ref="QYW2:QYZ2"/>
    <mergeCell ref="QZB2:QZD2"/>
    <mergeCell ref="QZE2:QZH2"/>
    <mergeCell ref="QZJ2:QZL2"/>
    <mergeCell ref="QZM2:QZP2"/>
    <mergeCell ref="QZR2:QZT2"/>
    <mergeCell ref="QXY2:QYB2"/>
    <mergeCell ref="QYD2:QYF2"/>
    <mergeCell ref="QYG2:QYJ2"/>
    <mergeCell ref="QYL2:QYN2"/>
    <mergeCell ref="QYO2:QYR2"/>
    <mergeCell ref="QYT2:QYV2"/>
    <mergeCell ref="QXA2:QXD2"/>
    <mergeCell ref="QXF2:QXH2"/>
    <mergeCell ref="QXI2:QXL2"/>
    <mergeCell ref="QXN2:QXP2"/>
    <mergeCell ref="QXQ2:QXT2"/>
    <mergeCell ref="QXV2:QXX2"/>
    <mergeCell ref="QWC2:QWF2"/>
    <mergeCell ref="QWH2:QWJ2"/>
    <mergeCell ref="QWK2:QWN2"/>
    <mergeCell ref="QWP2:QWR2"/>
    <mergeCell ref="QWS2:QWV2"/>
    <mergeCell ref="QWX2:QWZ2"/>
    <mergeCell ref="QVE2:QVH2"/>
    <mergeCell ref="QVJ2:QVL2"/>
    <mergeCell ref="QVM2:QVP2"/>
    <mergeCell ref="QVR2:QVT2"/>
    <mergeCell ref="QVU2:QVX2"/>
    <mergeCell ref="QVZ2:QWB2"/>
    <mergeCell ref="QUG2:QUJ2"/>
    <mergeCell ref="QUL2:QUN2"/>
    <mergeCell ref="QUO2:QUR2"/>
    <mergeCell ref="QUT2:QUV2"/>
    <mergeCell ref="QUW2:QUZ2"/>
    <mergeCell ref="QVB2:QVD2"/>
    <mergeCell ref="QTI2:QTL2"/>
    <mergeCell ref="QTN2:QTP2"/>
    <mergeCell ref="QTQ2:QTT2"/>
    <mergeCell ref="QTV2:QTX2"/>
    <mergeCell ref="QTY2:QUB2"/>
    <mergeCell ref="QUD2:QUF2"/>
    <mergeCell ref="QSK2:QSN2"/>
    <mergeCell ref="QSP2:QSR2"/>
    <mergeCell ref="QSS2:QSV2"/>
    <mergeCell ref="QSX2:QSZ2"/>
    <mergeCell ref="QTA2:QTD2"/>
    <mergeCell ref="QTF2:QTH2"/>
    <mergeCell ref="QRM2:QRP2"/>
    <mergeCell ref="QRR2:QRT2"/>
    <mergeCell ref="QRU2:QRX2"/>
    <mergeCell ref="QRZ2:QSB2"/>
    <mergeCell ref="QSC2:QSF2"/>
    <mergeCell ref="QSH2:QSJ2"/>
    <mergeCell ref="QQO2:QQR2"/>
    <mergeCell ref="QQT2:QQV2"/>
    <mergeCell ref="QQW2:QQZ2"/>
    <mergeCell ref="QRB2:QRD2"/>
    <mergeCell ref="QRE2:QRH2"/>
    <mergeCell ref="QRJ2:QRL2"/>
    <mergeCell ref="QPQ2:QPT2"/>
    <mergeCell ref="QPV2:QPX2"/>
    <mergeCell ref="QPY2:QQB2"/>
    <mergeCell ref="QQD2:QQF2"/>
    <mergeCell ref="QQG2:QQJ2"/>
    <mergeCell ref="QQL2:QQN2"/>
    <mergeCell ref="QOS2:QOV2"/>
    <mergeCell ref="QOX2:QOZ2"/>
    <mergeCell ref="QPA2:QPD2"/>
    <mergeCell ref="QPF2:QPH2"/>
    <mergeCell ref="QPI2:QPL2"/>
    <mergeCell ref="QPN2:QPP2"/>
    <mergeCell ref="QNU2:QNX2"/>
    <mergeCell ref="QNZ2:QOB2"/>
    <mergeCell ref="QOC2:QOF2"/>
    <mergeCell ref="QOH2:QOJ2"/>
    <mergeCell ref="QOK2:QON2"/>
    <mergeCell ref="QOP2:QOR2"/>
    <mergeCell ref="QMW2:QMZ2"/>
    <mergeCell ref="QNB2:QND2"/>
    <mergeCell ref="QNE2:QNH2"/>
    <mergeCell ref="QNJ2:QNL2"/>
    <mergeCell ref="QNM2:QNP2"/>
    <mergeCell ref="QNR2:QNT2"/>
    <mergeCell ref="QLY2:QMB2"/>
    <mergeCell ref="QMD2:QMF2"/>
    <mergeCell ref="QMG2:QMJ2"/>
    <mergeCell ref="QML2:QMN2"/>
    <mergeCell ref="QMO2:QMR2"/>
    <mergeCell ref="QMT2:QMV2"/>
    <mergeCell ref="QLA2:QLD2"/>
    <mergeCell ref="QLF2:QLH2"/>
    <mergeCell ref="QLI2:QLL2"/>
    <mergeCell ref="QLN2:QLP2"/>
    <mergeCell ref="QLQ2:QLT2"/>
    <mergeCell ref="QLV2:QLX2"/>
    <mergeCell ref="QKC2:QKF2"/>
    <mergeCell ref="QKH2:QKJ2"/>
    <mergeCell ref="QKK2:QKN2"/>
    <mergeCell ref="QKP2:QKR2"/>
    <mergeCell ref="QKS2:QKV2"/>
    <mergeCell ref="QKX2:QKZ2"/>
    <mergeCell ref="QJE2:QJH2"/>
    <mergeCell ref="QJJ2:QJL2"/>
    <mergeCell ref="QJM2:QJP2"/>
    <mergeCell ref="QJR2:QJT2"/>
    <mergeCell ref="QJU2:QJX2"/>
    <mergeCell ref="QJZ2:QKB2"/>
    <mergeCell ref="QIG2:QIJ2"/>
    <mergeCell ref="QIL2:QIN2"/>
    <mergeCell ref="QIO2:QIR2"/>
    <mergeCell ref="QIT2:QIV2"/>
    <mergeCell ref="QIW2:QIZ2"/>
    <mergeCell ref="QJB2:QJD2"/>
    <mergeCell ref="QHI2:QHL2"/>
    <mergeCell ref="QHN2:QHP2"/>
    <mergeCell ref="QHQ2:QHT2"/>
    <mergeCell ref="QHV2:QHX2"/>
    <mergeCell ref="QHY2:QIB2"/>
    <mergeCell ref="QID2:QIF2"/>
    <mergeCell ref="QGK2:QGN2"/>
    <mergeCell ref="QGP2:QGR2"/>
    <mergeCell ref="QGS2:QGV2"/>
    <mergeCell ref="QGX2:QGZ2"/>
    <mergeCell ref="QHA2:QHD2"/>
    <mergeCell ref="QHF2:QHH2"/>
    <mergeCell ref="QFM2:QFP2"/>
    <mergeCell ref="QFR2:QFT2"/>
    <mergeCell ref="QFU2:QFX2"/>
    <mergeCell ref="QFZ2:QGB2"/>
    <mergeCell ref="QGC2:QGF2"/>
    <mergeCell ref="QGH2:QGJ2"/>
    <mergeCell ref="QEO2:QER2"/>
    <mergeCell ref="QET2:QEV2"/>
    <mergeCell ref="QEW2:QEZ2"/>
    <mergeCell ref="QFB2:QFD2"/>
    <mergeCell ref="QFE2:QFH2"/>
    <mergeCell ref="QFJ2:QFL2"/>
    <mergeCell ref="QDQ2:QDT2"/>
    <mergeCell ref="QDV2:QDX2"/>
    <mergeCell ref="QDY2:QEB2"/>
    <mergeCell ref="QED2:QEF2"/>
    <mergeCell ref="QEG2:QEJ2"/>
    <mergeCell ref="QEL2:QEN2"/>
    <mergeCell ref="QCS2:QCV2"/>
    <mergeCell ref="QCX2:QCZ2"/>
    <mergeCell ref="QDA2:QDD2"/>
    <mergeCell ref="QDF2:QDH2"/>
    <mergeCell ref="QDI2:QDL2"/>
    <mergeCell ref="QDN2:QDP2"/>
    <mergeCell ref="QBU2:QBX2"/>
    <mergeCell ref="QBZ2:QCB2"/>
    <mergeCell ref="QCC2:QCF2"/>
    <mergeCell ref="QCH2:QCJ2"/>
    <mergeCell ref="QCK2:QCN2"/>
    <mergeCell ref="QCP2:QCR2"/>
    <mergeCell ref="QAW2:QAZ2"/>
    <mergeCell ref="QBB2:QBD2"/>
    <mergeCell ref="QBE2:QBH2"/>
    <mergeCell ref="QBJ2:QBL2"/>
    <mergeCell ref="QBM2:QBP2"/>
    <mergeCell ref="QBR2:QBT2"/>
    <mergeCell ref="PZY2:QAB2"/>
    <mergeCell ref="QAD2:QAF2"/>
    <mergeCell ref="QAG2:QAJ2"/>
    <mergeCell ref="QAL2:QAN2"/>
    <mergeCell ref="QAO2:QAR2"/>
    <mergeCell ref="QAT2:QAV2"/>
    <mergeCell ref="PZA2:PZD2"/>
    <mergeCell ref="PZF2:PZH2"/>
    <mergeCell ref="PZI2:PZL2"/>
    <mergeCell ref="PZN2:PZP2"/>
    <mergeCell ref="PZQ2:PZT2"/>
    <mergeCell ref="PZV2:PZX2"/>
    <mergeCell ref="PYC2:PYF2"/>
    <mergeCell ref="PYH2:PYJ2"/>
    <mergeCell ref="PYK2:PYN2"/>
    <mergeCell ref="PYP2:PYR2"/>
    <mergeCell ref="PYS2:PYV2"/>
    <mergeCell ref="PYX2:PYZ2"/>
    <mergeCell ref="PXE2:PXH2"/>
    <mergeCell ref="PXJ2:PXL2"/>
    <mergeCell ref="PXM2:PXP2"/>
    <mergeCell ref="PXR2:PXT2"/>
    <mergeCell ref="PXU2:PXX2"/>
    <mergeCell ref="PXZ2:PYB2"/>
    <mergeCell ref="PWG2:PWJ2"/>
    <mergeCell ref="PWL2:PWN2"/>
    <mergeCell ref="PWO2:PWR2"/>
    <mergeCell ref="PWT2:PWV2"/>
    <mergeCell ref="PWW2:PWZ2"/>
    <mergeCell ref="PXB2:PXD2"/>
    <mergeCell ref="PVI2:PVL2"/>
    <mergeCell ref="PVN2:PVP2"/>
    <mergeCell ref="PVQ2:PVT2"/>
    <mergeCell ref="PVV2:PVX2"/>
    <mergeCell ref="PVY2:PWB2"/>
    <mergeCell ref="PWD2:PWF2"/>
    <mergeCell ref="PUK2:PUN2"/>
    <mergeCell ref="PUP2:PUR2"/>
    <mergeCell ref="PUS2:PUV2"/>
    <mergeCell ref="PUX2:PUZ2"/>
    <mergeCell ref="PVA2:PVD2"/>
    <mergeCell ref="PVF2:PVH2"/>
    <mergeCell ref="PTM2:PTP2"/>
    <mergeCell ref="PTR2:PTT2"/>
    <mergeCell ref="PTU2:PTX2"/>
    <mergeCell ref="PTZ2:PUB2"/>
    <mergeCell ref="PUC2:PUF2"/>
    <mergeCell ref="PUH2:PUJ2"/>
    <mergeCell ref="PSO2:PSR2"/>
    <mergeCell ref="PST2:PSV2"/>
    <mergeCell ref="PSW2:PSZ2"/>
    <mergeCell ref="PTB2:PTD2"/>
    <mergeCell ref="PTE2:PTH2"/>
    <mergeCell ref="PTJ2:PTL2"/>
    <mergeCell ref="PRQ2:PRT2"/>
    <mergeCell ref="PRV2:PRX2"/>
    <mergeCell ref="PRY2:PSB2"/>
    <mergeCell ref="PSD2:PSF2"/>
    <mergeCell ref="PSG2:PSJ2"/>
    <mergeCell ref="PSL2:PSN2"/>
    <mergeCell ref="PQS2:PQV2"/>
    <mergeCell ref="PQX2:PQZ2"/>
    <mergeCell ref="PRA2:PRD2"/>
    <mergeCell ref="PRF2:PRH2"/>
    <mergeCell ref="PRI2:PRL2"/>
    <mergeCell ref="PRN2:PRP2"/>
    <mergeCell ref="PPU2:PPX2"/>
    <mergeCell ref="PPZ2:PQB2"/>
    <mergeCell ref="PQC2:PQF2"/>
    <mergeCell ref="PQH2:PQJ2"/>
    <mergeCell ref="PQK2:PQN2"/>
    <mergeCell ref="PQP2:PQR2"/>
    <mergeCell ref="POW2:POZ2"/>
    <mergeCell ref="PPB2:PPD2"/>
    <mergeCell ref="PPE2:PPH2"/>
    <mergeCell ref="PPJ2:PPL2"/>
    <mergeCell ref="PPM2:PPP2"/>
    <mergeCell ref="PPR2:PPT2"/>
    <mergeCell ref="PNY2:POB2"/>
    <mergeCell ref="POD2:POF2"/>
    <mergeCell ref="POG2:POJ2"/>
    <mergeCell ref="POL2:PON2"/>
    <mergeCell ref="POO2:POR2"/>
    <mergeCell ref="POT2:POV2"/>
    <mergeCell ref="PNA2:PND2"/>
    <mergeCell ref="PNF2:PNH2"/>
    <mergeCell ref="PNI2:PNL2"/>
    <mergeCell ref="PNN2:PNP2"/>
    <mergeCell ref="PNQ2:PNT2"/>
    <mergeCell ref="PNV2:PNX2"/>
    <mergeCell ref="PMC2:PMF2"/>
    <mergeCell ref="PMH2:PMJ2"/>
    <mergeCell ref="PMK2:PMN2"/>
    <mergeCell ref="PMP2:PMR2"/>
    <mergeCell ref="PMS2:PMV2"/>
    <mergeCell ref="PMX2:PMZ2"/>
    <mergeCell ref="PLE2:PLH2"/>
    <mergeCell ref="PLJ2:PLL2"/>
    <mergeCell ref="PLM2:PLP2"/>
    <mergeCell ref="PLR2:PLT2"/>
    <mergeCell ref="PLU2:PLX2"/>
    <mergeCell ref="PLZ2:PMB2"/>
    <mergeCell ref="PKG2:PKJ2"/>
    <mergeCell ref="PKL2:PKN2"/>
    <mergeCell ref="PKO2:PKR2"/>
    <mergeCell ref="PKT2:PKV2"/>
    <mergeCell ref="PKW2:PKZ2"/>
    <mergeCell ref="PLB2:PLD2"/>
    <mergeCell ref="PJI2:PJL2"/>
    <mergeCell ref="PJN2:PJP2"/>
    <mergeCell ref="PJQ2:PJT2"/>
    <mergeCell ref="PJV2:PJX2"/>
    <mergeCell ref="PJY2:PKB2"/>
    <mergeCell ref="PKD2:PKF2"/>
    <mergeCell ref="PIK2:PIN2"/>
    <mergeCell ref="PIP2:PIR2"/>
    <mergeCell ref="PIS2:PIV2"/>
    <mergeCell ref="PIX2:PIZ2"/>
    <mergeCell ref="PJA2:PJD2"/>
    <mergeCell ref="PJF2:PJH2"/>
    <mergeCell ref="PHM2:PHP2"/>
    <mergeCell ref="PHR2:PHT2"/>
    <mergeCell ref="PHU2:PHX2"/>
    <mergeCell ref="PHZ2:PIB2"/>
    <mergeCell ref="PIC2:PIF2"/>
    <mergeCell ref="PIH2:PIJ2"/>
    <mergeCell ref="PGO2:PGR2"/>
    <mergeCell ref="PGT2:PGV2"/>
    <mergeCell ref="PGW2:PGZ2"/>
    <mergeCell ref="PHB2:PHD2"/>
    <mergeCell ref="PHE2:PHH2"/>
    <mergeCell ref="PHJ2:PHL2"/>
    <mergeCell ref="PFQ2:PFT2"/>
    <mergeCell ref="PFV2:PFX2"/>
    <mergeCell ref="PFY2:PGB2"/>
    <mergeCell ref="PGD2:PGF2"/>
    <mergeCell ref="PGG2:PGJ2"/>
    <mergeCell ref="PGL2:PGN2"/>
    <mergeCell ref="PES2:PEV2"/>
    <mergeCell ref="PEX2:PEZ2"/>
    <mergeCell ref="PFA2:PFD2"/>
    <mergeCell ref="PFF2:PFH2"/>
    <mergeCell ref="PFI2:PFL2"/>
    <mergeCell ref="PFN2:PFP2"/>
    <mergeCell ref="PDU2:PDX2"/>
    <mergeCell ref="PDZ2:PEB2"/>
    <mergeCell ref="PEC2:PEF2"/>
    <mergeCell ref="PEH2:PEJ2"/>
    <mergeCell ref="PEK2:PEN2"/>
    <mergeCell ref="PEP2:PER2"/>
    <mergeCell ref="PCW2:PCZ2"/>
    <mergeCell ref="PDB2:PDD2"/>
    <mergeCell ref="PDE2:PDH2"/>
    <mergeCell ref="PDJ2:PDL2"/>
    <mergeCell ref="PDM2:PDP2"/>
    <mergeCell ref="PDR2:PDT2"/>
    <mergeCell ref="PBY2:PCB2"/>
    <mergeCell ref="PCD2:PCF2"/>
    <mergeCell ref="PCG2:PCJ2"/>
    <mergeCell ref="PCL2:PCN2"/>
    <mergeCell ref="PCO2:PCR2"/>
    <mergeCell ref="PCT2:PCV2"/>
    <mergeCell ref="PBA2:PBD2"/>
    <mergeCell ref="PBF2:PBH2"/>
    <mergeCell ref="PBI2:PBL2"/>
    <mergeCell ref="PBN2:PBP2"/>
    <mergeCell ref="PBQ2:PBT2"/>
    <mergeCell ref="PBV2:PBX2"/>
    <mergeCell ref="PAC2:PAF2"/>
    <mergeCell ref="PAH2:PAJ2"/>
    <mergeCell ref="PAK2:PAN2"/>
    <mergeCell ref="PAP2:PAR2"/>
    <mergeCell ref="PAS2:PAV2"/>
    <mergeCell ref="PAX2:PAZ2"/>
    <mergeCell ref="OZE2:OZH2"/>
    <mergeCell ref="OZJ2:OZL2"/>
    <mergeCell ref="OZM2:OZP2"/>
    <mergeCell ref="OZR2:OZT2"/>
    <mergeCell ref="OZU2:OZX2"/>
    <mergeCell ref="OZZ2:PAB2"/>
    <mergeCell ref="OYG2:OYJ2"/>
    <mergeCell ref="OYL2:OYN2"/>
    <mergeCell ref="OYO2:OYR2"/>
    <mergeCell ref="OYT2:OYV2"/>
    <mergeCell ref="OYW2:OYZ2"/>
    <mergeCell ref="OZB2:OZD2"/>
    <mergeCell ref="OXI2:OXL2"/>
    <mergeCell ref="OXN2:OXP2"/>
    <mergeCell ref="OXQ2:OXT2"/>
    <mergeCell ref="OXV2:OXX2"/>
    <mergeCell ref="OXY2:OYB2"/>
    <mergeCell ref="OYD2:OYF2"/>
    <mergeCell ref="OWK2:OWN2"/>
    <mergeCell ref="OWP2:OWR2"/>
    <mergeCell ref="OWS2:OWV2"/>
    <mergeCell ref="OWX2:OWZ2"/>
    <mergeCell ref="OXA2:OXD2"/>
    <mergeCell ref="OXF2:OXH2"/>
    <mergeCell ref="OVM2:OVP2"/>
    <mergeCell ref="OVR2:OVT2"/>
    <mergeCell ref="OVU2:OVX2"/>
    <mergeCell ref="OVZ2:OWB2"/>
    <mergeCell ref="OWC2:OWF2"/>
    <mergeCell ref="OWH2:OWJ2"/>
    <mergeCell ref="OUO2:OUR2"/>
    <mergeCell ref="OUT2:OUV2"/>
    <mergeCell ref="OUW2:OUZ2"/>
    <mergeCell ref="OVB2:OVD2"/>
    <mergeCell ref="OVE2:OVH2"/>
    <mergeCell ref="OVJ2:OVL2"/>
    <mergeCell ref="OTQ2:OTT2"/>
    <mergeCell ref="OTV2:OTX2"/>
    <mergeCell ref="OTY2:OUB2"/>
    <mergeCell ref="OUD2:OUF2"/>
    <mergeCell ref="OUG2:OUJ2"/>
    <mergeCell ref="OUL2:OUN2"/>
    <mergeCell ref="OSS2:OSV2"/>
    <mergeCell ref="OSX2:OSZ2"/>
    <mergeCell ref="OTA2:OTD2"/>
    <mergeCell ref="OTF2:OTH2"/>
    <mergeCell ref="OTI2:OTL2"/>
    <mergeCell ref="OTN2:OTP2"/>
    <mergeCell ref="ORU2:ORX2"/>
    <mergeCell ref="ORZ2:OSB2"/>
    <mergeCell ref="OSC2:OSF2"/>
    <mergeCell ref="OSH2:OSJ2"/>
    <mergeCell ref="OSK2:OSN2"/>
    <mergeCell ref="OSP2:OSR2"/>
    <mergeCell ref="OQW2:OQZ2"/>
    <mergeCell ref="ORB2:ORD2"/>
    <mergeCell ref="ORE2:ORH2"/>
    <mergeCell ref="ORJ2:ORL2"/>
    <mergeCell ref="ORM2:ORP2"/>
    <mergeCell ref="ORR2:ORT2"/>
    <mergeCell ref="OPY2:OQB2"/>
    <mergeCell ref="OQD2:OQF2"/>
    <mergeCell ref="OQG2:OQJ2"/>
    <mergeCell ref="OQL2:OQN2"/>
    <mergeCell ref="OQO2:OQR2"/>
    <mergeCell ref="OQT2:OQV2"/>
    <mergeCell ref="OPA2:OPD2"/>
    <mergeCell ref="OPF2:OPH2"/>
    <mergeCell ref="OPI2:OPL2"/>
    <mergeCell ref="OPN2:OPP2"/>
    <mergeCell ref="OPQ2:OPT2"/>
    <mergeCell ref="OPV2:OPX2"/>
    <mergeCell ref="OOC2:OOF2"/>
    <mergeCell ref="OOH2:OOJ2"/>
    <mergeCell ref="OOK2:OON2"/>
    <mergeCell ref="OOP2:OOR2"/>
    <mergeCell ref="OOS2:OOV2"/>
    <mergeCell ref="OOX2:OOZ2"/>
    <mergeCell ref="ONE2:ONH2"/>
    <mergeCell ref="ONJ2:ONL2"/>
    <mergeCell ref="ONM2:ONP2"/>
    <mergeCell ref="ONR2:ONT2"/>
    <mergeCell ref="ONU2:ONX2"/>
    <mergeCell ref="ONZ2:OOB2"/>
    <mergeCell ref="OMG2:OMJ2"/>
    <mergeCell ref="OML2:OMN2"/>
    <mergeCell ref="OMO2:OMR2"/>
    <mergeCell ref="OMT2:OMV2"/>
    <mergeCell ref="OMW2:OMZ2"/>
    <mergeCell ref="ONB2:OND2"/>
    <mergeCell ref="OLI2:OLL2"/>
    <mergeCell ref="OLN2:OLP2"/>
    <mergeCell ref="OLQ2:OLT2"/>
    <mergeCell ref="OLV2:OLX2"/>
    <mergeCell ref="OLY2:OMB2"/>
    <mergeCell ref="OMD2:OMF2"/>
    <mergeCell ref="OKK2:OKN2"/>
    <mergeCell ref="OKP2:OKR2"/>
    <mergeCell ref="OKS2:OKV2"/>
    <mergeCell ref="OKX2:OKZ2"/>
    <mergeCell ref="OLA2:OLD2"/>
    <mergeCell ref="OLF2:OLH2"/>
    <mergeCell ref="OJM2:OJP2"/>
    <mergeCell ref="OJR2:OJT2"/>
    <mergeCell ref="OJU2:OJX2"/>
    <mergeCell ref="OJZ2:OKB2"/>
    <mergeCell ref="OKC2:OKF2"/>
    <mergeCell ref="OKH2:OKJ2"/>
    <mergeCell ref="OIO2:OIR2"/>
    <mergeCell ref="OIT2:OIV2"/>
    <mergeCell ref="OIW2:OIZ2"/>
    <mergeCell ref="OJB2:OJD2"/>
    <mergeCell ref="OJE2:OJH2"/>
    <mergeCell ref="OJJ2:OJL2"/>
    <mergeCell ref="OHQ2:OHT2"/>
    <mergeCell ref="OHV2:OHX2"/>
    <mergeCell ref="OHY2:OIB2"/>
    <mergeCell ref="OID2:OIF2"/>
    <mergeCell ref="OIG2:OIJ2"/>
    <mergeCell ref="OIL2:OIN2"/>
    <mergeCell ref="OGS2:OGV2"/>
    <mergeCell ref="OGX2:OGZ2"/>
    <mergeCell ref="OHA2:OHD2"/>
    <mergeCell ref="OHF2:OHH2"/>
    <mergeCell ref="OHI2:OHL2"/>
    <mergeCell ref="OHN2:OHP2"/>
    <mergeCell ref="OFU2:OFX2"/>
    <mergeCell ref="OFZ2:OGB2"/>
    <mergeCell ref="OGC2:OGF2"/>
    <mergeCell ref="OGH2:OGJ2"/>
    <mergeCell ref="OGK2:OGN2"/>
    <mergeCell ref="OGP2:OGR2"/>
    <mergeCell ref="OEW2:OEZ2"/>
    <mergeCell ref="OFB2:OFD2"/>
    <mergeCell ref="OFE2:OFH2"/>
    <mergeCell ref="OFJ2:OFL2"/>
    <mergeCell ref="OFM2:OFP2"/>
    <mergeCell ref="OFR2:OFT2"/>
    <mergeCell ref="ODY2:OEB2"/>
    <mergeCell ref="OED2:OEF2"/>
    <mergeCell ref="OEG2:OEJ2"/>
    <mergeCell ref="OEL2:OEN2"/>
    <mergeCell ref="OEO2:OER2"/>
    <mergeCell ref="OET2:OEV2"/>
    <mergeCell ref="ODA2:ODD2"/>
    <mergeCell ref="ODF2:ODH2"/>
    <mergeCell ref="ODI2:ODL2"/>
    <mergeCell ref="ODN2:ODP2"/>
    <mergeCell ref="ODQ2:ODT2"/>
    <mergeCell ref="ODV2:ODX2"/>
    <mergeCell ref="OCC2:OCF2"/>
    <mergeCell ref="OCH2:OCJ2"/>
    <mergeCell ref="OCK2:OCN2"/>
    <mergeCell ref="OCP2:OCR2"/>
    <mergeCell ref="OCS2:OCV2"/>
    <mergeCell ref="OCX2:OCZ2"/>
    <mergeCell ref="OBE2:OBH2"/>
    <mergeCell ref="OBJ2:OBL2"/>
    <mergeCell ref="OBM2:OBP2"/>
    <mergeCell ref="OBR2:OBT2"/>
    <mergeCell ref="OBU2:OBX2"/>
    <mergeCell ref="OBZ2:OCB2"/>
    <mergeCell ref="OAG2:OAJ2"/>
    <mergeCell ref="OAL2:OAN2"/>
    <mergeCell ref="OAO2:OAR2"/>
    <mergeCell ref="OAT2:OAV2"/>
    <mergeCell ref="OAW2:OAZ2"/>
    <mergeCell ref="OBB2:OBD2"/>
    <mergeCell ref="NZI2:NZL2"/>
    <mergeCell ref="NZN2:NZP2"/>
    <mergeCell ref="NZQ2:NZT2"/>
    <mergeCell ref="NZV2:NZX2"/>
    <mergeCell ref="NZY2:OAB2"/>
    <mergeCell ref="OAD2:OAF2"/>
    <mergeCell ref="NYK2:NYN2"/>
    <mergeCell ref="NYP2:NYR2"/>
    <mergeCell ref="NYS2:NYV2"/>
    <mergeCell ref="NYX2:NYZ2"/>
    <mergeCell ref="NZA2:NZD2"/>
    <mergeCell ref="NZF2:NZH2"/>
    <mergeCell ref="NXM2:NXP2"/>
    <mergeCell ref="NXR2:NXT2"/>
    <mergeCell ref="NXU2:NXX2"/>
    <mergeCell ref="NXZ2:NYB2"/>
    <mergeCell ref="NYC2:NYF2"/>
    <mergeCell ref="NYH2:NYJ2"/>
    <mergeCell ref="NWO2:NWR2"/>
    <mergeCell ref="NWT2:NWV2"/>
    <mergeCell ref="NWW2:NWZ2"/>
    <mergeCell ref="NXB2:NXD2"/>
    <mergeCell ref="NXE2:NXH2"/>
    <mergeCell ref="NXJ2:NXL2"/>
    <mergeCell ref="NVQ2:NVT2"/>
    <mergeCell ref="NVV2:NVX2"/>
    <mergeCell ref="NVY2:NWB2"/>
    <mergeCell ref="NWD2:NWF2"/>
    <mergeCell ref="NWG2:NWJ2"/>
    <mergeCell ref="NWL2:NWN2"/>
    <mergeCell ref="NUS2:NUV2"/>
    <mergeCell ref="NUX2:NUZ2"/>
    <mergeCell ref="NVA2:NVD2"/>
    <mergeCell ref="NVF2:NVH2"/>
    <mergeCell ref="NVI2:NVL2"/>
    <mergeCell ref="NVN2:NVP2"/>
    <mergeCell ref="NTU2:NTX2"/>
    <mergeCell ref="NTZ2:NUB2"/>
    <mergeCell ref="NUC2:NUF2"/>
    <mergeCell ref="NUH2:NUJ2"/>
    <mergeCell ref="NUK2:NUN2"/>
    <mergeCell ref="NUP2:NUR2"/>
    <mergeCell ref="NSW2:NSZ2"/>
    <mergeCell ref="NTB2:NTD2"/>
    <mergeCell ref="NTE2:NTH2"/>
    <mergeCell ref="NTJ2:NTL2"/>
    <mergeCell ref="NTM2:NTP2"/>
    <mergeCell ref="NTR2:NTT2"/>
    <mergeCell ref="NRY2:NSB2"/>
    <mergeCell ref="NSD2:NSF2"/>
    <mergeCell ref="NSG2:NSJ2"/>
    <mergeCell ref="NSL2:NSN2"/>
    <mergeCell ref="NSO2:NSR2"/>
    <mergeCell ref="NST2:NSV2"/>
    <mergeCell ref="NRA2:NRD2"/>
    <mergeCell ref="NRF2:NRH2"/>
    <mergeCell ref="NRI2:NRL2"/>
    <mergeCell ref="NRN2:NRP2"/>
    <mergeCell ref="NRQ2:NRT2"/>
    <mergeCell ref="NRV2:NRX2"/>
    <mergeCell ref="NQC2:NQF2"/>
    <mergeCell ref="NQH2:NQJ2"/>
    <mergeCell ref="NQK2:NQN2"/>
    <mergeCell ref="NQP2:NQR2"/>
    <mergeCell ref="NQS2:NQV2"/>
    <mergeCell ref="NQX2:NQZ2"/>
    <mergeCell ref="NPE2:NPH2"/>
    <mergeCell ref="NPJ2:NPL2"/>
    <mergeCell ref="NPM2:NPP2"/>
    <mergeCell ref="NPR2:NPT2"/>
    <mergeCell ref="NPU2:NPX2"/>
    <mergeCell ref="NPZ2:NQB2"/>
    <mergeCell ref="NOG2:NOJ2"/>
    <mergeCell ref="NOL2:NON2"/>
    <mergeCell ref="NOO2:NOR2"/>
    <mergeCell ref="NOT2:NOV2"/>
    <mergeCell ref="NOW2:NOZ2"/>
    <mergeCell ref="NPB2:NPD2"/>
    <mergeCell ref="NNI2:NNL2"/>
    <mergeCell ref="NNN2:NNP2"/>
    <mergeCell ref="NNQ2:NNT2"/>
    <mergeCell ref="NNV2:NNX2"/>
    <mergeCell ref="NNY2:NOB2"/>
    <mergeCell ref="NOD2:NOF2"/>
    <mergeCell ref="NMK2:NMN2"/>
    <mergeCell ref="NMP2:NMR2"/>
    <mergeCell ref="NMS2:NMV2"/>
    <mergeCell ref="NMX2:NMZ2"/>
    <mergeCell ref="NNA2:NND2"/>
    <mergeCell ref="NNF2:NNH2"/>
    <mergeCell ref="NLM2:NLP2"/>
    <mergeCell ref="NLR2:NLT2"/>
    <mergeCell ref="NLU2:NLX2"/>
    <mergeCell ref="NLZ2:NMB2"/>
    <mergeCell ref="NMC2:NMF2"/>
    <mergeCell ref="NMH2:NMJ2"/>
    <mergeCell ref="NKO2:NKR2"/>
    <mergeCell ref="NKT2:NKV2"/>
    <mergeCell ref="NKW2:NKZ2"/>
    <mergeCell ref="NLB2:NLD2"/>
    <mergeCell ref="NLE2:NLH2"/>
    <mergeCell ref="NLJ2:NLL2"/>
    <mergeCell ref="NJQ2:NJT2"/>
    <mergeCell ref="NJV2:NJX2"/>
    <mergeCell ref="NJY2:NKB2"/>
    <mergeCell ref="NKD2:NKF2"/>
    <mergeCell ref="NKG2:NKJ2"/>
    <mergeCell ref="NKL2:NKN2"/>
    <mergeCell ref="NIS2:NIV2"/>
    <mergeCell ref="NIX2:NIZ2"/>
    <mergeCell ref="NJA2:NJD2"/>
    <mergeCell ref="NJF2:NJH2"/>
    <mergeCell ref="NJI2:NJL2"/>
    <mergeCell ref="NJN2:NJP2"/>
    <mergeCell ref="NHU2:NHX2"/>
    <mergeCell ref="NHZ2:NIB2"/>
    <mergeCell ref="NIC2:NIF2"/>
    <mergeCell ref="NIH2:NIJ2"/>
    <mergeCell ref="NIK2:NIN2"/>
    <mergeCell ref="NIP2:NIR2"/>
    <mergeCell ref="NGW2:NGZ2"/>
    <mergeCell ref="NHB2:NHD2"/>
    <mergeCell ref="NHE2:NHH2"/>
    <mergeCell ref="NHJ2:NHL2"/>
    <mergeCell ref="NHM2:NHP2"/>
    <mergeCell ref="NHR2:NHT2"/>
    <mergeCell ref="NFY2:NGB2"/>
    <mergeCell ref="NGD2:NGF2"/>
    <mergeCell ref="NGG2:NGJ2"/>
    <mergeCell ref="NGL2:NGN2"/>
    <mergeCell ref="NGO2:NGR2"/>
    <mergeCell ref="NGT2:NGV2"/>
    <mergeCell ref="NFA2:NFD2"/>
    <mergeCell ref="NFF2:NFH2"/>
    <mergeCell ref="NFI2:NFL2"/>
    <mergeCell ref="NFN2:NFP2"/>
    <mergeCell ref="NFQ2:NFT2"/>
    <mergeCell ref="NFV2:NFX2"/>
    <mergeCell ref="NEC2:NEF2"/>
    <mergeCell ref="NEH2:NEJ2"/>
    <mergeCell ref="NEK2:NEN2"/>
    <mergeCell ref="NEP2:NER2"/>
    <mergeCell ref="NES2:NEV2"/>
    <mergeCell ref="NEX2:NEZ2"/>
    <mergeCell ref="NDE2:NDH2"/>
    <mergeCell ref="NDJ2:NDL2"/>
    <mergeCell ref="NDM2:NDP2"/>
    <mergeCell ref="NDR2:NDT2"/>
    <mergeCell ref="NDU2:NDX2"/>
    <mergeCell ref="NDZ2:NEB2"/>
    <mergeCell ref="NCG2:NCJ2"/>
    <mergeCell ref="NCL2:NCN2"/>
    <mergeCell ref="NCO2:NCR2"/>
    <mergeCell ref="NCT2:NCV2"/>
    <mergeCell ref="NCW2:NCZ2"/>
    <mergeCell ref="NDB2:NDD2"/>
    <mergeCell ref="NBI2:NBL2"/>
    <mergeCell ref="NBN2:NBP2"/>
    <mergeCell ref="NBQ2:NBT2"/>
    <mergeCell ref="NBV2:NBX2"/>
    <mergeCell ref="NBY2:NCB2"/>
    <mergeCell ref="NCD2:NCF2"/>
    <mergeCell ref="NAK2:NAN2"/>
    <mergeCell ref="NAP2:NAR2"/>
    <mergeCell ref="NAS2:NAV2"/>
    <mergeCell ref="NAX2:NAZ2"/>
    <mergeCell ref="NBA2:NBD2"/>
    <mergeCell ref="NBF2:NBH2"/>
    <mergeCell ref="MZM2:MZP2"/>
    <mergeCell ref="MZR2:MZT2"/>
    <mergeCell ref="MZU2:MZX2"/>
    <mergeCell ref="MZZ2:NAB2"/>
    <mergeCell ref="NAC2:NAF2"/>
    <mergeCell ref="NAH2:NAJ2"/>
    <mergeCell ref="MYO2:MYR2"/>
    <mergeCell ref="MYT2:MYV2"/>
    <mergeCell ref="MYW2:MYZ2"/>
    <mergeCell ref="MZB2:MZD2"/>
    <mergeCell ref="MZE2:MZH2"/>
    <mergeCell ref="MZJ2:MZL2"/>
    <mergeCell ref="MXQ2:MXT2"/>
    <mergeCell ref="MXV2:MXX2"/>
    <mergeCell ref="MXY2:MYB2"/>
    <mergeCell ref="MYD2:MYF2"/>
    <mergeCell ref="MYG2:MYJ2"/>
    <mergeCell ref="MYL2:MYN2"/>
    <mergeCell ref="MWS2:MWV2"/>
    <mergeCell ref="MWX2:MWZ2"/>
    <mergeCell ref="MXA2:MXD2"/>
    <mergeCell ref="MXF2:MXH2"/>
    <mergeCell ref="MXI2:MXL2"/>
    <mergeCell ref="MXN2:MXP2"/>
    <mergeCell ref="MVU2:MVX2"/>
    <mergeCell ref="MVZ2:MWB2"/>
    <mergeCell ref="MWC2:MWF2"/>
    <mergeCell ref="MWH2:MWJ2"/>
    <mergeCell ref="MWK2:MWN2"/>
    <mergeCell ref="MWP2:MWR2"/>
    <mergeCell ref="MUW2:MUZ2"/>
    <mergeCell ref="MVB2:MVD2"/>
    <mergeCell ref="MVE2:MVH2"/>
    <mergeCell ref="MVJ2:MVL2"/>
    <mergeCell ref="MVM2:MVP2"/>
    <mergeCell ref="MVR2:MVT2"/>
    <mergeCell ref="MTY2:MUB2"/>
    <mergeCell ref="MUD2:MUF2"/>
    <mergeCell ref="MUG2:MUJ2"/>
    <mergeCell ref="MUL2:MUN2"/>
    <mergeCell ref="MUO2:MUR2"/>
    <mergeCell ref="MUT2:MUV2"/>
    <mergeCell ref="MTA2:MTD2"/>
    <mergeCell ref="MTF2:MTH2"/>
    <mergeCell ref="MTI2:MTL2"/>
    <mergeCell ref="MTN2:MTP2"/>
    <mergeCell ref="MTQ2:MTT2"/>
    <mergeCell ref="MTV2:MTX2"/>
    <mergeCell ref="MSC2:MSF2"/>
    <mergeCell ref="MSH2:MSJ2"/>
    <mergeCell ref="MSK2:MSN2"/>
    <mergeCell ref="MSP2:MSR2"/>
    <mergeCell ref="MSS2:MSV2"/>
    <mergeCell ref="MSX2:MSZ2"/>
    <mergeCell ref="MRE2:MRH2"/>
    <mergeCell ref="MRJ2:MRL2"/>
    <mergeCell ref="MRM2:MRP2"/>
    <mergeCell ref="MRR2:MRT2"/>
    <mergeCell ref="MRU2:MRX2"/>
    <mergeCell ref="MRZ2:MSB2"/>
    <mergeCell ref="MQG2:MQJ2"/>
    <mergeCell ref="MQL2:MQN2"/>
    <mergeCell ref="MQO2:MQR2"/>
    <mergeCell ref="MQT2:MQV2"/>
    <mergeCell ref="MQW2:MQZ2"/>
    <mergeCell ref="MRB2:MRD2"/>
    <mergeCell ref="MPI2:MPL2"/>
    <mergeCell ref="MPN2:MPP2"/>
    <mergeCell ref="MPQ2:MPT2"/>
    <mergeCell ref="MPV2:MPX2"/>
    <mergeCell ref="MPY2:MQB2"/>
    <mergeCell ref="MQD2:MQF2"/>
    <mergeCell ref="MOK2:MON2"/>
    <mergeCell ref="MOP2:MOR2"/>
    <mergeCell ref="MOS2:MOV2"/>
    <mergeCell ref="MOX2:MOZ2"/>
    <mergeCell ref="MPA2:MPD2"/>
    <mergeCell ref="MPF2:MPH2"/>
    <mergeCell ref="MNM2:MNP2"/>
    <mergeCell ref="MNR2:MNT2"/>
    <mergeCell ref="MNU2:MNX2"/>
    <mergeCell ref="MNZ2:MOB2"/>
    <mergeCell ref="MOC2:MOF2"/>
    <mergeCell ref="MOH2:MOJ2"/>
    <mergeCell ref="MMO2:MMR2"/>
    <mergeCell ref="MMT2:MMV2"/>
    <mergeCell ref="MMW2:MMZ2"/>
    <mergeCell ref="MNB2:MND2"/>
    <mergeCell ref="MNE2:MNH2"/>
    <mergeCell ref="MNJ2:MNL2"/>
    <mergeCell ref="MLQ2:MLT2"/>
    <mergeCell ref="MLV2:MLX2"/>
    <mergeCell ref="MLY2:MMB2"/>
    <mergeCell ref="MMD2:MMF2"/>
    <mergeCell ref="MMG2:MMJ2"/>
    <mergeCell ref="MML2:MMN2"/>
    <mergeCell ref="MKS2:MKV2"/>
    <mergeCell ref="MKX2:MKZ2"/>
    <mergeCell ref="MLA2:MLD2"/>
    <mergeCell ref="MLF2:MLH2"/>
    <mergeCell ref="MLI2:MLL2"/>
    <mergeCell ref="MLN2:MLP2"/>
    <mergeCell ref="MJU2:MJX2"/>
    <mergeCell ref="MJZ2:MKB2"/>
    <mergeCell ref="MKC2:MKF2"/>
    <mergeCell ref="MKH2:MKJ2"/>
    <mergeCell ref="MKK2:MKN2"/>
    <mergeCell ref="MKP2:MKR2"/>
    <mergeCell ref="MIW2:MIZ2"/>
    <mergeCell ref="MJB2:MJD2"/>
    <mergeCell ref="MJE2:MJH2"/>
    <mergeCell ref="MJJ2:MJL2"/>
    <mergeCell ref="MJM2:MJP2"/>
    <mergeCell ref="MJR2:MJT2"/>
    <mergeCell ref="MHY2:MIB2"/>
    <mergeCell ref="MID2:MIF2"/>
    <mergeCell ref="MIG2:MIJ2"/>
    <mergeCell ref="MIL2:MIN2"/>
    <mergeCell ref="MIO2:MIR2"/>
    <mergeCell ref="MIT2:MIV2"/>
    <mergeCell ref="MHA2:MHD2"/>
    <mergeCell ref="MHF2:MHH2"/>
    <mergeCell ref="MHI2:MHL2"/>
    <mergeCell ref="MHN2:MHP2"/>
    <mergeCell ref="MHQ2:MHT2"/>
    <mergeCell ref="MHV2:MHX2"/>
    <mergeCell ref="MGC2:MGF2"/>
    <mergeCell ref="MGH2:MGJ2"/>
    <mergeCell ref="MGK2:MGN2"/>
    <mergeCell ref="MGP2:MGR2"/>
    <mergeCell ref="MGS2:MGV2"/>
    <mergeCell ref="MGX2:MGZ2"/>
    <mergeCell ref="MFE2:MFH2"/>
    <mergeCell ref="MFJ2:MFL2"/>
    <mergeCell ref="MFM2:MFP2"/>
    <mergeCell ref="MFR2:MFT2"/>
    <mergeCell ref="MFU2:MFX2"/>
    <mergeCell ref="MFZ2:MGB2"/>
    <mergeCell ref="MEG2:MEJ2"/>
    <mergeCell ref="MEL2:MEN2"/>
    <mergeCell ref="MEO2:MER2"/>
    <mergeCell ref="MET2:MEV2"/>
    <mergeCell ref="MEW2:MEZ2"/>
    <mergeCell ref="MFB2:MFD2"/>
    <mergeCell ref="MDI2:MDL2"/>
    <mergeCell ref="MDN2:MDP2"/>
    <mergeCell ref="MDQ2:MDT2"/>
    <mergeCell ref="MDV2:MDX2"/>
    <mergeCell ref="MDY2:MEB2"/>
    <mergeCell ref="MED2:MEF2"/>
    <mergeCell ref="MCK2:MCN2"/>
    <mergeCell ref="MCP2:MCR2"/>
    <mergeCell ref="MCS2:MCV2"/>
    <mergeCell ref="MCX2:MCZ2"/>
    <mergeCell ref="MDA2:MDD2"/>
    <mergeCell ref="MDF2:MDH2"/>
    <mergeCell ref="MBM2:MBP2"/>
    <mergeCell ref="MBR2:MBT2"/>
    <mergeCell ref="MBU2:MBX2"/>
    <mergeCell ref="MBZ2:MCB2"/>
    <mergeCell ref="MCC2:MCF2"/>
    <mergeCell ref="MCH2:MCJ2"/>
    <mergeCell ref="MAO2:MAR2"/>
    <mergeCell ref="MAT2:MAV2"/>
    <mergeCell ref="MAW2:MAZ2"/>
    <mergeCell ref="MBB2:MBD2"/>
    <mergeCell ref="MBE2:MBH2"/>
    <mergeCell ref="MBJ2:MBL2"/>
    <mergeCell ref="LZQ2:LZT2"/>
    <mergeCell ref="LZV2:LZX2"/>
    <mergeCell ref="LZY2:MAB2"/>
    <mergeCell ref="MAD2:MAF2"/>
    <mergeCell ref="MAG2:MAJ2"/>
    <mergeCell ref="MAL2:MAN2"/>
    <mergeCell ref="LYS2:LYV2"/>
    <mergeCell ref="LYX2:LYZ2"/>
    <mergeCell ref="LZA2:LZD2"/>
    <mergeCell ref="LZF2:LZH2"/>
    <mergeCell ref="LZI2:LZL2"/>
    <mergeCell ref="LZN2:LZP2"/>
    <mergeCell ref="LXU2:LXX2"/>
    <mergeCell ref="LXZ2:LYB2"/>
    <mergeCell ref="LYC2:LYF2"/>
    <mergeCell ref="LYH2:LYJ2"/>
    <mergeCell ref="LYK2:LYN2"/>
    <mergeCell ref="LYP2:LYR2"/>
    <mergeCell ref="LWW2:LWZ2"/>
    <mergeCell ref="LXB2:LXD2"/>
    <mergeCell ref="LXE2:LXH2"/>
    <mergeCell ref="LXJ2:LXL2"/>
    <mergeCell ref="LXM2:LXP2"/>
    <mergeCell ref="LXR2:LXT2"/>
    <mergeCell ref="LVY2:LWB2"/>
    <mergeCell ref="LWD2:LWF2"/>
    <mergeCell ref="LWG2:LWJ2"/>
    <mergeCell ref="LWL2:LWN2"/>
    <mergeCell ref="LWO2:LWR2"/>
    <mergeCell ref="LWT2:LWV2"/>
    <mergeCell ref="LVA2:LVD2"/>
    <mergeCell ref="LVF2:LVH2"/>
    <mergeCell ref="LVI2:LVL2"/>
    <mergeCell ref="LVN2:LVP2"/>
    <mergeCell ref="LVQ2:LVT2"/>
    <mergeCell ref="LVV2:LVX2"/>
    <mergeCell ref="LUC2:LUF2"/>
    <mergeCell ref="LUH2:LUJ2"/>
    <mergeCell ref="LUK2:LUN2"/>
    <mergeCell ref="LUP2:LUR2"/>
    <mergeCell ref="LUS2:LUV2"/>
    <mergeCell ref="LUX2:LUZ2"/>
    <mergeCell ref="LTE2:LTH2"/>
    <mergeCell ref="LTJ2:LTL2"/>
    <mergeCell ref="LTM2:LTP2"/>
    <mergeCell ref="LTR2:LTT2"/>
    <mergeCell ref="LTU2:LTX2"/>
    <mergeCell ref="LTZ2:LUB2"/>
    <mergeCell ref="LSG2:LSJ2"/>
    <mergeCell ref="LSL2:LSN2"/>
    <mergeCell ref="LSO2:LSR2"/>
    <mergeCell ref="LST2:LSV2"/>
    <mergeCell ref="LSW2:LSZ2"/>
    <mergeCell ref="LTB2:LTD2"/>
    <mergeCell ref="LRI2:LRL2"/>
    <mergeCell ref="LRN2:LRP2"/>
    <mergeCell ref="LRQ2:LRT2"/>
    <mergeCell ref="LRV2:LRX2"/>
    <mergeCell ref="LRY2:LSB2"/>
    <mergeCell ref="LSD2:LSF2"/>
    <mergeCell ref="LQK2:LQN2"/>
    <mergeCell ref="LQP2:LQR2"/>
    <mergeCell ref="LQS2:LQV2"/>
    <mergeCell ref="LQX2:LQZ2"/>
    <mergeCell ref="LRA2:LRD2"/>
    <mergeCell ref="LRF2:LRH2"/>
    <mergeCell ref="LPM2:LPP2"/>
    <mergeCell ref="LPR2:LPT2"/>
    <mergeCell ref="LPU2:LPX2"/>
    <mergeCell ref="LPZ2:LQB2"/>
    <mergeCell ref="LQC2:LQF2"/>
    <mergeCell ref="LQH2:LQJ2"/>
    <mergeCell ref="LOO2:LOR2"/>
    <mergeCell ref="LOT2:LOV2"/>
    <mergeCell ref="LOW2:LOZ2"/>
    <mergeCell ref="LPB2:LPD2"/>
    <mergeCell ref="LPE2:LPH2"/>
    <mergeCell ref="LPJ2:LPL2"/>
    <mergeCell ref="LNQ2:LNT2"/>
    <mergeCell ref="LNV2:LNX2"/>
    <mergeCell ref="LNY2:LOB2"/>
    <mergeCell ref="LOD2:LOF2"/>
    <mergeCell ref="LOG2:LOJ2"/>
    <mergeCell ref="LOL2:LON2"/>
    <mergeCell ref="LMS2:LMV2"/>
    <mergeCell ref="LMX2:LMZ2"/>
    <mergeCell ref="LNA2:LND2"/>
    <mergeCell ref="LNF2:LNH2"/>
    <mergeCell ref="LNI2:LNL2"/>
    <mergeCell ref="LNN2:LNP2"/>
    <mergeCell ref="LLU2:LLX2"/>
    <mergeCell ref="LLZ2:LMB2"/>
    <mergeCell ref="LMC2:LMF2"/>
    <mergeCell ref="LMH2:LMJ2"/>
    <mergeCell ref="LMK2:LMN2"/>
    <mergeCell ref="LMP2:LMR2"/>
    <mergeCell ref="LKW2:LKZ2"/>
    <mergeCell ref="LLB2:LLD2"/>
    <mergeCell ref="LLE2:LLH2"/>
    <mergeCell ref="LLJ2:LLL2"/>
    <mergeCell ref="LLM2:LLP2"/>
    <mergeCell ref="LLR2:LLT2"/>
    <mergeCell ref="LJY2:LKB2"/>
    <mergeCell ref="LKD2:LKF2"/>
    <mergeCell ref="LKG2:LKJ2"/>
    <mergeCell ref="LKL2:LKN2"/>
    <mergeCell ref="LKO2:LKR2"/>
    <mergeCell ref="LKT2:LKV2"/>
    <mergeCell ref="LJA2:LJD2"/>
    <mergeCell ref="LJF2:LJH2"/>
    <mergeCell ref="LJI2:LJL2"/>
    <mergeCell ref="LJN2:LJP2"/>
    <mergeCell ref="LJQ2:LJT2"/>
    <mergeCell ref="LJV2:LJX2"/>
    <mergeCell ref="LIC2:LIF2"/>
    <mergeCell ref="LIH2:LIJ2"/>
    <mergeCell ref="LIK2:LIN2"/>
    <mergeCell ref="LIP2:LIR2"/>
    <mergeCell ref="LIS2:LIV2"/>
    <mergeCell ref="LIX2:LIZ2"/>
    <mergeCell ref="LHE2:LHH2"/>
    <mergeCell ref="LHJ2:LHL2"/>
    <mergeCell ref="LHM2:LHP2"/>
    <mergeCell ref="LHR2:LHT2"/>
    <mergeCell ref="LHU2:LHX2"/>
    <mergeCell ref="LHZ2:LIB2"/>
    <mergeCell ref="LGG2:LGJ2"/>
    <mergeCell ref="LGL2:LGN2"/>
    <mergeCell ref="LGO2:LGR2"/>
    <mergeCell ref="LGT2:LGV2"/>
    <mergeCell ref="LGW2:LGZ2"/>
    <mergeCell ref="LHB2:LHD2"/>
    <mergeCell ref="LFI2:LFL2"/>
    <mergeCell ref="LFN2:LFP2"/>
    <mergeCell ref="LFQ2:LFT2"/>
    <mergeCell ref="LFV2:LFX2"/>
    <mergeCell ref="LFY2:LGB2"/>
    <mergeCell ref="LGD2:LGF2"/>
    <mergeCell ref="LEK2:LEN2"/>
    <mergeCell ref="LEP2:LER2"/>
    <mergeCell ref="LES2:LEV2"/>
    <mergeCell ref="LEX2:LEZ2"/>
    <mergeCell ref="LFA2:LFD2"/>
    <mergeCell ref="LFF2:LFH2"/>
    <mergeCell ref="LDM2:LDP2"/>
    <mergeCell ref="LDR2:LDT2"/>
    <mergeCell ref="LDU2:LDX2"/>
    <mergeCell ref="LDZ2:LEB2"/>
    <mergeCell ref="LEC2:LEF2"/>
    <mergeCell ref="LEH2:LEJ2"/>
    <mergeCell ref="LCO2:LCR2"/>
    <mergeCell ref="LCT2:LCV2"/>
    <mergeCell ref="LCW2:LCZ2"/>
    <mergeCell ref="LDB2:LDD2"/>
    <mergeCell ref="LDE2:LDH2"/>
    <mergeCell ref="LDJ2:LDL2"/>
    <mergeCell ref="LBQ2:LBT2"/>
    <mergeCell ref="LBV2:LBX2"/>
    <mergeCell ref="LBY2:LCB2"/>
    <mergeCell ref="LCD2:LCF2"/>
    <mergeCell ref="LCG2:LCJ2"/>
    <mergeCell ref="LCL2:LCN2"/>
    <mergeCell ref="LAS2:LAV2"/>
    <mergeCell ref="LAX2:LAZ2"/>
    <mergeCell ref="LBA2:LBD2"/>
    <mergeCell ref="LBF2:LBH2"/>
    <mergeCell ref="LBI2:LBL2"/>
    <mergeCell ref="LBN2:LBP2"/>
    <mergeCell ref="KZU2:KZX2"/>
    <mergeCell ref="KZZ2:LAB2"/>
    <mergeCell ref="LAC2:LAF2"/>
    <mergeCell ref="LAH2:LAJ2"/>
    <mergeCell ref="LAK2:LAN2"/>
    <mergeCell ref="LAP2:LAR2"/>
    <mergeCell ref="KYW2:KYZ2"/>
    <mergeCell ref="KZB2:KZD2"/>
    <mergeCell ref="KZE2:KZH2"/>
    <mergeCell ref="KZJ2:KZL2"/>
    <mergeCell ref="KZM2:KZP2"/>
    <mergeCell ref="KZR2:KZT2"/>
    <mergeCell ref="KXY2:KYB2"/>
    <mergeCell ref="KYD2:KYF2"/>
    <mergeCell ref="KYG2:KYJ2"/>
    <mergeCell ref="KYL2:KYN2"/>
    <mergeCell ref="KYO2:KYR2"/>
    <mergeCell ref="KYT2:KYV2"/>
    <mergeCell ref="KXA2:KXD2"/>
    <mergeCell ref="KXF2:KXH2"/>
    <mergeCell ref="KXI2:KXL2"/>
    <mergeCell ref="KXN2:KXP2"/>
    <mergeCell ref="KXQ2:KXT2"/>
    <mergeCell ref="KXV2:KXX2"/>
    <mergeCell ref="KWC2:KWF2"/>
    <mergeCell ref="KWH2:KWJ2"/>
    <mergeCell ref="KWK2:KWN2"/>
    <mergeCell ref="KWP2:KWR2"/>
    <mergeCell ref="KWS2:KWV2"/>
    <mergeCell ref="KWX2:KWZ2"/>
    <mergeCell ref="KVE2:KVH2"/>
    <mergeCell ref="KVJ2:KVL2"/>
    <mergeCell ref="KVM2:KVP2"/>
    <mergeCell ref="KVR2:KVT2"/>
    <mergeCell ref="KVU2:KVX2"/>
    <mergeCell ref="KVZ2:KWB2"/>
    <mergeCell ref="KUG2:KUJ2"/>
    <mergeCell ref="KUL2:KUN2"/>
    <mergeCell ref="KUO2:KUR2"/>
    <mergeCell ref="KUT2:KUV2"/>
    <mergeCell ref="KUW2:KUZ2"/>
    <mergeCell ref="KVB2:KVD2"/>
    <mergeCell ref="KTI2:KTL2"/>
    <mergeCell ref="KTN2:KTP2"/>
    <mergeCell ref="KTQ2:KTT2"/>
    <mergeCell ref="KTV2:KTX2"/>
    <mergeCell ref="KTY2:KUB2"/>
    <mergeCell ref="KUD2:KUF2"/>
    <mergeCell ref="KSK2:KSN2"/>
    <mergeCell ref="KSP2:KSR2"/>
    <mergeCell ref="KSS2:KSV2"/>
    <mergeCell ref="KSX2:KSZ2"/>
    <mergeCell ref="KTA2:KTD2"/>
    <mergeCell ref="KTF2:KTH2"/>
    <mergeCell ref="KRM2:KRP2"/>
    <mergeCell ref="KRR2:KRT2"/>
    <mergeCell ref="KRU2:KRX2"/>
    <mergeCell ref="KRZ2:KSB2"/>
    <mergeCell ref="KSC2:KSF2"/>
    <mergeCell ref="KSH2:KSJ2"/>
    <mergeCell ref="KQO2:KQR2"/>
    <mergeCell ref="KQT2:KQV2"/>
    <mergeCell ref="KQW2:KQZ2"/>
    <mergeCell ref="KRB2:KRD2"/>
    <mergeCell ref="KRE2:KRH2"/>
    <mergeCell ref="KRJ2:KRL2"/>
    <mergeCell ref="KPQ2:KPT2"/>
    <mergeCell ref="KPV2:KPX2"/>
    <mergeCell ref="KPY2:KQB2"/>
    <mergeCell ref="KQD2:KQF2"/>
    <mergeCell ref="KQG2:KQJ2"/>
    <mergeCell ref="KQL2:KQN2"/>
    <mergeCell ref="KOS2:KOV2"/>
    <mergeCell ref="KOX2:KOZ2"/>
    <mergeCell ref="KPA2:KPD2"/>
    <mergeCell ref="KPF2:KPH2"/>
    <mergeCell ref="KPI2:KPL2"/>
    <mergeCell ref="KPN2:KPP2"/>
    <mergeCell ref="KNU2:KNX2"/>
    <mergeCell ref="KNZ2:KOB2"/>
    <mergeCell ref="KOC2:KOF2"/>
    <mergeCell ref="KOH2:KOJ2"/>
    <mergeCell ref="KOK2:KON2"/>
    <mergeCell ref="KOP2:KOR2"/>
    <mergeCell ref="KMW2:KMZ2"/>
    <mergeCell ref="KNB2:KND2"/>
    <mergeCell ref="KNE2:KNH2"/>
    <mergeCell ref="KNJ2:KNL2"/>
    <mergeCell ref="KNM2:KNP2"/>
    <mergeCell ref="KNR2:KNT2"/>
    <mergeCell ref="KLY2:KMB2"/>
    <mergeCell ref="KMD2:KMF2"/>
    <mergeCell ref="KMG2:KMJ2"/>
    <mergeCell ref="KML2:KMN2"/>
    <mergeCell ref="KMO2:KMR2"/>
    <mergeCell ref="KMT2:KMV2"/>
    <mergeCell ref="KLA2:KLD2"/>
    <mergeCell ref="KLF2:KLH2"/>
    <mergeCell ref="KLI2:KLL2"/>
    <mergeCell ref="KLN2:KLP2"/>
    <mergeCell ref="KLQ2:KLT2"/>
    <mergeCell ref="KLV2:KLX2"/>
    <mergeCell ref="KKC2:KKF2"/>
    <mergeCell ref="KKH2:KKJ2"/>
    <mergeCell ref="KKK2:KKN2"/>
    <mergeCell ref="KKP2:KKR2"/>
    <mergeCell ref="KKS2:KKV2"/>
    <mergeCell ref="KKX2:KKZ2"/>
    <mergeCell ref="KJE2:KJH2"/>
    <mergeCell ref="KJJ2:KJL2"/>
    <mergeCell ref="KJM2:KJP2"/>
    <mergeCell ref="KJR2:KJT2"/>
    <mergeCell ref="KJU2:KJX2"/>
    <mergeCell ref="KJZ2:KKB2"/>
    <mergeCell ref="KIG2:KIJ2"/>
    <mergeCell ref="KIL2:KIN2"/>
    <mergeCell ref="KIO2:KIR2"/>
    <mergeCell ref="KIT2:KIV2"/>
    <mergeCell ref="KIW2:KIZ2"/>
    <mergeCell ref="KJB2:KJD2"/>
    <mergeCell ref="KHI2:KHL2"/>
    <mergeCell ref="KHN2:KHP2"/>
    <mergeCell ref="KHQ2:KHT2"/>
    <mergeCell ref="KHV2:KHX2"/>
    <mergeCell ref="KHY2:KIB2"/>
    <mergeCell ref="KID2:KIF2"/>
    <mergeCell ref="KGK2:KGN2"/>
    <mergeCell ref="KGP2:KGR2"/>
    <mergeCell ref="KGS2:KGV2"/>
    <mergeCell ref="KGX2:KGZ2"/>
    <mergeCell ref="KHA2:KHD2"/>
    <mergeCell ref="KHF2:KHH2"/>
    <mergeCell ref="KFM2:KFP2"/>
    <mergeCell ref="KFR2:KFT2"/>
    <mergeCell ref="KFU2:KFX2"/>
    <mergeCell ref="KFZ2:KGB2"/>
    <mergeCell ref="KGC2:KGF2"/>
    <mergeCell ref="KGH2:KGJ2"/>
    <mergeCell ref="KEO2:KER2"/>
    <mergeCell ref="KET2:KEV2"/>
    <mergeCell ref="KEW2:KEZ2"/>
    <mergeCell ref="KFB2:KFD2"/>
    <mergeCell ref="KFE2:KFH2"/>
    <mergeCell ref="KFJ2:KFL2"/>
    <mergeCell ref="KDQ2:KDT2"/>
    <mergeCell ref="KDV2:KDX2"/>
    <mergeCell ref="KDY2:KEB2"/>
    <mergeCell ref="KED2:KEF2"/>
    <mergeCell ref="KEG2:KEJ2"/>
    <mergeCell ref="KEL2:KEN2"/>
    <mergeCell ref="KCS2:KCV2"/>
    <mergeCell ref="KCX2:KCZ2"/>
    <mergeCell ref="KDA2:KDD2"/>
    <mergeCell ref="KDF2:KDH2"/>
    <mergeCell ref="KDI2:KDL2"/>
    <mergeCell ref="KDN2:KDP2"/>
    <mergeCell ref="KBU2:KBX2"/>
    <mergeCell ref="KBZ2:KCB2"/>
    <mergeCell ref="KCC2:KCF2"/>
    <mergeCell ref="KCH2:KCJ2"/>
    <mergeCell ref="KCK2:KCN2"/>
    <mergeCell ref="KCP2:KCR2"/>
    <mergeCell ref="KAW2:KAZ2"/>
    <mergeCell ref="KBB2:KBD2"/>
    <mergeCell ref="KBE2:KBH2"/>
    <mergeCell ref="KBJ2:KBL2"/>
    <mergeCell ref="KBM2:KBP2"/>
    <mergeCell ref="KBR2:KBT2"/>
    <mergeCell ref="JZY2:KAB2"/>
    <mergeCell ref="KAD2:KAF2"/>
    <mergeCell ref="KAG2:KAJ2"/>
    <mergeCell ref="KAL2:KAN2"/>
    <mergeCell ref="KAO2:KAR2"/>
    <mergeCell ref="KAT2:KAV2"/>
    <mergeCell ref="JZA2:JZD2"/>
    <mergeCell ref="JZF2:JZH2"/>
    <mergeCell ref="JZI2:JZL2"/>
    <mergeCell ref="JZN2:JZP2"/>
    <mergeCell ref="JZQ2:JZT2"/>
    <mergeCell ref="JZV2:JZX2"/>
    <mergeCell ref="JYC2:JYF2"/>
    <mergeCell ref="JYH2:JYJ2"/>
    <mergeCell ref="JYK2:JYN2"/>
    <mergeCell ref="JYP2:JYR2"/>
    <mergeCell ref="JYS2:JYV2"/>
    <mergeCell ref="JYX2:JYZ2"/>
    <mergeCell ref="JXE2:JXH2"/>
    <mergeCell ref="JXJ2:JXL2"/>
    <mergeCell ref="JXM2:JXP2"/>
    <mergeCell ref="JXR2:JXT2"/>
    <mergeCell ref="JXU2:JXX2"/>
    <mergeCell ref="JXZ2:JYB2"/>
    <mergeCell ref="JWG2:JWJ2"/>
    <mergeCell ref="JWL2:JWN2"/>
    <mergeCell ref="JWO2:JWR2"/>
    <mergeCell ref="JWT2:JWV2"/>
    <mergeCell ref="JWW2:JWZ2"/>
    <mergeCell ref="JXB2:JXD2"/>
    <mergeCell ref="JVI2:JVL2"/>
    <mergeCell ref="JVN2:JVP2"/>
    <mergeCell ref="JVQ2:JVT2"/>
    <mergeCell ref="JVV2:JVX2"/>
    <mergeCell ref="JVY2:JWB2"/>
    <mergeCell ref="JWD2:JWF2"/>
    <mergeCell ref="JUK2:JUN2"/>
    <mergeCell ref="JUP2:JUR2"/>
    <mergeCell ref="JUS2:JUV2"/>
    <mergeCell ref="JUX2:JUZ2"/>
    <mergeCell ref="JVA2:JVD2"/>
    <mergeCell ref="JVF2:JVH2"/>
    <mergeCell ref="JTM2:JTP2"/>
    <mergeCell ref="JTR2:JTT2"/>
    <mergeCell ref="JTU2:JTX2"/>
    <mergeCell ref="JTZ2:JUB2"/>
    <mergeCell ref="JUC2:JUF2"/>
    <mergeCell ref="JUH2:JUJ2"/>
    <mergeCell ref="JSO2:JSR2"/>
    <mergeCell ref="JST2:JSV2"/>
    <mergeCell ref="JSW2:JSZ2"/>
    <mergeCell ref="JTB2:JTD2"/>
    <mergeCell ref="JTE2:JTH2"/>
    <mergeCell ref="JTJ2:JTL2"/>
    <mergeCell ref="JRQ2:JRT2"/>
    <mergeCell ref="JRV2:JRX2"/>
    <mergeCell ref="JRY2:JSB2"/>
    <mergeCell ref="JSD2:JSF2"/>
    <mergeCell ref="JSG2:JSJ2"/>
    <mergeCell ref="JSL2:JSN2"/>
    <mergeCell ref="JQS2:JQV2"/>
    <mergeCell ref="JQX2:JQZ2"/>
    <mergeCell ref="JRA2:JRD2"/>
    <mergeCell ref="JRF2:JRH2"/>
    <mergeCell ref="JRI2:JRL2"/>
    <mergeCell ref="JRN2:JRP2"/>
    <mergeCell ref="JPU2:JPX2"/>
    <mergeCell ref="JPZ2:JQB2"/>
    <mergeCell ref="JQC2:JQF2"/>
    <mergeCell ref="JQH2:JQJ2"/>
    <mergeCell ref="JQK2:JQN2"/>
    <mergeCell ref="JQP2:JQR2"/>
    <mergeCell ref="JOW2:JOZ2"/>
    <mergeCell ref="JPB2:JPD2"/>
    <mergeCell ref="JPE2:JPH2"/>
    <mergeCell ref="JPJ2:JPL2"/>
    <mergeCell ref="JPM2:JPP2"/>
    <mergeCell ref="JPR2:JPT2"/>
    <mergeCell ref="JNY2:JOB2"/>
    <mergeCell ref="JOD2:JOF2"/>
    <mergeCell ref="JOG2:JOJ2"/>
    <mergeCell ref="JOL2:JON2"/>
    <mergeCell ref="JOO2:JOR2"/>
    <mergeCell ref="JOT2:JOV2"/>
    <mergeCell ref="JNA2:JND2"/>
    <mergeCell ref="JNF2:JNH2"/>
    <mergeCell ref="JNI2:JNL2"/>
    <mergeCell ref="JNN2:JNP2"/>
    <mergeCell ref="JNQ2:JNT2"/>
    <mergeCell ref="JNV2:JNX2"/>
    <mergeCell ref="JMC2:JMF2"/>
    <mergeCell ref="JMH2:JMJ2"/>
    <mergeCell ref="JMK2:JMN2"/>
    <mergeCell ref="JMP2:JMR2"/>
    <mergeCell ref="JMS2:JMV2"/>
    <mergeCell ref="JMX2:JMZ2"/>
    <mergeCell ref="JLE2:JLH2"/>
    <mergeCell ref="JLJ2:JLL2"/>
    <mergeCell ref="JLM2:JLP2"/>
    <mergeCell ref="JLR2:JLT2"/>
    <mergeCell ref="JLU2:JLX2"/>
    <mergeCell ref="JLZ2:JMB2"/>
    <mergeCell ref="JKG2:JKJ2"/>
    <mergeCell ref="JKL2:JKN2"/>
    <mergeCell ref="JKO2:JKR2"/>
    <mergeCell ref="JKT2:JKV2"/>
    <mergeCell ref="JKW2:JKZ2"/>
    <mergeCell ref="JLB2:JLD2"/>
    <mergeCell ref="JJI2:JJL2"/>
    <mergeCell ref="JJN2:JJP2"/>
    <mergeCell ref="JJQ2:JJT2"/>
    <mergeCell ref="JJV2:JJX2"/>
    <mergeCell ref="JJY2:JKB2"/>
    <mergeCell ref="JKD2:JKF2"/>
    <mergeCell ref="JIK2:JIN2"/>
    <mergeCell ref="JIP2:JIR2"/>
    <mergeCell ref="JIS2:JIV2"/>
    <mergeCell ref="JIX2:JIZ2"/>
    <mergeCell ref="JJA2:JJD2"/>
    <mergeCell ref="JJF2:JJH2"/>
    <mergeCell ref="JHM2:JHP2"/>
    <mergeCell ref="JHR2:JHT2"/>
    <mergeCell ref="JHU2:JHX2"/>
    <mergeCell ref="JHZ2:JIB2"/>
    <mergeCell ref="JIC2:JIF2"/>
    <mergeCell ref="JIH2:JIJ2"/>
    <mergeCell ref="JGO2:JGR2"/>
    <mergeCell ref="JGT2:JGV2"/>
    <mergeCell ref="JGW2:JGZ2"/>
    <mergeCell ref="JHB2:JHD2"/>
    <mergeCell ref="JHE2:JHH2"/>
    <mergeCell ref="JHJ2:JHL2"/>
    <mergeCell ref="JFQ2:JFT2"/>
    <mergeCell ref="JFV2:JFX2"/>
    <mergeCell ref="JFY2:JGB2"/>
    <mergeCell ref="JGD2:JGF2"/>
    <mergeCell ref="JGG2:JGJ2"/>
    <mergeCell ref="JGL2:JGN2"/>
    <mergeCell ref="JES2:JEV2"/>
    <mergeCell ref="JEX2:JEZ2"/>
    <mergeCell ref="JFA2:JFD2"/>
    <mergeCell ref="JFF2:JFH2"/>
    <mergeCell ref="JFI2:JFL2"/>
    <mergeCell ref="JFN2:JFP2"/>
    <mergeCell ref="JDU2:JDX2"/>
    <mergeCell ref="JDZ2:JEB2"/>
    <mergeCell ref="JEC2:JEF2"/>
    <mergeCell ref="JEH2:JEJ2"/>
    <mergeCell ref="JEK2:JEN2"/>
    <mergeCell ref="JEP2:JER2"/>
    <mergeCell ref="JCW2:JCZ2"/>
    <mergeCell ref="JDB2:JDD2"/>
    <mergeCell ref="JDE2:JDH2"/>
    <mergeCell ref="JDJ2:JDL2"/>
    <mergeCell ref="JDM2:JDP2"/>
    <mergeCell ref="JDR2:JDT2"/>
    <mergeCell ref="JBY2:JCB2"/>
    <mergeCell ref="JCD2:JCF2"/>
    <mergeCell ref="JCG2:JCJ2"/>
    <mergeCell ref="JCL2:JCN2"/>
    <mergeCell ref="JCO2:JCR2"/>
    <mergeCell ref="JCT2:JCV2"/>
    <mergeCell ref="JBA2:JBD2"/>
    <mergeCell ref="JBF2:JBH2"/>
    <mergeCell ref="JBI2:JBL2"/>
    <mergeCell ref="JBN2:JBP2"/>
    <mergeCell ref="JBQ2:JBT2"/>
    <mergeCell ref="JBV2:JBX2"/>
    <mergeCell ref="JAC2:JAF2"/>
    <mergeCell ref="JAH2:JAJ2"/>
    <mergeCell ref="JAK2:JAN2"/>
    <mergeCell ref="JAP2:JAR2"/>
    <mergeCell ref="JAS2:JAV2"/>
    <mergeCell ref="JAX2:JAZ2"/>
    <mergeCell ref="IZE2:IZH2"/>
    <mergeCell ref="IZJ2:IZL2"/>
    <mergeCell ref="IZM2:IZP2"/>
    <mergeCell ref="IZR2:IZT2"/>
    <mergeCell ref="IZU2:IZX2"/>
    <mergeCell ref="IZZ2:JAB2"/>
    <mergeCell ref="IYG2:IYJ2"/>
    <mergeCell ref="IYL2:IYN2"/>
    <mergeCell ref="IYO2:IYR2"/>
    <mergeCell ref="IYT2:IYV2"/>
    <mergeCell ref="IYW2:IYZ2"/>
    <mergeCell ref="IZB2:IZD2"/>
    <mergeCell ref="IXI2:IXL2"/>
    <mergeCell ref="IXN2:IXP2"/>
    <mergeCell ref="IXQ2:IXT2"/>
    <mergeCell ref="IXV2:IXX2"/>
    <mergeCell ref="IXY2:IYB2"/>
    <mergeCell ref="IYD2:IYF2"/>
    <mergeCell ref="IWK2:IWN2"/>
    <mergeCell ref="IWP2:IWR2"/>
    <mergeCell ref="IWS2:IWV2"/>
    <mergeCell ref="IWX2:IWZ2"/>
    <mergeCell ref="IXA2:IXD2"/>
    <mergeCell ref="IXF2:IXH2"/>
    <mergeCell ref="IVM2:IVP2"/>
    <mergeCell ref="IVR2:IVT2"/>
    <mergeCell ref="IVU2:IVX2"/>
    <mergeCell ref="IVZ2:IWB2"/>
    <mergeCell ref="IWC2:IWF2"/>
    <mergeCell ref="IWH2:IWJ2"/>
    <mergeCell ref="IUO2:IUR2"/>
    <mergeCell ref="IUT2:IUV2"/>
    <mergeCell ref="IUW2:IUZ2"/>
    <mergeCell ref="IVB2:IVD2"/>
    <mergeCell ref="IVE2:IVH2"/>
    <mergeCell ref="IVJ2:IVL2"/>
    <mergeCell ref="ITQ2:ITT2"/>
    <mergeCell ref="ITV2:ITX2"/>
    <mergeCell ref="ITY2:IUB2"/>
    <mergeCell ref="IUD2:IUF2"/>
    <mergeCell ref="IUG2:IUJ2"/>
    <mergeCell ref="IUL2:IUN2"/>
    <mergeCell ref="ISS2:ISV2"/>
    <mergeCell ref="ISX2:ISZ2"/>
    <mergeCell ref="ITA2:ITD2"/>
    <mergeCell ref="ITF2:ITH2"/>
    <mergeCell ref="ITI2:ITL2"/>
    <mergeCell ref="ITN2:ITP2"/>
    <mergeCell ref="IRU2:IRX2"/>
    <mergeCell ref="IRZ2:ISB2"/>
    <mergeCell ref="ISC2:ISF2"/>
    <mergeCell ref="ISH2:ISJ2"/>
    <mergeCell ref="ISK2:ISN2"/>
    <mergeCell ref="ISP2:ISR2"/>
    <mergeCell ref="IQW2:IQZ2"/>
    <mergeCell ref="IRB2:IRD2"/>
    <mergeCell ref="IRE2:IRH2"/>
    <mergeCell ref="IRJ2:IRL2"/>
    <mergeCell ref="IRM2:IRP2"/>
    <mergeCell ref="IRR2:IRT2"/>
    <mergeCell ref="IPY2:IQB2"/>
    <mergeCell ref="IQD2:IQF2"/>
    <mergeCell ref="IQG2:IQJ2"/>
    <mergeCell ref="IQL2:IQN2"/>
    <mergeCell ref="IQO2:IQR2"/>
    <mergeCell ref="IQT2:IQV2"/>
    <mergeCell ref="IPA2:IPD2"/>
    <mergeCell ref="IPF2:IPH2"/>
    <mergeCell ref="IPI2:IPL2"/>
    <mergeCell ref="IPN2:IPP2"/>
    <mergeCell ref="IPQ2:IPT2"/>
    <mergeCell ref="IPV2:IPX2"/>
    <mergeCell ref="IOC2:IOF2"/>
    <mergeCell ref="IOH2:IOJ2"/>
    <mergeCell ref="IOK2:ION2"/>
    <mergeCell ref="IOP2:IOR2"/>
    <mergeCell ref="IOS2:IOV2"/>
    <mergeCell ref="IOX2:IOZ2"/>
    <mergeCell ref="INE2:INH2"/>
    <mergeCell ref="INJ2:INL2"/>
    <mergeCell ref="INM2:INP2"/>
    <mergeCell ref="INR2:INT2"/>
    <mergeCell ref="INU2:INX2"/>
    <mergeCell ref="INZ2:IOB2"/>
    <mergeCell ref="IMG2:IMJ2"/>
    <mergeCell ref="IML2:IMN2"/>
    <mergeCell ref="IMO2:IMR2"/>
    <mergeCell ref="IMT2:IMV2"/>
    <mergeCell ref="IMW2:IMZ2"/>
    <mergeCell ref="INB2:IND2"/>
    <mergeCell ref="ILI2:ILL2"/>
    <mergeCell ref="ILN2:ILP2"/>
    <mergeCell ref="ILQ2:ILT2"/>
    <mergeCell ref="ILV2:ILX2"/>
    <mergeCell ref="ILY2:IMB2"/>
    <mergeCell ref="IMD2:IMF2"/>
    <mergeCell ref="IKK2:IKN2"/>
    <mergeCell ref="IKP2:IKR2"/>
    <mergeCell ref="IKS2:IKV2"/>
    <mergeCell ref="IKX2:IKZ2"/>
    <mergeCell ref="ILA2:ILD2"/>
    <mergeCell ref="ILF2:ILH2"/>
    <mergeCell ref="IJM2:IJP2"/>
    <mergeCell ref="IJR2:IJT2"/>
    <mergeCell ref="IJU2:IJX2"/>
    <mergeCell ref="IJZ2:IKB2"/>
    <mergeCell ref="IKC2:IKF2"/>
    <mergeCell ref="IKH2:IKJ2"/>
    <mergeCell ref="IIO2:IIR2"/>
    <mergeCell ref="IIT2:IIV2"/>
    <mergeCell ref="IIW2:IIZ2"/>
    <mergeCell ref="IJB2:IJD2"/>
    <mergeCell ref="IJE2:IJH2"/>
    <mergeCell ref="IJJ2:IJL2"/>
    <mergeCell ref="IHQ2:IHT2"/>
    <mergeCell ref="IHV2:IHX2"/>
    <mergeCell ref="IHY2:IIB2"/>
    <mergeCell ref="IID2:IIF2"/>
    <mergeCell ref="IIG2:IIJ2"/>
    <mergeCell ref="IIL2:IIN2"/>
    <mergeCell ref="IGS2:IGV2"/>
    <mergeCell ref="IGX2:IGZ2"/>
    <mergeCell ref="IHA2:IHD2"/>
    <mergeCell ref="IHF2:IHH2"/>
    <mergeCell ref="IHI2:IHL2"/>
    <mergeCell ref="IHN2:IHP2"/>
    <mergeCell ref="IFU2:IFX2"/>
    <mergeCell ref="IFZ2:IGB2"/>
    <mergeCell ref="IGC2:IGF2"/>
    <mergeCell ref="IGH2:IGJ2"/>
    <mergeCell ref="IGK2:IGN2"/>
    <mergeCell ref="IGP2:IGR2"/>
    <mergeCell ref="IEW2:IEZ2"/>
    <mergeCell ref="IFB2:IFD2"/>
    <mergeCell ref="IFE2:IFH2"/>
    <mergeCell ref="IFJ2:IFL2"/>
    <mergeCell ref="IFM2:IFP2"/>
    <mergeCell ref="IFR2:IFT2"/>
    <mergeCell ref="IDY2:IEB2"/>
    <mergeCell ref="IED2:IEF2"/>
    <mergeCell ref="IEG2:IEJ2"/>
    <mergeCell ref="IEL2:IEN2"/>
    <mergeCell ref="IEO2:IER2"/>
    <mergeCell ref="IET2:IEV2"/>
    <mergeCell ref="IDA2:IDD2"/>
    <mergeCell ref="IDF2:IDH2"/>
    <mergeCell ref="IDI2:IDL2"/>
    <mergeCell ref="IDN2:IDP2"/>
    <mergeCell ref="IDQ2:IDT2"/>
    <mergeCell ref="IDV2:IDX2"/>
    <mergeCell ref="ICC2:ICF2"/>
    <mergeCell ref="ICH2:ICJ2"/>
    <mergeCell ref="ICK2:ICN2"/>
    <mergeCell ref="ICP2:ICR2"/>
    <mergeCell ref="ICS2:ICV2"/>
    <mergeCell ref="ICX2:ICZ2"/>
    <mergeCell ref="IBE2:IBH2"/>
    <mergeCell ref="IBJ2:IBL2"/>
    <mergeCell ref="IBM2:IBP2"/>
    <mergeCell ref="IBR2:IBT2"/>
    <mergeCell ref="IBU2:IBX2"/>
    <mergeCell ref="IBZ2:ICB2"/>
    <mergeCell ref="IAG2:IAJ2"/>
    <mergeCell ref="IAL2:IAN2"/>
    <mergeCell ref="IAO2:IAR2"/>
    <mergeCell ref="IAT2:IAV2"/>
    <mergeCell ref="IAW2:IAZ2"/>
    <mergeCell ref="IBB2:IBD2"/>
    <mergeCell ref="HZI2:HZL2"/>
    <mergeCell ref="HZN2:HZP2"/>
    <mergeCell ref="HZQ2:HZT2"/>
    <mergeCell ref="HZV2:HZX2"/>
    <mergeCell ref="HZY2:IAB2"/>
    <mergeCell ref="IAD2:IAF2"/>
    <mergeCell ref="HYK2:HYN2"/>
    <mergeCell ref="HYP2:HYR2"/>
    <mergeCell ref="HYS2:HYV2"/>
    <mergeCell ref="HYX2:HYZ2"/>
    <mergeCell ref="HZA2:HZD2"/>
    <mergeCell ref="HZF2:HZH2"/>
    <mergeCell ref="HXM2:HXP2"/>
    <mergeCell ref="HXR2:HXT2"/>
    <mergeCell ref="HXU2:HXX2"/>
    <mergeCell ref="HXZ2:HYB2"/>
    <mergeCell ref="HYC2:HYF2"/>
    <mergeCell ref="HYH2:HYJ2"/>
    <mergeCell ref="HWO2:HWR2"/>
    <mergeCell ref="HWT2:HWV2"/>
    <mergeCell ref="HWW2:HWZ2"/>
    <mergeCell ref="HXB2:HXD2"/>
    <mergeCell ref="HXE2:HXH2"/>
    <mergeCell ref="HXJ2:HXL2"/>
    <mergeCell ref="HVQ2:HVT2"/>
    <mergeCell ref="HVV2:HVX2"/>
    <mergeCell ref="HVY2:HWB2"/>
    <mergeCell ref="HWD2:HWF2"/>
    <mergeCell ref="HWG2:HWJ2"/>
    <mergeCell ref="HWL2:HWN2"/>
    <mergeCell ref="HUS2:HUV2"/>
    <mergeCell ref="HUX2:HUZ2"/>
    <mergeCell ref="HVA2:HVD2"/>
    <mergeCell ref="HVF2:HVH2"/>
    <mergeCell ref="HVI2:HVL2"/>
    <mergeCell ref="HVN2:HVP2"/>
    <mergeCell ref="HTU2:HTX2"/>
    <mergeCell ref="HTZ2:HUB2"/>
    <mergeCell ref="HUC2:HUF2"/>
    <mergeCell ref="HUH2:HUJ2"/>
    <mergeCell ref="HUK2:HUN2"/>
    <mergeCell ref="HUP2:HUR2"/>
    <mergeCell ref="HSW2:HSZ2"/>
    <mergeCell ref="HTB2:HTD2"/>
    <mergeCell ref="HTE2:HTH2"/>
    <mergeCell ref="HTJ2:HTL2"/>
    <mergeCell ref="HTM2:HTP2"/>
    <mergeCell ref="HTR2:HTT2"/>
    <mergeCell ref="HRY2:HSB2"/>
    <mergeCell ref="HSD2:HSF2"/>
    <mergeCell ref="HSG2:HSJ2"/>
    <mergeCell ref="HSL2:HSN2"/>
    <mergeCell ref="HSO2:HSR2"/>
    <mergeCell ref="HST2:HSV2"/>
    <mergeCell ref="HRA2:HRD2"/>
    <mergeCell ref="HRF2:HRH2"/>
    <mergeCell ref="HRI2:HRL2"/>
    <mergeCell ref="HRN2:HRP2"/>
    <mergeCell ref="HRQ2:HRT2"/>
    <mergeCell ref="HRV2:HRX2"/>
    <mergeCell ref="HQC2:HQF2"/>
    <mergeCell ref="HQH2:HQJ2"/>
    <mergeCell ref="HQK2:HQN2"/>
    <mergeCell ref="HQP2:HQR2"/>
    <mergeCell ref="HQS2:HQV2"/>
    <mergeCell ref="HQX2:HQZ2"/>
    <mergeCell ref="HPE2:HPH2"/>
    <mergeCell ref="HPJ2:HPL2"/>
    <mergeCell ref="HPM2:HPP2"/>
    <mergeCell ref="HPR2:HPT2"/>
    <mergeCell ref="HPU2:HPX2"/>
    <mergeCell ref="HPZ2:HQB2"/>
    <mergeCell ref="HOG2:HOJ2"/>
    <mergeCell ref="HOL2:HON2"/>
    <mergeCell ref="HOO2:HOR2"/>
    <mergeCell ref="HOT2:HOV2"/>
    <mergeCell ref="HOW2:HOZ2"/>
    <mergeCell ref="HPB2:HPD2"/>
    <mergeCell ref="HNI2:HNL2"/>
    <mergeCell ref="HNN2:HNP2"/>
    <mergeCell ref="HNQ2:HNT2"/>
    <mergeCell ref="HNV2:HNX2"/>
    <mergeCell ref="HNY2:HOB2"/>
    <mergeCell ref="HOD2:HOF2"/>
    <mergeCell ref="HMK2:HMN2"/>
    <mergeCell ref="HMP2:HMR2"/>
    <mergeCell ref="HMS2:HMV2"/>
    <mergeCell ref="HMX2:HMZ2"/>
    <mergeCell ref="HNA2:HND2"/>
    <mergeCell ref="HNF2:HNH2"/>
    <mergeCell ref="HLM2:HLP2"/>
    <mergeCell ref="HLR2:HLT2"/>
    <mergeCell ref="HLU2:HLX2"/>
    <mergeCell ref="HLZ2:HMB2"/>
    <mergeCell ref="HMC2:HMF2"/>
    <mergeCell ref="HMH2:HMJ2"/>
    <mergeCell ref="HKO2:HKR2"/>
    <mergeCell ref="HKT2:HKV2"/>
    <mergeCell ref="HKW2:HKZ2"/>
    <mergeCell ref="HLB2:HLD2"/>
    <mergeCell ref="HLE2:HLH2"/>
    <mergeCell ref="HLJ2:HLL2"/>
    <mergeCell ref="HJQ2:HJT2"/>
    <mergeCell ref="HJV2:HJX2"/>
    <mergeCell ref="HJY2:HKB2"/>
    <mergeCell ref="HKD2:HKF2"/>
    <mergeCell ref="HKG2:HKJ2"/>
    <mergeCell ref="HKL2:HKN2"/>
    <mergeCell ref="HIS2:HIV2"/>
    <mergeCell ref="HIX2:HIZ2"/>
    <mergeCell ref="HJA2:HJD2"/>
    <mergeCell ref="HJF2:HJH2"/>
    <mergeCell ref="HJI2:HJL2"/>
    <mergeCell ref="HJN2:HJP2"/>
    <mergeCell ref="HHU2:HHX2"/>
    <mergeCell ref="HHZ2:HIB2"/>
    <mergeCell ref="HIC2:HIF2"/>
    <mergeCell ref="HIH2:HIJ2"/>
    <mergeCell ref="HIK2:HIN2"/>
    <mergeCell ref="HIP2:HIR2"/>
    <mergeCell ref="HGW2:HGZ2"/>
    <mergeCell ref="HHB2:HHD2"/>
    <mergeCell ref="HHE2:HHH2"/>
    <mergeCell ref="HHJ2:HHL2"/>
    <mergeCell ref="HHM2:HHP2"/>
    <mergeCell ref="HHR2:HHT2"/>
    <mergeCell ref="HFY2:HGB2"/>
    <mergeCell ref="HGD2:HGF2"/>
    <mergeCell ref="HGG2:HGJ2"/>
    <mergeCell ref="HGL2:HGN2"/>
    <mergeCell ref="HGO2:HGR2"/>
    <mergeCell ref="HGT2:HGV2"/>
    <mergeCell ref="HFA2:HFD2"/>
    <mergeCell ref="HFF2:HFH2"/>
    <mergeCell ref="HFI2:HFL2"/>
    <mergeCell ref="HFN2:HFP2"/>
    <mergeCell ref="HFQ2:HFT2"/>
    <mergeCell ref="HFV2:HFX2"/>
    <mergeCell ref="HEC2:HEF2"/>
    <mergeCell ref="HEH2:HEJ2"/>
    <mergeCell ref="HEK2:HEN2"/>
    <mergeCell ref="HEP2:HER2"/>
    <mergeCell ref="HES2:HEV2"/>
    <mergeCell ref="HEX2:HEZ2"/>
    <mergeCell ref="HDE2:HDH2"/>
    <mergeCell ref="HDJ2:HDL2"/>
    <mergeCell ref="HDM2:HDP2"/>
    <mergeCell ref="HDR2:HDT2"/>
    <mergeCell ref="HDU2:HDX2"/>
    <mergeCell ref="HDZ2:HEB2"/>
    <mergeCell ref="HCG2:HCJ2"/>
    <mergeCell ref="HCL2:HCN2"/>
    <mergeCell ref="HCO2:HCR2"/>
    <mergeCell ref="HCT2:HCV2"/>
    <mergeCell ref="HCW2:HCZ2"/>
    <mergeCell ref="HDB2:HDD2"/>
    <mergeCell ref="HBI2:HBL2"/>
    <mergeCell ref="HBN2:HBP2"/>
    <mergeCell ref="HBQ2:HBT2"/>
    <mergeCell ref="HBV2:HBX2"/>
    <mergeCell ref="HBY2:HCB2"/>
    <mergeCell ref="HCD2:HCF2"/>
    <mergeCell ref="HAK2:HAN2"/>
    <mergeCell ref="HAP2:HAR2"/>
    <mergeCell ref="HAS2:HAV2"/>
    <mergeCell ref="HAX2:HAZ2"/>
    <mergeCell ref="HBA2:HBD2"/>
    <mergeCell ref="HBF2:HBH2"/>
    <mergeCell ref="GZM2:GZP2"/>
    <mergeCell ref="GZR2:GZT2"/>
    <mergeCell ref="GZU2:GZX2"/>
    <mergeCell ref="GZZ2:HAB2"/>
    <mergeCell ref="HAC2:HAF2"/>
    <mergeCell ref="HAH2:HAJ2"/>
    <mergeCell ref="GYO2:GYR2"/>
    <mergeCell ref="GYT2:GYV2"/>
    <mergeCell ref="GYW2:GYZ2"/>
    <mergeCell ref="GZB2:GZD2"/>
    <mergeCell ref="GZE2:GZH2"/>
    <mergeCell ref="GZJ2:GZL2"/>
    <mergeCell ref="GXQ2:GXT2"/>
    <mergeCell ref="GXV2:GXX2"/>
    <mergeCell ref="GXY2:GYB2"/>
    <mergeCell ref="GYD2:GYF2"/>
    <mergeCell ref="GYG2:GYJ2"/>
    <mergeCell ref="GYL2:GYN2"/>
    <mergeCell ref="GWS2:GWV2"/>
    <mergeCell ref="GWX2:GWZ2"/>
    <mergeCell ref="GXA2:GXD2"/>
    <mergeCell ref="GXF2:GXH2"/>
    <mergeCell ref="GXI2:GXL2"/>
    <mergeCell ref="GXN2:GXP2"/>
    <mergeCell ref="GVU2:GVX2"/>
    <mergeCell ref="GVZ2:GWB2"/>
    <mergeCell ref="GWC2:GWF2"/>
    <mergeCell ref="GWH2:GWJ2"/>
    <mergeCell ref="GWK2:GWN2"/>
    <mergeCell ref="GWP2:GWR2"/>
    <mergeCell ref="GUW2:GUZ2"/>
    <mergeCell ref="GVB2:GVD2"/>
    <mergeCell ref="GVE2:GVH2"/>
    <mergeCell ref="GVJ2:GVL2"/>
    <mergeCell ref="GVM2:GVP2"/>
    <mergeCell ref="GVR2:GVT2"/>
    <mergeCell ref="GTY2:GUB2"/>
    <mergeCell ref="GUD2:GUF2"/>
    <mergeCell ref="GUG2:GUJ2"/>
    <mergeCell ref="GUL2:GUN2"/>
    <mergeCell ref="GUO2:GUR2"/>
    <mergeCell ref="GUT2:GUV2"/>
    <mergeCell ref="GTA2:GTD2"/>
    <mergeCell ref="GTF2:GTH2"/>
    <mergeCell ref="GTI2:GTL2"/>
    <mergeCell ref="GTN2:GTP2"/>
    <mergeCell ref="GTQ2:GTT2"/>
    <mergeCell ref="GTV2:GTX2"/>
    <mergeCell ref="GSC2:GSF2"/>
    <mergeCell ref="GSH2:GSJ2"/>
    <mergeCell ref="GSK2:GSN2"/>
    <mergeCell ref="GSP2:GSR2"/>
    <mergeCell ref="GSS2:GSV2"/>
    <mergeCell ref="GSX2:GSZ2"/>
    <mergeCell ref="GRE2:GRH2"/>
    <mergeCell ref="GRJ2:GRL2"/>
    <mergeCell ref="GRM2:GRP2"/>
    <mergeCell ref="GRR2:GRT2"/>
    <mergeCell ref="GRU2:GRX2"/>
    <mergeCell ref="GRZ2:GSB2"/>
    <mergeCell ref="GQG2:GQJ2"/>
    <mergeCell ref="GQL2:GQN2"/>
    <mergeCell ref="GQO2:GQR2"/>
    <mergeCell ref="GQT2:GQV2"/>
    <mergeCell ref="GQW2:GQZ2"/>
    <mergeCell ref="GRB2:GRD2"/>
    <mergeCell ref="GPI2:GPL2"/>
    <mergeCell ref="GPN2:GPP2"/>
    <mergeCell ref="GPQ2:GPT2"/>
    <mergeCell ref="GPV2:GPX2"/>
    <mergeCell ref="GPY2:GQB2"/>
    <mergeCell ref="GQD2:GQF2"/>
    <mergeCell ref="GOK2:GON2"/>
    <mergeCell ref="GOP2:GOR2"/>
    <mergeCell ref="GOS2:GOV2"/>
    <mergeCell ref="GOX2:GOZ2"/>
    <mergeCell ref="GPA2:GPD2"/>
    <mergeCell ref="GPF2:GPH2"/>
    <mergeCell ref="GNM2:GNP2"/>
    <mergeCell ref="GNR2:GNT2"/>
    <mergeCell ref="GNU2:GNX2"/>
    <mergeCell ref="GNZ2:GOB2"/>
    <mergeCell ref="GOC2:GOF2"/>
    <mergeCell ref="GOH2:GOJ2"/>
    <mergeCell ref="GMO2:GMR2"/>
    <mergeCell ref="GMT2:GMV2"/>
    <mergeCell ref="GMW2:GMZ2"/>
    <mergeCell ref="GNB2:GND2"/>
    <mergeCell ref="GNE2:GNH2"/>
    <mergeCell ref="GNJ2:GNL2"/>
    <mergeCell ref="GLQ2:GLT2"/>
    <mergeCell ref="GLV2:GLX2"/>
    <mergeCell ref="GLY2:GMB2"/>
    <mergeCell ref="GMD2:GMF2"/>
    <mergeCell ref="GMG2:GMJ2"/>
    <mergeCell ref="GML2:GMN2"/>
    <mergeCell ref="GKS2:GKV2"/>
    <mergeCell ref="GKX2:GKZ2"/>
    <mergeCell ref="GLA2:GLD2"/>
    <mergeCell ref="GLF2:GLH2"/>
    <mergeCell ref="GLI2:GLL2"/>
    <mergeCell ref="GLN2:GLP2"/>
    <mergeCell ref="GJU2:GJX2"/>
    <mergeCell ref="GJZ2:GKB2"/>
    <mergeCell ref="GKC2:GKF2"/>
    <mergeCell ref="GKH2:GKJ2"/>
    <mergeCell ref="GKK2:GKN2"/>
    <mergeCell ref="GKP2:GKR2"/>
    <mergeCell ref="GIW2:GIZ2"/>
    <mergeCell ref="GJB2:GJD2"/>
    <mergeCell ref="GJE2:GJH2"/>
    <mergeCell ref="GJJ2:GJL2"/>
    <mergeCell ref="GJM2:GJP2"/>
    <mergeCell ref="GJR2:GJT2"/>
    <mergeCell ref="GHY2:GIB2"/>
    <mergeCell ref="GID2:GIF2"/>
    <mergeCell ref="GIG2:GIJ2"/>
    <mergeCell ref="GIL2:GIN2"/>
    <mergeCell ref="GIO2:GIR2"/>
    <mergeCell ref="GIT2:GIV2"/>
    <mergeCell ref="GHA2:GHD2"/>
    <mergeCell ref="GHF2:GHH2"/>
    <mergeCell ref="GHI2:GHL2"/>
    <mergeCell ref="GHN2:GHP2"/>
    <mergeCell ref="GHQ2:GHT2"/>
    <mergeCell ref="GHV2:GHX2"/>
    <mergeCell ref="GGC2:GGF2"/>
    <mergeCell ref="GGH2:GGJ2"/>
    <mergeCell ref="GGK2:GGN2"/>
    <mergeCell ref="GGP2:GGR2"/>
    <mergeCell ref="GGS2:GGV2"/>
    <mergeCell ref="GGX2:GGZ2"/>
    <mergeCell ref="GFE2:GFH2"/>
    <mergeCell ref="GFJ2:GFL2"/>
    <mergeCell ref="GFM2:GFP2"/>
    <mergeCell ref="GFR2:GFT2"/>
    <mergeCell ref="GFU2:GFX2"/>
    <mergeCell ref="GFZ2:GGB2"/>
    <mergeCell ref="GEG2:GEJ2"/>
    <mergeCell ref="GEL2:GEN2"/>
    <mergeCell ref="GEO2:GER2"/>
    <mergeCell ref="GET2:GEV2"/>
    <mergeCell ref="GEW2:GEZ2"/>
    <mergeCell ref="GFB2:GFD2"/>
    <mergeCell ref="GDI2:GDL2"/>
    <mergeCell ref="GDN2:GDP2"/>
    <mergeCell ref="GDQ2:GDT2"/>
    <mergeCell ref="GDV2:GDX2"/>
    <mergeCell ref="GDY2:GEB2"/>
    <mergeCell ref="GED2:GEF2"/>
    <mergeCell ref="GCK2:GCN2"/>
    <mergeCell ref="GCP2:GCR2"/>
    <mergeCell ref="GCS2:GCV2"/>
    <mergeCell ref="GCX2:GCZ2"/>
    <mergeCell ref="GDA2:GDD2"/>
    <mergeCell ref="GDF2:GDH2"/>
    <mergeCell ref="GBM2:GBP2"/>
    <mergeCell ref="GBR2:GBT2"/>
    <mergeCell ref="GBU2:GBX2"/>
    <mergeCell ref="GBZ2:GCB2"/>
    <mergeCell ref="GCC2:GCF2"/>
    <mergeCell ref="GCH2:GCJ2"/>
    <mergeCell ref="GAO2:GAR2"/>
    <mergeCell ref="GAT2:GAV2"/>
    <mergeCell ref="GAW2:GAZ2"/>
    <mergeCell ref="GBB2:GBD2"/>
    <mergeCell ref="GBE2:GBH2"/>
    <mergeCell ref="GBJ2:GBL2"/>
    <mergeCell ref="FZQ2:FZT2"/>
    <mergeCell ref="FZV2:FZX2"/>
    <mergeCell ref="FZY2:GAB2"/>
    <mergeCell ref="GAD2:GAF2"/>
    <mergeCell ref="GAG2:GAJ2"/>
    <mergeCell ref="GAL2:GAN2"/>
    <mergeCell ref="FYS2:FYV2"/>
    <mergeCell ref="FYX2:FYZ2"/>
    <mergeCell ref="FZA2:FZD2"/>
    <mergeCell ref="FZF2:FZH2"/>
    <mergeCell ref="FZI2:FZL2"/>
    <mergeCell ref="FZN2:FZP2"/>
    <mergeCell ref="FXU2:FXX2"/>
    <mergeCell ref="FXZ2:FYB2"/>
    <mergeCell ref="FYC2:FYF2"/>
    <mergeCell ref="FYH2:FYJ2"/>
    <mergeCell ref="FYK2:FYN2"/>
    <mergeCell ref="FYP2:FYR2"/>
    <mergeCell ref="FWW2:FWZ2"/>
    <mergeCell ref="FXB2:FXD2"/>
    <mergeCell ref="FXE2:FXH2"/>
    <mergeCell ref="FXJ2:FXL2"/>
    <mergeCell ref="FXM2:FXP2"/>
    <mergeCell ref="FXR2:FXT2"/>
    <mergeCell ref="FVY2:FWB2"/>
    <mergeCell ref="FWD2:FWF2"/>
    <mergeCell ref="FWG2:FWJ2"/>
    <mergeCell ref="FWL2:FWN2"/>
    <mergeCell ref="FWO2:FWR2"/>
    <mergeCell ref="FWT2:FWV2"/>
    <mergeCell ref="FVA2:FVD2"/>
    <mergeCell ref="FVF2:FVH2"/>
    <mergeCell ref="FVI2:FVL2"/>
    <mergeCell ref="FVN2:FVP2"/>
    <mergeCell ref="FVQ2:FVT2"/>
    <mergeCell ref="FVV2:FVX2"/>
    <mergeCell ref="FUC2:FUF2"/>
    <mergeCell ref="FUH2:FUJ2"/>
    <mergeCell ref="FUK2:FUN2"/>
    <mergeCell ref="FUP2:FUR2"/>
    <mergeCell ref="FUS2:FUV2"/>
    <mergeCell ref="FUX2:FUZ2"/>
    <mergeCell ref="FTE2:FTH2"/>
    <mergeCell ref="FTJ2:FTL2"/>
    <mergeCell ref="FTM2:FTP2"/>
    <mergeCell ref="FTR2:FTT2"/>
    <mergeCell ref="FTU2:FTX2"/>
    <mergeCell ref="FTZ2:FUB2"/>
    <mergeCell ref="FSG2:FSJ2"/>
    <mergeCell ref="FSL2:FSN2"/>
    <mergeCell ref="FSO2:FSR2"/>
    <mergeCell ref="FST2:FSV2"/>
    <mergeCell ref="FSW2:FSZ2"/>
    <mergeCell ref="FTB2:FTD2"/>
    <mergeCell ref="FRI2:FRL2"/>
    <mergeCell ref="FRN2:FRP2"/>
    <mergeCell ref="FRQ2:FRT2"/>
    <mergeCell ref="FRV2:FRX2"/>
    <mergeCell ref="FRY2:FSB2"/>
    <mergeCell ref="FSD2:FSF2"/>
    <mergeCell ref="FQK2:FQN2"/>
    <mergeCell ref="FQP2:FQR2"/>
    <mergeCell ref="FQS2:FQV2"/>
    <mergeCell ref="FQX2:FQZ2"/>
    <mergeCell ref="FRA2:FRD2"/>
    <mergeCell ref="FRF2:FRH2"/>
    <mergeCell ref="FPM2:FPP2"/>
    <mergeCell ref="FPR2:FPT2"/>
    <mergeCell ref="FPU2:FPX2"/>
    <mergeCell ref="FPZ2:FQB2"/>
    <mergeCell ref="FQC2:FQF2"/>
    <mergeCell ref="FQH2:FQJ2"/>
    <mergeCell ref="FOO2:FOR2"/>
    <mergeCell ref="FOT2:FOV2"/>
    <mergeCell ref="FOW2:FOZ2"/>
    <mergeCell ref="FPB2:FPD2"/>
    <mergeCell ref="FPE2:FPH2"/>
    <mergeCell ref="FPJ2:FPL2"/>
    <mergeCell ref="FNQ2:FNT2"/>
    <mergeCell ref="FNV2:FNX2"/>
    <mergeCell ref="FNY2:FOB2"/>
    <mergeCell ref="FOD2:FOF2"/>
    <mergeCell ref="FOG2:FOJ2"/>
    <mergeCell ref="FOL2:FON2"/>
    <mergeCell ref="FMS2:FMV2"/>
    <mergeCell ref="FMX2:FMZ2"/>
    <mergeCell ref="FNA2:FND2"/>
    <mergeCell ref="FNF2:FNH2"/>
    <mergeCell ref="FNI2:FNL2"/>
    <mergeCell ref="FNN2:FNP2"/>
    <mergeCell ref="FLU2:FLX2"/>
    <mergeCell ref="FLZ2:FMB2"/>
    <mergeCell ref="FMC2:FMF2"/>
    <mergeCell ref="FMH2:FMJ2"/>
    <mergeCell ref="FMK2:FMN2"/>
    <mergeCell ref="FMP2:FMR2"/>
    <mergeCell ref="FKW2:FKZ2"/>
    <mergeCell ref="FLB2:FLD2"/>
    <mergeCell ref="FLE2:FLH2"/>
    <mergeCell ref="FLJ2:FLL2"/>
    <mergeCell ref="FLM2:FLP2"/>
    <mergeCell ref="FLR2:FLT2"/>
    <mergeCell ref="FJY2:FKB2"/>
    <mergeCell ref="FKD2:FKF2"/>
    <mergeCell ref="FKG2:FKJ2"/>
    <mergeCell ref="FKL2:FKN2"/>
    <mergeCell ref="FKO2:FKR2"/>
    <mergeCell ref="FKT2:FKV2"/>
    <mergeCell ref="FJA2:FJD2"/>
    <mergeCell ref="FJF2:FJH2"/>
    <mergeCell ref="FJI2:FJL2"/>
    <mergeCell ref="FJN2:FJP2"/>
    <mergeCell ref="FJQ2:FJT2"/>
    <mergeCell ref="FJV2:FJX2"/>
    <mergeCell ref="FIC2:FIF2"/>
    <mergeCell ref="FIH2:FIJ2"/>
    <mergeCell ref="FIK2:FIN2"/>
    <mergeCell ref="FIP2:FIR2"/>
    <mergeCell ref="FIS2:FIV2"/>
    <mergeCell ref="FIX2:FIZ2"/>
    <mergeCell ref="FHE2:FHH2"/>
    <mergeCell ref="FHJ2:FHL2"/>
    <mergeCell ref="FHM2:FHP2"/>
    <mergeCell ref="FHR2:FHT2"/>
    <mergeCell ref="FHU2:FHX2"/>
    <mergeCell ref="FHZ2:FIB2"/>
    <mergeCell ref="FGG2:FGJ2"/>
    <mergeCell ref="FGL2:FGN2"/>
    <mergeCell ref="FGO2:FGR2"/>
    <mergeCell ref="FGT2:FGV2"/>
    <mergeCell ref="FGW2:FGZ2"/>
    <mergeCell ref="FHB2:FHD2"/>
    <mergeCell ref="FFI2:FFL2"/>
    <mergeCell ref="FFN2:FFP2"/>
    <mergeCell ref="FFQ2:FFT2"/>
    <mergeCell ref="FFV2:FFX2"/>
    <mergeCell ref="FFY2:FGB2"/>
    <mergeCell ref="FGD2:FGF2"/>
    <mergeCell ref="FEK2:FEN2"/>
    <mergeCell ref="FEP2:FER2"/>
    <mergeCell ref="FES2:FEV2"/>
    <mergeCell ref="FEX2:FEZ2"/>
    <mergeCell ref="FFA2:FFD2"/>
    <mergeCell ref="FFF2:FFH2"/>
    <mergeCell ref="FDM2:FDP2"/>
    <mergeCell ref="FDR2:FDT2"/>
    <mergeCell ref="FDU2:FDX2"/>
    <mergeCell ref="FDZ2:FEB2"/>
    <mergeCell ref="FEC2:FEF2"/>
    <mergeCell ref="FEH2:FEJ2"/>
    <mergeCell ref="FCO2:FCR2"/>
    <mergeCell ref="FCT2:FCV2"/>
    <mergeCell ref="FCW2:FCZ2"/>
    <mergeCell ref="FDB2:FDD2"/>
    <mergeCell ref="FDE2:FDH2"/>
    <mergeCell ref="FDJ2:FDL2"/>
    <mergeCell ref="FBQ2:FBT2"/>
    <mergeCell ref="FBV2:FBX2"/>
    <mergeCell ref="FBY2:FCB2"/>
    <mergeCell ref="FCD2:FCF2"/>
    <mergeCell ref="FCG2:FCJ2"/>
    <mergeCell ref="FCL2:FCN2"/>
    <mergeCell ref="FAS2:FAV2"/>
    <mergeCell ref="FAX2:FAZ2"/>
    <mergeCell ref="FBA2:FBD2"/>
    <mergeCell ref="FBF2:FBH2"/>
    <mergeCell ref="FBI2:FBL2"/>
    <mergeCell ref="FBN2:FBP2"/>
    <mergeCell ref="EZU2:EZX2"/>
    <mergeCell ref="EZZ2:FAB2"/>
    <mergeCell ref="FAC2:FAF2"/>
    <mergeCell ref="FAH2:FAJ2"/>
    <mergeCell ref="FAK2:FAN2"/>
    <mergeCell ref="FAP2:FAR2"/>
    <mergeCell ref="EYW2:EYZ2"/>
    <mergeCell ref="EZB2:EZD2"/>
    <mergeCell ref="EZE2:EZH2"/>
    <mergeCell ref="EZJ2:EZL2"/>
    <mergeCell ref="EZM2:EZP2"/>
    <mergeCell ref="EZR2:EZT2"/>
    <mergeCell ref="EXY2:EYB2"/>
    <mergeCell ref="EYD2:EYF2"/>
    <mergeCell ref="EYG2:EYJ2"/>
    <mergeCell ref="EYL2:EYN2"/>
    <mergeCell ref="EYO2:EYR2"/>
    <mergeCell ref="EYT2:EYV2"/>
    <mergeCell ref="EXA2:EXD2"/>
    <mergeCell ref="EXF2:EXH2"/>
    <mergeCell ref="EXI2:EXL2"/>
    <mergeCell ref="EXN2:EXP2"/>
    <mergeCell ref="EXQ2:EXT2"/>
    <mergeCell ref="EXV2:EXX2"/>
    <mergeCell ref="EWC2:EWF2"/>
    <mergeCell ref="EWH2:EWJ2"/>
    <mergeCell ref="EWK2:EWN2"/>
    <mergeCell ref="EWP2:EWR2"/>
    <mergeCell ref="EWS2:EWV2"/>
    <mergeCell ref="EWX2:EWZ2"/>
    <mergeCell ref="EVE2:EVH2"/>
    <mergeCell ref="EVJ2:EVL2"/>
    <mergeCell ref="EVM2:EVP2"/>
    <mergeCell ref="EVR2:EVT2"/>
    <mergeCell ref="EVU2:EVX2"/>
    <mergeCell ref="EVZ2:EWB2"/>
    <mergeCell ref="EUG2:EUJ2"/>
    <mergeCell ref="EUL2:EUN2"/>
    <mergeCell ref="EUO2:EUR2"/>
    <mergeCell ref="EUT2:EUV2"/>
    <mergeCell ref="EUW2:EUZ2"/>
    <mergeCell ref="EVB2:EVD2"/>
    <mergeCell ref="ETI2:ETL2"/>
    <mergeCell ref="ETN2:ETP2"/>
    <mergeCell ref="ETQ2:ETT2"/>
    <mergeCell ref="ETV2:ETX2"/>
    <mergeCell ref="ETY2:EUB2"/>
    <mergeCell ref="EUD2:EUF2"/>
    <mergeCell ref="ESK2:ESN2"/>
    <mergeCell ref="ESP2:ESR2"/>
    <mergeCell ref="ESS2:ESV2"/>
    <mergeCell ref="ESX2:ESZ2"/>
    <mergeCell ref="ETA2:ETD2"/>
    <mergeCell ref="ETF2:ETH2"/>
    <mergeCell ref="ERM2:ERP2"/>
    <mergeCell ref="ERR2:ERT2"/>
    <mergeCell ref="ERU2:ERX2"/>
    <mergeCell ref="ERZ2:ESB2"/>
    <mergeCell ref="ESC2:ESF2"/>
    <mergeCell ref="ESH2:ESJ2"/>
    <mergeCell ref="EQO2:EQR2"/>
    <mergeCell ref="EQT2:EQV2"/>
    <mergeCell ref="EQW2:EQZ2"/>
    <mergeCell ref="ERB2:ERD2"/>
    <mergeCell ref="ERE2:ERH2"/>
    <mergeCell ref="ERJ2:ERL2"/>
    <mergeCell ref="EPQ2:EPT2"/>
    <mergeCell ref="EPV2:EPX2"/>
    <mergeCell ref="EPY2:EQB2"/>
    <mergeCell ref="EQD2:EQF2"/>
    <mergeCell ref="EQG2:EQJ2"/>
    <mergeCell ref="EQL2:EQN2"/>
    <mergeCell ref="EOS2:EOV2"/>
    <mergeCell ref="EOX2:EOZ2"/>
    <mergeCell ref="EPA2:EPD2"/>
    <mergeCell ref="EPF2:EPH2"/>
    <mergeCell ref="EPI2:EPL2"/>
    <mergeCell ref="EPN2:EPP2"/>
    <mergeCell ref="ENU2:ENX2"/>
    <mergeCell ref="ENZ2:EOB2"/>
    <mergeCell ref="EOC2:EOF2"/>
    <mergeCell ref="EOH2:EOJ2"/>
    <mergeCell ref="EOK2:EON2"/>
    <mergeCell ref="EOP2:EOR2"/>
    <mergeCell ref="EMW2:EMZ2"/>
    <mergeCell ref="ENB2:END2"/>
    <mergeCell ref="ENE2:ENH2"/>
    <mergeCell ref="ENJ2:ENL2"/>
    <mergeCell ref="ENM2:ENP2"/>
    <mergeCell ref="ENR2:ENT2"/>
    <mergeCell ref="ELY2:EMB2"/>
    <mergeCell ref="EMD2:EMF2"/>
    <mergeCell ref="EMG2:EMJ2"/>
    <mergeCell ref="EML2:EMN2"/>
    <mergeCell ref="EMO2:EMR2"/>
    <mergeCell ref="EMT2:EMV2"/>
    <mergeCell ref="ELA2:ELD2"/>
    <mergeCell ref="ELF2:ELH2"/>
    <mergeCell ref="ELI2:ELL2"/>
    <mergeCell ref="ELN2:ELP2"/>
    <mergeCell ref="ELQ2:ELT2"/>
    <mergeCell ref="ELV2:ELX2"/>
    <mergeCell ref="EKC2:EKF2"/>
    <mergeCell ref="EKH2:EKJ2"/>
    <mergeCell ref="EKK2:EKN2"/>
    <mergeCell ref="EKP2:EKR2"/>
    <mergeCell ref="EKS2:EKV2"/>
    <mergeCell ref="EKX2:EKZ2"/>
    <mergeCell ref="EJE2:EJH2"/>
    <mergeCell ref="EJJ2:EJL2"/>
    <mergeCell ref="EJM2:EJP2"/>
    <mergeCell ref="EJR2:EJT2"/>
    <mergeCell ref="EJU2:EJX2"/>
    <mergeCell ref="EJZ2:EKB2"/>
    <mergeCell ref="EIG2:EIJ2"/>
    <mergeCell ref="EIL2:EIN2"/>
    <mergeCell ref="EIO2:EIR2"/>
    <mergeCell ref="EIT2:EIV2"/>
    <mergeCell ref="EIW2:EIZ2"/>
    <mergeCell ref="EJB2:EJD2"/>
    <mergeCell ref="EHI2:EHL2"/>
    <mergeCell ref="EHN2:EHP2"/>
    <mergeCell ref="EHQ2:EHT2"/>
    <mergeCell ref="EHV2:EHX2"/>
    <mergeCell ref="EHY2:EIB2"/>
    <mergeCell ref="EID2:EIF2"/>
    <mergeCell ref="EGK2:EGN2"/>
    <mergeCell ref="EGP2:EGR2"/>
    <mergeCell ref="EGS2:EGV2"/>
    <mergeCell ref="EGX2:EGZ2"/>
    <mergeCell ref="EHA2:EHD2"/>
    <mergeCell ref="EHF2:EHH2"/>
    <mergeCell ref="EFM2:EFP2"/>
    <mergeCell ref="EFR2:EFT2"/>
    <mergeCell ref="EFU2:EFX2"/>
    <mergeCell ref="EFZ2:EGB2"/>
    <mergeCell ref="EGC2:EGF2"/>
    <mergeCell ref="EGH2:EGJ2"/>
    <mergeCell ref="EEO2:EER2"/>
    <mergeCell ref="EET2:EEV2"/>
    <mergeCell ref="EEW2:EEZ2"/>
    <mergeCell ref="EFB2:EFD2"/>
    <mergeCell ref="EFE2:EFH2"/>
    <mergeCell ref="EFJ2:EFL2"/>
    <mergeCell ref="EDQ2:EDT2"/>
    <mergeCell ref="EDV2:EDX2"/>
    <mergeCell ref="EDY2:EEB2"/>
    <mergeCell ref="EED2:EEF2"/>
    <mergeCell ref="EEG2:EEJ2"/>
    <mergeCell ref="EEL2:EEN2"/>
    <mergeCell ref="ECS2:ECV2"/>
    <mergeCell ref="ECX2:ECZ2"/>
    <mergeCell ref="EDA2:EDD2"/>
    <mergeCell ref="EDF2:EDH2"/>
    <mergeCell ref="EDI2:EDL2"/>
    <mergeCell ref="EDN2:EDP2"/>
    <mergeCell ref="EBU2:EBX2"/>
    <mergeCell ref="EBZ2:ECB2"/>
    <mergeCell ref="ECC2:ECF2"/>
    <mergeCell ref="ECH2:ECJ2"/>
    <mergeCell ref="ECK2:ECN2"/>
    <mergeCell ref="ECP2:ECR2"/>
    <mergeCell ref="EAW2:EAZ2"/>
    <mergeCell ref="EBB2:EBD2"/>
    <mergeCell ref="EBE2:EBH2"/>
    <mergeCell ref="EBJ2:EBL2"/>
    <mergeCell ref="EBM2:EBP2"/>
    <mergeCell ref="EBR2:EBT2"/>
    <mergeCell ref="DZY2:EAB2"/>
    <mergeCell ref="EAD2:EAF2"/>
    <mergeCell ref="EAG2:EAJ2"/>
    <mergeCell ref="EAL2:EAN2"/>
    <mergeCell ref="EAO2:EAR2"/>
    <mergeCell ref="EAT2:EAV2"/>
    <mergeCell ref="DZA2:DZD2"/>
    <mergeCell ref="DZF2:DZH2"/>
    <mergeCell ref="DZI2:DZL2"/>
    <mergeCell ref="DZN2:DZP2"/>
    <mergeCell ref="DZQ2:DZT2"/>
    <mergeCell ref="DZV2:DZX2"/>
    <mergeCell ref="DYC2:DYF2"/>
    <mergeCell ref="DYH2:DYJ2"/>
    <mergeCell ref="DYK2:DYN2"/>
    <mergeCell ref="DYP2:DYR2"/>
    <mergeCell ref="DYS2:DYV2"/>
    <mergeCell ref="DYX2:DYZ2"/>
    <mergeCell ref="DXE2:DXH2"/>
    <mergeCell ref="DXJ2:DXL2"/>
    <mergeCell ref="DXM2:DXP2"/>
    <mergeCell ref="DXR2:DXT2"/>
    <mergeCell ref="DXU2:DXX2"/>
    <mergeCell ref="DXZ2:DYB2"/>
    <mergeCell ref="DWG2:DWJ2"/>
    <mergeCell ref="DWL2:DWN2"/>
    <mergeCell ref="DWO2:DWR2"/>
    <mergeCell ref="DWT2:DWV2"/>
    <mergeCell ref="DWW2:DWZ2"/>
    <mergeCell ref="DXB2:DXD2"/>
    <mergeCell ref="DVI2:DVL2"/>
    <mergeCell ref="DVN2:DVP2"/>
    <mergeCell ref="DVQ2:DVT2"/>
    <mergeCell ref="DVV2:DVX2"/>
    <mergeCell ref="DVY2:DWB2"/>
    <mergeCell ref="DWD2:DWF2"/>
    <mergeCell ref="DUK2:DUN2"/>
    <mergeCell ref="DUP2:DUR2"/>
    <mergeCell ref="DUS2:DUV2"/>
    <mergeCell ref="DUX2:DUZ2"/>
    <mergeCell ref="DVA2:DVD2"/>
    <mergeCell ref="DVF2:DVH2"/>
    <mergeCell ref="DTM2:DTP2"/>
    <mergeCell ref="DTR2:DTT2"/>
    <mergeCell ref="DTU2:DTX2"/>
    <mergeCell ref="DTZ2:DUB2"/>
    <mergeCell ref="DUC2:DUF2"/>
    <mergeCell ref="DUH2:DUJ2"/>
    <mergeCell ref="DSO2:DSR2"/>
    <mergeCell ref="DST2:DSV2"/>
    <mergeCell ref="DSW2:DSZ2"/>
    <mergeCell ref="DTB2:DTD2"/>
    <mergeCell ref="DTE2:DTH2"/>
    <mergeCell ref="DTJ2:DTL2"/>
    <mergeCell ref="DRQ2:DRT2"/>
    <mergeCell ref="DRV2:DRX2"/>
    <mergeCell ref="DRY2:DSB2"/>
    <mergeCell ref="DSD2:DSF2"/>
    <mergeCell ref="DSG2:DSJ2"/>
    <mergeCell ref="DSL2:DSN2"/>
    <mergeCell ref="DQS2:DQV2"/>
    <mergeCell ref="DQX2:DQZ2"/>
    <mergeCell ref="DRA2:DRD2"/>
    <mergeCell ref="DRF2:DRH2"/>
    <mergeCell ref="DRI2:DRL2"/>
    <mergeCell ref="DRN2:DRP2"/>
    <mergeCell ref="DPU2:DPX2"/>
    <mergeCell ref="DPZ2:DQB2"/>
    <mergeCell ref="DQC2:DQF2"/>
    <mergeCell ref="DQH2:DQJ2"/>
    <mergeCell ref="DQK2:DQN2"/>
    <mergeCell ref="DQP2:DQR2"/>
    <mergeCell ref="DOW2:DOZ2"/>
    <mergeCell ref="DPB2:DPD2"/>
    <mergeCell ref="DPE2:DPH2"/>
    <mergeCell ref="DPJ2:DPL2"/>
    <mergeCell ref="DPM2:DPP2"/>
    <mergeCell ref="DPR2:DPT2"/>
    <mergeCell ref="DNY2:DOB2"/>
    <mergeCell ref="DOD2:DOF2"/>
    <mergeCell ref="DOG2:DOJ2"/>
    <mergeCell ref="DOL2:DON2"/>
    <mergeCell ref="DOO2:DOR2"/>
    <mergeCell ref="DOT2:DOV2"/>
    <mergeCell ref="DNA2:DND2"/>
    <mergeCell ref="DNF2:DNH2"/>
    <mergeCell ref="DNI2:DNL2"/>
    <mergeCell ref="DNN2:DNP2"/>
    <mergeCell ref="DNQ2:DNT2"/>
    <mergeCell ref="DNV2:DNX2"/>
    <mergeCell ref="DMC2:DMF2"/>
    <mergeCell ref="DMH2:DMJ2"/>
    <mergeCell ref="DMK2:DMN2"/>
    <mergeCell ref="DMP2:DMR2"/>
    <mergeCell ref="DMS2:DMV2"/>
    <mergeCell ref="DMX2:DMZ2"/>
    <mergeCell ref="DLE2:DLH2"/>
    <mergeCell ref="DLJ2:DLL2"/>
    <mergeCell ref="DLM2:DLP2"/>
    <mergeCell ref="DLR2:DLT2"/>
    <mergeCell ref="DLU2:DLX2"/>
    <mergeCell ref="DLZ2:DMB2"/>
    <mergeCell ref="DKG2:DKJ2"/>
    <mergeCell ref="DKL2:DKN2"/>
    <mergeCell ref="DKO2:DKR2"/>
    <mergeCell ref="DKT2:DKV2"/>
    <mergeCell ref="DKW2:DKZ2"/>
    <mergeCell ref="DLB2:DLD2"/>
    <mergeCell ref="DJI2:DJL2"/>
    <mergeCell ref="DJN2:DJP2"/>
    <mergeCell ref="DJQ2:DJT2"/>
    <mergeCell ref="DJV2:DJX2"/>
    <mergeCell ref="DJY2:DKB2"/>
    <mergeCell ref="DKD2:DKF2"/>
    <mergeCell ref="DIK2:DIN2"/>
    <mergeCell ref="DIP2:DIR2"/>
    <mergeCell ref="DIS2:DIV2"/>
    <mergeCell ref="DIX2:DIZ2"/>
    <mergeCell ref="DJA2:DJD2"/>
    <mergeCell ref="DJF2:DJH2"/>
    <mergeCell ref="DHM2:DHP2"/>
    <mergeCell ref="DHR2:DHT2"/>
    <mergeCell ref="DHU2:DHX2"/>
    <mergeCell ref="DHZ2:DIB2"/>
    <mergeCell ref="DIC2:DIF2"/>
    <mergeCell ref="DIH2:DIJ2"/>
    <mergeCell ref="DGO2:DGR2"/>
    <mergeCell ref="DGT2:DGV2"/>
    <mergeCell ref="DGW2:DGZ2"/>
    <mergeCell ref="DHB2:DHD2"/>
    <mergeCell ref="DHE2:DHH2"/>
    <mergeCell ref="DHJ2:DHL2"/>
    <mergeCell ref="DFQ2:DFT2"/>
    <mergeCell ref="DFV2:DFX2"/>
    <mergeCell ref="DFY2:DGB2"/>
    <mergeCell ref="DGD2:DGF2"/>
    <mergeCell ref="DGG2:DGJ2"/>
    <mergeCell ref="DGL2:DGN2"/>
    <mergeCell ref="DES2:DEV2"/>
    <mergeCell ref="DEX2:DEZ2"/>
    <mergeCell ref="DFA2:DFD2"/>
    <mergeCell ref="DFF2:DFH2"/>
    <mergeCell ref="DFI2:DFL2"/>
    <mergeCell ref="DFN2:DFP2"/>
    <mergeCell ref="DDU2:DDX2"/>
    <mergeCell ref="DDZ2:DEB2"/>
    <mergeCell ref="DEC2:DEF2"/>
    <mergeCell ref="DEH2:DEJ2"/>
    <mergeCell ref="DEK2:DEN2"/>
    <mergeCell ref="DEP2:DER2"/>
    <mergeCell ref="DCW2:DCZ2"/>
    <mergeCell ref="DDB2:DDD2"/>
    <mergeCell ref="DDE2:DDH2"/>
    <mergeCell ref="DDJ2:DDL2"/>
    <mergeCell ref="DDM2:DDP2"/>
    <mergeCell ref="DDR2:DDT2"/>
    <mergeCell ref="DBY2:DCB2"/>
    <mergeCell ref="DCD2:DCF2"/>
    <mergeCell ref="DCG2:DCJ2"/>
    <mergeCell ref="DCL2:DCN2"/>
    <mergeCell ref="DCO2:DCR2"/>
    <mergeCell ref="DCT2:DCV2"/>
    <mergeCell ref="DBA2:DBD2"/>
    <mergeCell ref="DBF2:DBH2"/>
    <mergeCell ref="DBI2:DBL2"/>
    <mergeCell ref="DBN2:DBP2"/>
    <mergeCell ref="DBQ2:DBT2"/>
    <mergeCell ref="DBV2:DBX2"/>
    <mergeCell ref="DAC2:DAF2"/>
    <mergeCell ref="DAH2:DAJ2"/>
    <mergeCell ref="DAK2:DAN2"/>
    <mergeCell ref="DAP2:DAR2"/>
    <mergeCell ref="DAS2:DAV2"/>
    <mergeCell ref="DAX2:DAZ2"/>
    <mergeCell ref="CZE2:CZH2"/>
    <mergeCell ref="CZJ2:CZL2"/>
    <mergeCell ref="CZM2:CZP2"/>
    <mergeCell ref="CZR2:CZT2"/>
    <mergeCell ref="CZU2:CZX2"/>
    <mergeCell ref="CZZ2:DAB2"/>
    <mergeCell ref="CYG2:CYJ2"/>
    <mergeCell ref="CYL2:CYN2"/>
    <mergeCell ref="CYO2:CYR2"/>
    <mergeCell ref="CYT2:CYV2"/>
    <mergeCell ref="CYW2:CYZ2"/>
    <mergeCell ref="CZB2:CZD2"/>
    <mergeCell ref="CXI2:CXL2"/>
    <mergeCell ref="CXN2:CXP2"/>
    <mergeCell ref="CXQ2:CXT2"/>
    <mergeCell ref="CXV2:CXX2"/>
    <mergeCell ref="CXY2:CYB2"/>
    <mergeCell ref="CYD2:CYF2"/>
    <mergeCell ref="CWK2:CWN2"/>
    <mergeCell ref="CWP2:CWR2"/>
    <mergeCell ref="CWS2:CWV2"/>
    <mergeCell ref="CWX2:CWZ2"/>
    <mergeCell ref="CXA2:CXD2"/>
    <mergeCell ref="CXF2:CXH2"/>
    <mergeCell ref="CVM2:CVP2"/>
    <mergeCell ref="CVR2:CVT2"/>
    <mergeCell ref="CVU2:CVX2"/>
    <mergeCell ref="CVZ2:CWB2"/>
    <mergeCell ref="CWC2:CWF2"/>
    <mergeCell ref="CWH2:CWJ2"/>
    <mergeCell ref="CUO2:CUR2"/>
    <mergeCell ref="CUT2:CUV2"/>
    <mergeCell ref="CUW2:CUZ2"/>
    <mergeCell ref="CVB2:CVD2"/>
    <mergeCell ref="CVE2:CVH2"/>
    <mergeCell ref="CVJ2:CVL2"/>
    <mergeCell ref="CTQ2:CTT2"/>
    <mergeCell ref="CTV2:CTX2"/>
    <mergeCell ref="CTY2:CUB2"/>
    <mergeCell ref="CUD2:CUF2"/>
    <mergeCell ref="CUG2:CUJ2"/>
    <mergeCell ref="CUL2:CUN2"/>
    <mergeCell ref="CSS2:CSV2"/>
    <mergeCell ref="CSX2:CSZ2"/>
    <mergeCell ref="CTA2:CTD2"/>
    <mergeCell ref="CTF2:CTH2"/>
    <mergeCell ref="CTI2:CTL2"/>
    <mergeCell ref="CTN2:CTP2"/>
    <mergeCell ref="CRU2:CRX2"/>
    <mergeCell ref="CRZ2:CSB2"/>
    <mergeCell ref="CSC2:CSF2"/>
    <mergeCell ref="CSH2:CSJ2"/>
    <mergeCell ref="CSK2:CSN2"/>
    <mergeCell ref="CSP2:CSR2"/>
    <mergeCell ref="CQW2:CQZ2"/>
    <mergeCell ref="CRB2:CRD2"/>
    <mergeCell ref="CRE2:CRH2"/>
    <mergeCell ref="CRJ2:CRL2"/>
    <mergeCell ref="CRM2:CRP2"/>
    <mergeCell ref="CRR2:CRT2"/>
    <mergeCell ref="CPY2:CQB2"/>
    <mergeCell ref="CQD2:CQF2"/>
    <mergeCell ref="CQG2:CQJ2"/>
    <mergeCell ref="CQL2:CQN2"/>
    <mergeCell ref="CQO2:CQR2"/>
    <mergeCell ref="CQT2:CQV2"/>
    <mergeCell ref="CPA2:CPD2"/>
    <mergeCell ref="CPF2:CPH2"/>
    <mergeCell ref="CPI2:CPL2"/>
    <mergeCell ref="CPN2:CPP2"/>
    <mergeCell ref="CPQ2:CPT2"/>
    <mergeCell ref="CPV2:CPX2"/>
    <mergeCell ref="COC2:COF2"/>
    <mergeCell ref="COH2:COJ2"/>
    <mergeCell ref="COK2:CON2"/>
    <mergeCell ref="COP2:COR2"/>
    <mergeCell ref="COS2:COV2"/>
    <mergeCell ref="COX2:COZ2"/>
    <mergeCell ref="CNE2:CNH2"/>
    <mergeCell ref="CNJ2:CNL2"/>
    <mergeCell ref="CNM2:CNP2"/>
    <mergeCell ref="CNR2:CNT2"/>
    <mergeCell ref="CNU2:CNX2"/>
    <mergeCell ref="CNZ2:COB2"/>
    <mergeCell ref="CMG2:CMJ2"/>
    <mergeCell ref="CML2:CMN2"/>
    <mergeCell ref="CMO2:CMR2"/>
    <mergeCell ref="CMT2:CMV2"/>
    <mergeCell ref="CMW2:CMZ2"/>
    <mergeCell ref="CNB2:CND2"/>
    <mergeCell ref="CLI2:CLL2"/>
    <mergeCell ref="CLN2:CLP2"/>
    <mergeCell ref="CLQ2:CLT2"/>
    <mergeCell ref="CLV2:CLX2"/>
    <mergeCell ref="CLY2:CMB2"/>
    <mergeCell ref="CMD2:CMF2"/>
    <mergeCell ref="CKK2:CKN2"/>
    <mergeCell ref="CKP2:CKR2"/>
    <mergeCell ref="CKS2:CKV2"/>
    <mergeCell ref="CKX2:CKZ2"/>
    <mergeCell ref="CLA2:CLD2"/>
    <mergeCell ref="CLF2:CLH2"/>
    <mergeCell ref="CJM2:CJP2"/>
    <mergeCell ref="CJR2:CJT2"/>
    <mergeCell ref="CJU2:CJX2"/>
    <mergeCell ref="CJZ2:CKB2"/>
    <mergeCell ref="CKC2:CKF2"/>
    <mergeCell ref="CKH2:CKJ2"/>
    <mergeCell ref="CIO2:CIR2"/>
    <mergeCell ref="CIT2:CIV2"/>
    <mergeCell ref="CIW2:CIZ2"/>
    <mergeCell ref="CJB2:CJD2"/>
    <mergeCell ref="CJE2:CJH2"/>
    <mergeCell ref="CJJ2:CJL2"/>
    <mergeCell ref="CHQ2:CHT2"/>
    <mergeCell ref="CHV2:CHX2"/>
    <mergeCell ref="CHY2:CIB2"/>
    <mergeCell ref="CID2:CIF2"/>
    <mergeCell ref="CIG2:CIJ2"/>
    <mergeCell ref="CIL2:CIN2"/>
    <mergeCell ref="CGS2:CGV2"/>
    <mergeCell ref="CGX2:CGZ2"/>
    <mergeCell ref="CHA2:CHD2"/>
    <mergeCell ref="CHF2:CHH2"/>
    <mergeCell ref="CHI2:CHL2"/>
    <mergeCell ref="CHN2:CHP2"/>
    <mergeCell ref="CFU2:CFX2"/>
    <mergeCell ref="CFZ2:CGB2"/>
    <mergeCell ref="CGC2:CGF2"/>
    <mergeCell ref="CGH2:CGJ2"/>
    <mergeCell ref="CGK2:CGN2"/>
    <mergeCell ref="CGP2:CGR2"/>
    <mergeCell ref="CEW2:CEZ2"/>
    <mergeCell ref="CFB2:CFD2"/>
    <mergeCell ref="CFE2:CFH2"/>
    <mergeCell ref="CFJ2:CFL2"/>
    <mergeCell ref="CFM2:CFP2"/>
    <mergeCell ref="CFR2:CFT2"/>
    <mergeCell ref="CDY2:CEB2"/>
    <mergeCell ref="CED2:CEF2"/>
    <mergeCell ref="CEG2:CEJ2"/>
    <mergeCell ref="CEL2:CEN2"/>
    <mergeCell ref="CEO2:CER2"/>
    <mergeCell ref="CET2:CEV2"/>
    <mergeCell ref="CDA2:CDD2"/>
    <mergeCell ref="CDF2:CDH2"/>
    <mergeCell ref="CDI2:CDL2"/>
    <mergeCell ref="CDN2:CDP2"/>
    <mergeCell ref="CDQ2:CDT2"/>
    <mergeCell ref="CDV2:CDX2"/>
    <mergeCell ref="CCC2:CCF2"/>
    <mergeCell ref="CCH2:CCJ2"/>
    <mergeCell ref="CCK2:CCN2"/>
    <mergeCell ref="CCP2:CCR2"/>
    <mergeCell ref="CCS2:CCV2"/>
    <mergeCell ref="CCX2:CCZ2"/>
    <mergeCell ref="CBE2:CBH2"/>
    <mergeCell ref="CBJ2:CBL2"/>
    <mergeCell ref="CBM2:CBP2"/>
    <mergeCell ref="CBR2:CBT2"/>
    <mergeCell ref="CBU2:CBX2"/>
    <mergeCell ref="CBZ2:CCB2"/>
    <mergeCell ref="CAG2:CAJ2"/>
    <mergeCell ref="CAL2:CAN2"/>
    <mergeCell ref="CAO2:CAR2"/>
    <mergeCell ref="CAT2:CAV2"/>
    <mergeCell ref="CAW2:CAZ2"/>
    <mergeCell ref="CBB2:CBD2"/>
    <mergeCell ref="BZI2:BZL2"/>
    <mergeCell ref="BZN2:BZP2"/>
    <mergeCell ref="BZQ2:BZT2"/>
    <mergeCell ref="BZV2:BZX2"/>
    <mergeCell ref="BZY2:CAB2"/>
    <mergeCell ref="CAD2:CAF2"/>
    <mergeCell ref="BYK2:BYN2"/>
    <mergeCell ref="BYP2:BYR2"/>
    <mergeCell ref="BYS2:BYV2"/>
    <mergeCell ref="BYX2:BYZ2"/>
    <mergeCell ref="BZA2:BZD2"/>
    <mergeCell ref="BZF2:BZH2"/>
    <mergeCell ref="BXM2:BXP2"/>
    <mergeCell ref="BXR2:BXT2"/>
    <mergeCell ref="BXU2:BXX2"/>
    <mergeCell ref="BXZ2:BYB2"/>
    <mergeCell ref="BYC2:BYF2"/>
    <mergeCell ref="BYH2:BYJ2"/>
    <mergeCell ref="BWO2:BWR2"/>
    <mergeCell ref="BWT2:BWV2"/>
    <mergeCell ref="BWW2:BWZ2"/>
    <mergeCell ref="BXB2:BXD2"/>
    <mergeCell ref="BXE2:BXH2"/>
    <mergeCell ref="BXJ2:BXL2"/>
    <mergeCell ref="BVQ2:BVT2"/>
    <mergeCell ref="BVV2:BVX2"/>
    <mergeCell ref="BVY2:BWB2"/>
    <mergeCell ref="BWD2:BWF2"/>
    <mergeCell ref="BWG2:BWJ2"/>
    <mergeCell ref="BWL2:BWN2"/>
    <mergeCell ref="BUS2:BUV2"/>
    <mergeCell ref="BUX2:BUZ2"/>
    <mergeCell ref="BVA2:BVD2"/>
    <mergeCell ref="BVF2:BVH2"/>
    <mergeCell ref="BVI2:BVL2"/>
    <mergeCell ref="BVN2:BVP2"/>
    <mergeCell ref="BTU2:BTX2"/>
    <mergeCell ref="BTZ2:BUB2"/>
    <mergeCell ref="BUC2:BUF2"/>
    <mergeCell ref="BUH2:BUJ2"/>
    <mergeCell ref="BUK2:BUN2"/>
    <mergeCell ref="BUP2:BUR2"/>
    <mergeCell ref="BSW2:BSZ2"/>
    <mergeCell ref="BTB2:BTD2"/>
    <mergeCell ref="BTE2:BTH2"/>
    <mergeCell ref="BTJ2:BTL2"/>
    <mergeCell ref="BTM2:BTP2"/>
    <mergeCell ref="BTR2:BTT2"/>
    <mergeCell ref="BRY2:BSB2"/>
    <mergeCell ref="BSD2:BSF2"/>
    <mergeCell ref="BSG2:BSJ2"/>
    <mergeCell ref="BSL2:BSN2"/>
    <mergeCell ref="BSO2:BSR2"/>
    <mergeCell ref="BST2:BSV2"/>
    <mergeCell ref="BRA2:BRD2"/>
    <mergeCell ref="BRF2:BRH2"/>
    <mergeCell ref="BRI2:BRL2"/>
    <mergeCell ref="BRN2:BRP2"/>
    <mergeCell ref="BRQ2:BRT2"/>
    <mergeCell ref="BRV2:BRX2"/>
    <mergeCell ref="BQC2:BQF2"/>
    <mergeCell ref="BQH2:BQJ2"/>
    <mergeCell ref="BQK2:BQN2"/>
    <mergeCell ref="BQP2:BQR2"/>
    <mergeCell ref="BQS2:BQV2"/>
    <mergeCell ref="BQX2:BQZ2"/>
    <mergeCell ref="BPE2:BPH2"/>
    <mergeCell ref="BPJ2:BPL2"/>
    <mergeCell ref="BPM2:BPP2"/>
    <mergeCell ref="BPR2:BPT2"/>
    <mergeCell ref="BPU2:BPX2"/>
    <mergeCell ref="BPZ2:BQB2"/>
    <mergeCell ref="BOG2:BOJ2"/>
    <mergeCell ref="BOL2:BON2"/>
    <mergeCell ref="BOO2:BOR2"/>
    <mergeCell ref="BOT2:BOV2"/>
    <mergeCell ref="BOW2:BOZ2"/>
    <mergeCell ref="BPB2:BPD2"/>
    <mergeCell ref="BNI2:BNL2"/>
    <mergeCell ref="BNN2:BNP2"/>
    <mergeCell ref="BNQ2:BNT2"/>
    <mergeCell ref="BNV2:BNX2"/>
    <mergeCell ref="BNY2:BOB2"/>
    <mergeCell ref="BOD2:BOF2"/>
    <mergeCell ref="BMK2:BMN2"/>
    <mergeCell ref="BMP2:BMR2"/>
    <mergeCell ref="BMS2:BMV2"/>
    <mergeCell ref="BMX2:BMZ2"/>
    <mergeCell ref="BNA2:BND2"/>
    <mergeCell ref="BNF2:BNH2"/>
    <mergeCell ref="BLM2:BLP2"/>
    <mergeCell ref="BLR2:BLT2"/>
    <mergeCell ref="BLU2:BLX2"/>
    <mergeCell ref="BLZ2:BMB2"/>
    <mergeCell ref="BMC2:BMF2"/>
    <mergeCell ref="BMH2:BMJ2"/>
    <mergeCell ref="BKO2:BKR2"/>
    <mergeCell ref="BKT2:BKV2"/>
    <mergeCell ref="BKW2:BKZ2"/>
    <mergeCell ref="BLB2:BLD2"/>
    <mergeCell ref="BLE2:BLH2"/>
    <mergeCell ref="BLJ2:BLL2"/>
    <mergeCell ref="BJQ2:BJT2"/>
    <mergeCell ref="BJV2:BJX2"/>
    <mergeCell ref="BJY2:BKB2"/>
    <mergeCell ref="BKD2:BKF2"/>
    <mergeCell ref="BKG2:BKJ2"/>
    <mergeCell ref="BKL2:BKN2"/>
    <mergeCell ref="BIS2:BIV2"/>
    <mergeCell ref="BIX2:BIZ2"/>
    <mergeCell ref="BJA2:BJD2"/>
    <mergeCell ref="BJF2:BJH2"/>
    <mergeCell ref="BJI2:BJL2"/>
    <mergeCell ref="BJN2:BJP2"/>
    <mergeCell ref="BHU2:BHX2"/>
    <mergeCell ref="BHZ2:BIB2"/>
    <mergeCell ref="BIC2:BIF2"/>
    <mergeCell ref="BIH2:BIJ2"/>
    <mergeCell ref="BIK2:BIN2"/>
    <mergeCell ref="BIP2:BIR2"/>
    <mergeCell ref="BGW2:BGZ2"/>
    <mergeCell ref="BHB2:BHD2"/>
    <mergeCell ref="BHE2:BHH2"/>
    <mergeCell ref="BHJ2:BHL2"/>
    <mergeCell ref="BHM2:BHP2"/>
    <mergeCell ref="BHR2:BHT2"/>
    <mergeCell ref="BFY2:BGB2"/>
    <mergeCell ref="BGD2:BGF2"/>
    <mergeCell ref="BGG2:BGJ2"/>
    <mergeCell ref="BGL2:BGN2"/>
    <mergeCell ref="BGO2:BGR2"/>
    <mergeCell ref="BGT2:BGV2"/>
    <mergeCell ref="BFA2:BFD2"/>
    <mergeCell ref="BFF2:BFH2"/>
    <mergeCell ref="BFI2:BFL2"/>
    <mergeCell ref="BFN2:BFP2"/>
    <mergeCell ref="BFQ2:BFT2"/>
    <mergeCell ref="BFV2:BFX2"/>
    <mergeCell ref="BEC2:BEF2"/>
    <mergeCell ref="BEH2:BEJ2"/>
    <mergeCell ref="BEK2:BEN2"/>
    <mergeCell ref="BEP2:BER2"/>
    <mergeCell ref="BES2:BEV2"/>
    <mergeCell ref="BEX2:BEZ2"/>
    <mergeCell ref="BDE2:BDH2"/>
    <mergeCell ref="BDJ2:BDL2"/>
    <mergeCell ref="BDM2:BDP2"/>
    <mergeCell ref="BDR2:BDT2"/>
    <mergeCell ref="BDU2:BDX2"/>
    <mergeCell ref="BDZ2:BEB2"/>
    <mergeCell ref="BCG2:BCJ2"/>
    <mergeCell ref="BCL2:BCN2"/>
    <mergeCell ref="BCO2:BCR2"/>
    <mergeCell ref="BCT2:BCV2"/>
    <mergeCell ref="BCW2:BCZ2"/>
    <mergeCell ref="BDB2:BDD2"/>
    <mergeCell ref="BBI2:BBL2"/>
    <mergeCell ref="BBN2:BBP2"/>
    <mergeCell ref="BBQ2:BBT2"/>
    <mergeCell ref="BBV2:BBX2"/>
    <mergeCell ref="BBY2:BCB2"/>
    <mergeCell ref="BCD2:BCF2"/>
    <mergeCell ref="BAK2:BAN2"/>
    <mergeCell ref="BAP2:BAR2"/>
    <mergeCell ref="BAS2:BAV2"/>
    <mergeCell ref="BAX2:BAZ2"/>
    <mergeCell ref="BBA2:BBD2"/>
    <mergeCell ref="BBF2:BBH2"/>
    <mergeCell ref="AZM2:AZP2"/>
    <mergeCell ref="AZR2:AZT2"/>
    <mergeCell ref="AZU2:AZX2"/>
    <mergeCell ref="AZZ2:BAB2"/>
    <mergeCell ref="BAC2:BAF2"/>
    <mergeCell ref="BAH2:BAJ2"/>
    <mergeCell ref="AYO2:AYR2"/>
    <mergeCell ref="AYT2:AYV2"/>
    <mergeCell ref="AYW2:AYZ2"/>
    <mergeCell ref="AZB2:AZD2"/>
    <mergeCell ref="AZE2:AZH2"/>
    <mergeCell ref="AZJ2:AZL2"/>
    <mergeCell ref="AXQ2:AXT2"/>
    <mergeCell ref="AXV2:AXX2"/>
    <mergeCell ref="AXY2:AYB2"/>
    <mergeCell ref="AYD2:AYF2"/>
    <mergeCell ref="AYG2:AYJ2"/>
    <mergeCell ref="AYL2:AYN2"/>
    <mergeCell ref="AWS2:AWV2"/>
    <mergeCell ref="AWX2:AWZ2"/>
    <mergeCell ref="AXA2:AXD2"/>
    <mergeCell ref="AXF2:AXH2"/>
    <mergeCell ref="AXI2:AXL2"/>
    <mergeCell ref="AXN2:AXP2"/>
    <mergeCell ref="AVU2:AVX2"/>
    <mergeCell ref="AVZ2:AWB2"/>
    <mergeCell ref="AWC2:AWF2"/>
    <mergeCell ref="AWH2:AWJ2"/>
    <mergeCell ref="AWK2:AWN2"/>
    <mergeCell ref="AWP2:AWR2"/>
    <mergeCell ref="AUW2:AUZ2"/>
    <mergeCell ref="AVB2:AVD2"/>
    <mergeCell ref="AVE2:AVH2"/>
    <mergeCell ref="AVJ2:AVL2"/>
    <mergeCell ref="AVM2:AVP2"/>
    <mergeCell ref="AVR2:AVT2"/>
    <mergeCell ref="ATY2:AUB2"/>
    <mergeCell ref="AUD2:AUF2"/>
    <mergeCell ref="AUG2:AUJ2"/>
    <mergeCell ref="AUL2:AUN2"/>
    <mergeCell ref="AUO2:AUR2"/>
    <mergeCell ref="AUT2:AUV2"/>
    <mergeCell ref="ATA2:ATD2"/>
    <mergeCell ref="ATF2:ATH2"/>
    <mergeCell ref="ATI2:ATL2"/>
    <mergeCell ref="ATN2:ATP2"/>
    <mergeCell ref="ATQ2:ATT2"/>
    <mergeCell ref="ATV2:ATX2"/>
    <mergeCell ref="ASC2:ASF2"/>
    <mergeCell ref="ASH2:ASJ2"/>
    <mergeCell ref="ASK2:ASN2"/>
    <mergeCell ref="ASP2:ASR2"/>
    <mergeCell ref="ASS2:ASV2"/>
    <mergeCell ref="ASX2:ASZ2"/>
    <mergeCell ref="ARE2:ARH2"/>
    <mergeCell ref="ARJ2:ARL2"/>
    <mergeCell ref="ARM2:ARP2"/>
    <mergeCell ref="ARR2:ART2"/>
    <mergeCell ref="ARU2:ARX2"/>
    <mergeCell ref="ARZ2:ASB2"/>
    <mergeCell ref="AQG2:AQJ2"/>
    <mergeCell ref="AQL2:AQN2"/>
    <mergeCell ref="AQO2:AQR2"/>
    <mergeCell ref="AQT2:AQV2"/>
    <mergeCell ref="AQW2:AQZ2"/>
    <mergeCell ref="ARB2:ARD2"/>
    <mergeCell ref="API2:APL2"/>
    <mergeCell ref="APN2:APP2"/>
    <mergeCell ref="APQ2:APT2"/>
    <mergeCell ref="APV2:APX2"/>
    <mergeCell ref="APY2:AQB2"/>
    <mergeCell ref="AQD2:AQF2"/>
    <mergeCell ref="AOK2:AON2"/>
    <mergeCell ref="AOP2:AOR2"/>
    <mergeCell ref="AOS2:AOV2"/>
    <mergeCell ref="AOX2:AOZ2"/>
    <mergeCell ref="APA2:APD2"/>
    <mergeCell ref="APF2:APH2"/>
    <mergeCell ref="ANM2:ANP2"/>
    <mergeCell ref="ANR2:ANT2"/>
    <mergeCell ref="ANU2:ANX2"/>
    <mergeCell ref="ANZ2:AOB2"/>
    <mergeCell ref="AOC2:AOF2"/>
    <mergeCell ref="AOH2:AOJ2"/>
    <mergeCell ref="AMO2:AMR2"/>
    <mergeCell ref="AMT2:AMV2"/>
    <mergeCell ref="AMW2:AMZ2"/>
    <mergeCell ref="ANB2:AND2"/>
    <mergeCell ref="ANE2:ANH2"/>
    <mergeCell ref="ANJ2:ANL2"/>
    <mergeCell ref="ALQ2:ALT2"/>
    <mergeCell ref="ALV2:ALX2"/>
    <mergeCell ref="ALY2:AMB2"/>
    <mergeCell ref="AMD2:AMF2"/>
    <mergeCell ref="AMG2:AMJ2"/>
    <mergeCell ref="AML2:AMN2"/>
    <mergeCell ref="AKS2:AKV2"/>
    <mergeCell ref="AKX2:AKZ2"/>
    <mergeCell ref="ALA2:ALD2"/>
    <mergeCell ref="ALF2:ALH2"/>
    <mergeCell ref="ALI2:ALL2"/>
    <mergeCell ref="ALN2:ALP2"/>
    <mergeCell ref="AJU2:AJX2"/>
    <mergeCell ref="AJZ2:AKB2"/>
    <mergeCell ref="AKC2:AKF2"/>
    <mergeCell ref="AKH2:AKJ2"/>
    <mergeCell ref="AKK2:AKN2"/>
    <mergeCell ref="AKP2:AKR2"/>
    <mergeCell ref="AIW2:AIZ2"/>
    <mergeCell ref="AJB2:AJD2"/>
    <mergeCell ref="AJE2:AJH2"/>
    <mergeCell ref="AJJ2:AJL2"/>
    <mergeCell ref="AJM2:AJP2"/>
    <mergeCell ref="AJR2:AJT2"/>
    <mergeCell ref="AHY2:AIB2"/>
    <mergeCell ref="AID2:AIF2"/>
    <mergeCell ref="AIG2:AIJ2"/>
    <mergeCell ref="AIL2:AIN2"/>
    <mergeCell ref="AIO2:AIR2"/>
    <mergeCell ref="AIT2:AIV2"/>
    <mergeCell ref="AHA2:AHD2"/>
    <mergeCell ref="AHF2:AHH2"/>
    <mergeCell ref="AHI2:AHL2"/>
    <mergeCell ref="AHN2:AHP2"/>
    <mergeCell ref="AHQ2:AHT2"/>
    <mergeCell ref="AHV2:AHX2"/>
    <mergeCell ref="AGC2:AGF2"/>
    <mergeCell ref="AGH2:AGJ2"/>
    <mergeCell ref="AGK2:AGN2"/>
    <mergeCell ref="AGP2:AGR2"/>
    <mergeCell ref="AGS2:AGV2"/>
    <mergeCell ref="AGX2:AGZ2"/>
    <mergeCell ref="AFE2:AFH2"/>
    <mergeCell ref="AFJ2:AFL2"/>
    <mergeCell ref="AFM2:AFP2"/>
    <mergeCell ref="AFR2:AFT2"/>
    <mergeCell ref="AFU2:AFX2"/>
    <mergeCell ref="AFZ2:AGB2"/>
    <mergeCell ref="AEG2:AEJ2"/>
    <mergeCell ref="AEL2:AEN2"/>
    <mergeCell ref="AEO2:AER2"/>
    <mergeCell ref="AET2:AEV2"/>
    <mergeCell ref="AEW2:AEZ2"/>
    <mergeCell ref="AFB2:AFD2"/>
    <mergeCell ref="ADI2:ADL2"/>
    <mergeCell ref="ADN2:ADP2"/>
    <mergeCell ref="ADQ2:ADT2"/>
    <mergeCell ref="ADV2:ADX2"/>
    <mergeCell ref="ADY2:AEB2"/>
    <mergeCell ref="AED2:AEF2"/>
    <mergeCell ref="ACK2:ACN2"/>
    <mergeCell ref="ACP2:ACR2"/>
    <mergeCell ref="ACS2:ACV2"/>
    <mergeCell ref="ACX2:ACZ2"/>
    <mergeCell ref="ADA2:ADD2"/>
    <mergeCell ref="ADF2:ADH2"/>
    <mergeCell ref="ABM2:ABP2"/>
    <mergeCell ref="ABR2:ABT2"/>
    <mergeCell ref="ABU2:ABX2"/>
    <mergeCell ref="ABZ2:ACB2"/>
    <mergeCell ref="ACC2:ACF2"/>
    <mergeCell ref="ACH2:ACJ2"/>
    <mergeCell ref="AAO2:AAR2"/>
    <mergeCell ref="AAT2:AAV2"/>
    <mergeCell ref="AAW2:AAZ2"/>
    <mergeCell ref="ABB2:ABD2"/>
    <mergeCell ref="ABE2:ABH2"/>
    <mergeCell ref="ABJ2:ABL2"/>
    <mergeCell ref="ZQ2:ZT2"/>
    <mergeCell ref="ZV2:ZX2"/>
    <mergeCell ref="ZY2:AAB2"/>
    <mergeCell ref="AAD2:AAF2"/>
    <mergeCell ref="AAG2:AAJ2"/>
    <mergeCell ref="AAL2:AAN2"/>
    <mergeCell ref="YS2:YV2"/>
    <mergeCell ref="YX2:YZ2"/>
    <mergeCell ref="ZA2:ZD2"/>
    <mergeCell ref="ZF2:ZH2"/>
    <mergeCell ref="ZI2:ZL2"/>
    <mergeCell ref="ZN2:ZP2"/>
    <mergeCell ref="XU2:XX2"/>
    <mergeCell ref="XZ2:YB2"/>
    <mergeCell ref="YC2:YF2"/>
    <mergeCell ref="YH2:YJ2"/>
    <mergeCell ref="YK2:YN2"/>
    <mergeCell ref="YP2:YR2"/>
    <mergeCell ref="WW2:WZ2"/>
    <mergeCell ref="XB2:XD2"/>
    <mergeCell ref="XE2:XH2"/>
    <mergeCell ref="XJ2:XL2"/>
    <mergeCell ref="XM2:XP2"/>
    <mergeCell ref="XR2:XT2"/>
    <mergeCell ref="VY2:WB2"/>
    <mergeCell ref="WD2:WF2"/>
    <mergeCell ref="WG2:WJ2"/>
    <mergeCell ref="WL2:WN2"/>
    <mergeCell ref="WO2:WR2"/>
    <mergeCell ref="WT2:WV2"/>
    <mergeCell ref="VA2:VD2"/>
    <mergeCell ref="VF2:VH2"/>
    <mergeCell ref="VI2:VL2"/>
    <mergeCell ref="VN2:VP2"/>
    <mergeCell ref="VQ2:VT2"/>
    <mergeCell ref="VV2:VX2"/>
    <mergeCell ref="UC2:UF2"/>
    <mergeCell ref="UH2:UJ2"/>
    <mergeCell ref="UK2:UN2"/>
    <mergeCell ref="UP2:UR2"/>
    <mergeCell ref="US2:UV2"/>
    <mergeCell ref="UX2:UZ2"/>
    <mergeCell ref="TE2:TH2"/>
    <mergeCell ref="TJ2:TL2"/>
    <mergeCell ref="TM2:TP2"/>
    <mergeCell ref="TR2:TT2"/>
    <mergeCell ref="TU2:TX2"/>
    <mergeCell ref="TZ2:UB2"/>
    <mergeCell ref="SG2:SJ2"/>
    <mergeCell ref="SL2:SN2"/>
    <mergeCell ref="SO2:SR2"/>
    <mergeCell ref="ST2:SV2"/>
    <mergeCell ref="SW2:SZ2"/>
    <mergeCell ref="TB2:TD2"/>
    <mergeCell ref="RI2:RL2"/>
    <mergeCell ref="RN2:RP2"/>
    <mergeCell ref="RQ2:RT2"/>
    <mergeCell ref="RV2:RX2"/>
    <mergeCell ref="RY2:SB2"/>
    <mergeCell ref="SD2:SF2"/>
    <mergeCell ref="QK2:QN2"/>
    <mergeCell ref="QP2:QR2"/>
    <mergeCell ref="QS2:QV2"/>
    <mergeCell ref="QX2:QZ2"/>
    <mergeCell ref="RA2:RD2"/>
    <mergeCell ref="RF2:RH2"/>
    <mergeCell ref="PM2:PP2"/>
    <mergeCell ref="PR2:PT2"/>
    <mergeCell ref="PU2:PX2"/>
    <mergeCell ref="PZ2:QB2"/>
    <mergeCell ref="QC2:QF2"/>
    <mergeCell ref="QH2:QJ2"/>
    <mergeCell ref="OO2:OR2"/>
    <mergeCell ref="OT2:OV2"/>
    <mergeCell ref="OW2:OZ2"/>
    <mergeCell ref="PB2:PD2"/>
    <mergeCell ref="PE2:PH2"/>
    <mergeCell ref="PJ2:PL2"/>
    <mergeCell ref="NQ2:NT2"/>
    <mergeCell ref="NV2:NX2"/>
    <mergeCell ref="NY2:OB2"/>
    <mergeCell ref="OD2:OF2"/>
    <mergeCell ref="OG2:OJ2"/>
    <mergeCell ref="OL2:ON2"/>
    <mergeCell ref="MS2:MV2"/>
    <mergeCell ref="MX2:MZ2"/>
    <mergeCell ref="NA2:ND2"/>
    <mergeCell ref="NF2:NH2"/>
    <mergeCell ref="NI2:NL2"/>
    <mergeCell ref="NN2:NP2"/>
    <mergeCell ref="LU2:LX2"/>
    <mergeCell ref="LZ2:MB2"/>
    <mergeCell ref="MC2:MF2"/>
    <mergeCell ref="MH2:MJ2"/>
    <mergeCell ref="MK2:MN2"/>
    <mergeCell ref="MP2:MR2"/>
    <mergeCell ref="KW2:KZ2"/>
    <mergeCell ref="LB2:LD2"/>
    <mergeCell ref="LE2:LH2"/>
    <mergeCell ref="LJ2:LL2"/>
    <mergeCell ref="LM2:LP2"/>
    <mergeCell ref="LR2:LT2"/>
    <mergeCell ref="JY2:KB2"/>
    <mergeCell ref="KD2:KF2"/>
    <mergeCell ref="KG2:KJ2"/>
    <mergeCell ref="KL2:KN2"/>
    <mergeCell ref="KO2:KR2"/>
    <mergeCell ref="KT2:KV2"/>
    <mergeCell ref="JA2:JD2"/>
    <mergeCell ref="JF2:JH2"/>
    <mergeCell ref="JI2:JL2"/>
    <mergeCell ref="JN2:JP2"/>
    <mergeCell ref="JQ2:JT2"/>
    <mergeCell ref="JV2:JX2"/>
    <mergeCell ref="IC2:IF2"/>
    <mergeCell ref="IH2:IJ2"/>
    <mergeCell ref="IK2:IN2"/>
    <mergeCell ref="IP2:IR2"/>
    <mergeCell ref="IS2:IV2"/>
    <mergeCell ref="IX2:IZ2"/>
    <mergeCell ref="HE2:HH2"/>
    <mergeCell ref="HJ2:HL2"/>
    <mergeCell ref="HM2:HP2"/>
    <mergeCell ref="HR2:HT2"/>
    <mergeCell ref="HU2:HX2"/>
    <mergeCell ref="HZ2:IB2"/>
    <mergeCell ref="GG2:GJ2"/>
    <mergeCell ref="GL2:GN2"/>
    <mergeCell ref="GO2:GR2"/>
    <mergeCell ref="GT2:GV2"/>
    <mergeCell ref="GW2:GZ2"/>
    <mergeCell ref="HB2:HD2"/>
    <mergeCell ref="FI2:FL2"/>
    <mergeCell ref="FN2:FP2"/>
    <mergeCell ref="FQ2:FT2"/>
    <mergeCell ref="FV2:FX2"/>
    <mergeCell ref="FY2:GB2"/>
    <mergeCell ref="GD2:GF2"/>
    <mergeCell ref="EK2:EN2"/>
    <mergeCell ref="EP2:ER2"/>
    <mergeCell ref="ES2:EV2"/>
    <mergeCell ref="EX2:EZ2"/>
    <mergeCell ref="FA2:FD2"/>
    <mergeCell ref="FF2:FH2"/>
    <mergeCell ref="DM2:DP2"/>
    <mergeCell ref="DR2:DT2"/>
    <mergeCell ref="DU2:DX2"/>
    <mergeCell ref="DZ2:EB2"/>
    <mergeCell ref="EC2:EF2"/>
    <mergeCell ref="EH2:EJ2"/>
    <mergeCell ref="CO2:CR2"/>
    <mergeCell ref="CT2:CV2"/>
    <mergeCell ref="CW2:CZ2"/>
    <mergeCell ref="DB2:DD2"/>
    <mergeCell ref="DE2:DH2"/>
    <mergeCell ref="DJ2:DL2"/>
    <mergeCell ref="BQ2:BT2"/>
    <mergeCell ref="BV2:BX2"/>
    <mergeCell ref="BY2:CB2"/>
    <mergeCell ref="CD2:CF2"/>
    <mergeCell ref="CG2:CJ2"/>
    <mergeCell ref="CL2:CN2"/>
    <mergeCell ref="AS2:AV2"/>
    <mergeCell ref="AX2:AZ2"/>
    <mergeCell ref="BA2:BD2"/>
    <mergeCell ref="BF2:BH2"/>
    <mergeCell ref="BI2:BL2"/>
    <mergeCell ref="BN2:BP2"/>
    <mergeCell ref="U2:X2"/>
    <mergeCell ref="Z2:AB2"/>
    <mergeCell ref="AC2:AF2"/>
    <mergeCell ref="AH2:AJ2"/>
    <mergeCell ref="AK2:AN2"/>
    <mergeCell ref="AP2:AR2"/>
    <mergeCell ref="B1:H1"/>
    <mergeCell ref="B2:D2"/>
    <mergeCell ref="E2:H2"/>
    <mergeCell ref="J2:L2"/>
    <mergeCell ref="M2:P2"/>
    <mergeCell ref="R2:T2"/>
  </mergeCell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73B3-4B4C-486E-B36A-92DDBC61BFB6}">
  <dimension ref="A1:I19"/>
  <sheetViews>
    <sheetView workbookViewId="0">
      <selection activeCell="J18" sqref="J18"/>
    </sheetView>
  </sheetViews>
  <sheetFormatPr defaultRowHeight="14.4" x14ac:dyDescent="0.3"/>
  <cols>
    <col min="1" max="1" width="17" bestFit="1" customWidth="1"/>
    <col min="2" max="2" width="8.109375" bestFit="1" customWidth="1"/>
    <col min="3" max="3" width="17.5546875" bestFit="1" customWidth="1"/>
    <col min="4" max="4" width="7.21875" bestFit="1" customWidth="1"/>
    <col min="5" max="5" width="5" bestFit="1" customWidth="1"/>
    <col min="6" max="6" width="5.109375" bestFit="1" customWidth="1"/>
    <col min="7" max="7" width="21.5546875" customWidth="1"/>
    <col min="8" max="8" width="8.88671875" customWidth="1"/>
  </cols>
  <sheetData>
    <row r="1" spans="1:9" ht="18.600000000000001" thickBot="1" x14ac:dyDescent="0.35">
      <c r="A1" s="67" t="s">
        <v>98</v>
      </c>
      <c r="B1" s="63" t="s">
        <v>72</v>
      </c>
      <c r="C1" s="63"/>
      <c r="D1" s="63"/>
      <c r="E1" s="63"/>
      <c r="F1" s="63"/>
      <c r="G1" s="63"/>
    </row>
    <row r="2" spans="1:9" ht="15" thickBot="1" x14ac:dyDescent="0.35">
      <c r="A2" s="45"/>
      <c r="B2" s="45"/>
      <c r="C2" s="45"/>
      <c r="D2" s="45"/>
      <c r="E2" s="45"/>
      <c r="F2" s="45"/>
      <c r="G2" s="45"/>
    </row>
    <row r="3" spans="1:9" ht="15" thickBot="1" x14ac:dyDescent="0.35">
      <c r="A3" s="46" t="s">
        <v>54</v>
      </c>
      <c r="B3" s="46" t="s">
        <v>73</v>
      </c>
      <c r="C3" s="46" t="s">
        <v>74</v>
      </c>
      <c r="D3" s="46" t="s">
        <v>12</v>
      </c>
      <c r="E3" s="46" t="s">
        <v>75</v>
      </c>
      <c r="F3" s="46" t="s">
        <v>76</v>
      </c>
      <c r="G3" s="46" t="s">
        <v>77</v>
      </c>
    </row>
    <row r="4" spans="1:9" x14ac:dyDescent="0.3">
      <c r="A4" s="19" t="s">
        <v>35</v>
      </c>
      <c r="B4" s="20">
        <f>Equity_Betas!B5</f>
        <v>2.7915455117456096</v>
      </c>
      <c r="C4" s="21">
        <f>Leverage!C5</f>
        <v>0.71</v>
      </c>
      <c r="D4" s="31" t="str">
        <f>Leverage!D5</f>
        <v>B</v>
      </c>
      <c r="E4" s="20">
        <f>VLOOKUP(D4, Assumptions!$A$14:$B$20, 2, FALSE())</f>
        <v>0.41</v>
      </c>
      <c r="F4" s="47">
        <f t="shared" ref="F4:F11" si="0">(1-C4)*B4 + C4*E4</f>
        <v>1.1006481984062269</v>
      </c>
      <c r="G4" s="19" t="s">
        <v>60</v>
      </c>
    </row>
    <row r="5" spans="1:9" x14ac:dyDescent="0.3">
      <c r="A5" s="22" t="s">
        <v>34</v>
      </c>
      <c r="B5" s="23">
        <f>Equity_Betas!B6</f>
        <v>3.1436580169857851</v>
      </c>
      <c r="C5" s="24">
        <f>Leverage!C6</f>
        <v>0.53</v>
      </c>
      <c r="D5" s="33" t="str">
        <f>Leverage!D6</f>
        <v>B</v>
      </c>
      <c r="E5" s="20">
        <f>VLOOKUP(D5, Assumptions!$A$14:$B$20, 2, FALSE())</f>
        <v>0.41</v>
      </c>
      <c r="F5" s="48">
        <f t="shared" si="0"/>
        <v>1.6948192679833189</v>
      </c>
      <c r="G5" s="22" t="s">
        <v>60</v>
      </c>
    </row>
    <row r="6" spans="1:9" x14ac:dyDescent="0.3">
      <c r="A6" s="22" t="s">
        <v>37</v>
      </c>
      <c r="B6" s="23">
        <f>Equity_Betas!B7</f>
        <v>1.3628825877194999</v>
      </c>
      <c r="C6" s="24">
        <f>Leverage!C7</f>
        <v>0.22</v>
      </c>
      <c r="D6" s="33" t="str">
        <f>Leverage!D7</f>
        <v>BB</v>
      </c>
      <c r="E6" s="20">
        <f>VLOOKUP(D6, Assumptions!$A$14:$B$20, 2, FALSE())</f>
        <v>0.35</v>
      </c>
      <c r="F6" s="48">
        <f t="shared" si="0"/>
        <v>1.1400484184212099</v>
      </c>
      <c r="G6" s="22" t="s">
        <v>60</v>
      </c>
    </row>
    <row r="7" spans="1:9" x14ac:dyDescent="0.3">
      <c r="A7" s="22" t="s">
        <v>38</v>
      </c>
      <c r="B7" s="23">
        <f>Equity_Betas!B8</f>
        <v>2.238502777343653</v>
      </c>
      <c r="C7" s="24">
        <f>Leverage!C8</f>
        <v>0.55000000000000004</v>
      </c>
      <c r="D7" s="33" t="str">
        <f>Leverage!D8</f>
        <v>B</v>
      </c>
      <c r="E7" s="20">
        <f>VLOOKUP(D7, Assumptions!$A$14:$B$20, 2, FALSE())</f>
        <v>0.41</v>
      </c>
      <c r="F7" s="48">
        <f t="shared" si="0"/>
        <v>1.2328262498046438</v>
      </c>
      <c r="G7" s="22" t="s">
        <v>60</v>
      </c>
    </row>
    <row r="8" spans="1:9" x14ac:dyDescent="0.3">
      <c r="A8" s="25" t="s">
        <v>33</v>
      </c>
      <c r="B8" s="23">
        <f>Equity_Betas!B9</f>
        <v>2.4257070716660705</v>
      </c>
      <c r="C8" s="24">
        <f>Leverage!C9</f>
        <v>0.47</v>
      </c>
      <c r="D8" s="33" t="str">
        <f>Leverage!D9</f>
        <v>BB</v>
      </c>
      <c r="E8" s="20">
        <f>VLOOKUP(D8, Assumptions!$A$14:$B$20, 2, FALSE())</f>
        <v>0.35</v>
      </c>
      <c r="F8" s="48">
        <f t="shared" si="0"/>
        <v>1.4501247479830175</v>
      </c>
      <c r="G8" s="22" t="s">
        <v>60</v>
      </c>
    </row>
    <row r="9" spans="1:9" x14ac:dyDescent="0.3">
      <c r="A9" s="25" t="s">
        <v>36</v>
      </c>
      <c r="B9" s="23">
        <f>Equity_Betas!B10</f>
        <v>2.3769287261312892</v>
      </c>
      <c r="C9" s="24">
        <f>Leverage!C10</f>
        <v>0.4</v>
      </c>
      <c r="D9" s="33" t="str">
        <f>Leverage!D10</f>
        <v>BB</v>
      </c>
      <c r="E9" s="20">
        <f>VLOOKUP(D9, Assumptions!$A$14:$B$20, 2, FALSE())</f>
        <v>0.35</v>
      </c>
      <c r="F9" s="48">
        <f t="shared" si="0"/>
        <v>1.5661572356787734</v>
      </c>
      <c r="G9" s="22" t="s">
        <v>60</v>
      </c>
    </row>
    <row r="10" spans="1:9" x14ac:dyDescent="0.3">
      <c r="A10" s="25" t="s">
        <v>32</v>
      </c>
      <c r="B10" s="23">
        <f>Equity_Betas!B11</f>
        <v>1.3474388692203747</v>
      </c>
      <c r="C10" s="24">
        <f>Leverage!C11</f>
        <v>0.16</v>
      </c>
      <c r="D10" s="33" t="str">
        <f>Leverage!D11</f>
        <v>BBB</v>
      </c>
      <c r="E10" s="20">
        <f>VLOOKUP(D10, Assumptions!$A$14:$B$20, 2, FALSE())</f>
        <v>0.27</v>
      </c>
      <c r="F10" s="48">
        <f t="shared" si="0"/>
        <v>1.1750486501451145</v>
      </c>
      <c r="G10" s="22" t="s">
        <v>60</v>
      </c>
    </row>
    <row r="11" spans="1:9" x14ac:dyDescent="0.3">
      <c r="A11" s="25" t="s">
        <v>39</v>
      </c>
      <c r="B11" s="49">
        <f>Equity_Betas!B12</f>
        <v>1.6613447015628491</v>
      </c>
      <c r="C11" s="24">
        <f>Leverage!C12</f>
        <v>7.0000000000000007E-2</v>
      </c>
      <c r="D11" s="33" t="str">
        <f>Leverage!D12</f>
        <v>A</v>
      </c>
      <c r="E11" s="20">
        <f>VLOOKUP(D11, Assumptions!$A$14:$B$20, 2, FALSE())</f>
        <v>0.13</v>
      </c>
      <c r="F11" s="48">
        <f t="shared" si="0"/>
        <v>1.5541505724534497</v>
      </c>
      <c r="G11" s="22" t="s">
        <v>60</v>
      </c>
    </row>
    <row r="12" spans="1:9" ht="15" thickBot="1" x14ac:dyDescent="0.35">
      <c r="A12" s="2"/>
      <c r="B12" s="2"/>
      <c r="C12" s="2"/>
      <c r="D12" s="2"/>
      <c r="E12" s="2"/>
      <c r="F12" s="2"/>
      <c r="G12" s="2"/>
    </row>
    <row r="13" spans="1:9" ht="18.600000000000001" thickBot="1" x14ac:dyDescent="0.35">
      <c r="A13" s="69" t="s">
        <v>99</v>
      </c>
      <c r="B13" s="68" t="s">
        <v>78</v>
      </c>
      <c r="C13" s="68"/>
      <c r="D13" s="68"/>
      <c r="E13" s="68"/>
      <c r="F13" s="68"/>
      <c r="G13" s="68"/>
    </row>
    <row r="14" spans="1:9" ht="30" customHeight="1" x14ac:dyDescent="0.3">
      <c r="A14" s="50" t="s">
        <v>79</v>
      </c>
      <c r="B14" s="56" t="s">
        <v>80</v>
      </c>
      <c r="C14" s="56"/>
      <c r="D14" s="56"/>
      <c r="E14" s="56"/>
      <c r="F14" s="56"/>
      <c r="G14" s="56"/>
      <c r="H14" s="51"/>
      <c r="I14" s="51"/>
    </row>
    <row r="15" spans="1:9" ht="26.4" x14ac:dyDescent="0.3">
      <c r="A15" s="52" t="s">
        <v>81</v>
      </c>
      <c r="B15" s="57">
        <f>AVERAGE(F4:F9)</f>
        <v>1.3641040197128651</v>
      </c>
      <c r="C15" s="57"/>
      <c r="D15" s="57"/>
      <c r="E15" s="57"/>
      <c r="F15" s="57"/>
      <c r="G15" s="57"/>
    </row>
    <row r="16" spans="1:9" ht="15" thickBot="1" x14ac:dyDescent="0.35">
      <c r="A16" s="53"/>
      <c r="B16" s="53"/>
      <c r="C16" s="53"/>
      <c r="D16" s="53"/>
      <c r="E16" s="53"/>
      <c r="F16" s="53"/>
      <c r="G16" s="53"/>
    </row>
    <row r="17" spans="1:7" ht="18.600000000000001" thickBot="1" x14ac:dyDescent="0.35">
      <c r="A17" s="72" t="s">
        <v>100</v>
      </c>
      <c r="B17" s="70" t="s">
        <v>82</v>
      </c>
      <c r="C17" s="68"/>
      <c r="D17" s="68"/>
      <c r="E17" s="68"/>
      <c r="F17" s="68"/>
      <c r="G17" s="71"/>
    </row>
    <row r="18" spans="1:7" ht="86.4" x14ac:dyDescent="0.3">
      <c r="A18" s="54" t="s">
        <v>83</v>
      </c>
      <c r="B18" s="58">
        <f>AVERAGE(F4,F5,F8,F9)</f>
        <v>1.4529373625128343</v>
      </c>
      <c r="C18" s="58"/>
      <c r="D18" s="58"/>
      <c r="E18" s="58"/>
      <c r="F18" s="58"/>
      <c r="G18" s="58"/>
    </row>
    <row r="19" spans="1:7" ht="28.8" x14ac:dyDescent="0.3">
      <c r="A19" s="55" t="s">
        <v>84</v>
      </c>
      <c r="B19" s="57">
        <f>AVERAGE(F4:F11)</f>
        <v>1.3642279176094694</v>
      </c>
      <c r="C19" s="57"/>
      <c r="D19" s="57"/>
      <c r="E19" s="57"/>
      <c r="F19" s="57"/>
      <c r="G19" s="57"/>
    </row>
  </sheetData>
  <mergeCells count="7">
    <mergeCell ref="B19:G19"/>
    <mergeCell ref="B1:G1"/>
    <mergeCell ref="B13:G13"/>
    <mergeCell ref="B17:G17"/>
    <mergeCell ref="B14:G14"/>
    <mergeCell ref="B15:G15"/>
    <mergeCell ref="B18:G18"/>
  </mergeCell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BD7-07BC-4678-9C97-21767BA0EECE}">
  <dimension ref="A1:F7"/>
  <sheetViews>
    <sheetView tabSelected="1" workbookViewId="0">
      <selection activeCell="E14" sqref="E14"/>
    </sheetView>
  </sheetViews>
  <sheetFormatPr defaultRowHeight="14.4" x14ac:dyDescent="0.3"/>
  <cols>
    <col min="1" max="1" width="21.5546875" bestFit="1" customWidth="1"/>
    <col min="2" max="2" width="12.88671875" bestFit="1" customWidth="1"/>
    <col min="3" max="6" width="16.21875" bestFit="1" customWidth="1"/>
    <col min="7" max="7" width="8.88671875" customWidth="1"/>
  </cols>
  <sheetData>
    <row r="1" spans="1:6" ht="18.600000000000001" thickBot="1" x14ac:dyDescent="0.35">
      <c r="A1" s="67" t="s">
        <v>101</v>
      </c>
      <c r="B1" s="63" t="s">
        <v>85</v>
      </c>
      <c r="C1" s="63"/>
      <c r="D1" s="63"/>
      <c r="E1" s="63"/>
      <c r="F1" s="63"/>
    </row>
    <row r="2" spans="1:6" ht="15" thickBot="1" x14ac:dyDescent="0.35">
      <c r="A2" s="62" t="s">
        <v>86</v>
      </c>
      <c r="B2" s="62"/>
      <c r="C2" s="62"/>
      <c r="D2" s="62"/>
      <c r="E2" s="62"/>
      <c r="F2" s="62"/>
    </row>
    <row r="3" spans="1:6" ht="15" thickBot="1" x14ac:dyDescent="0.35">
      <c r="A3" s="2"/>
      <c r="B3" s="2"/>
      <c r="C3" s="2"/>
      <c r="D3" s="2"/>
      <c r="E3" s="2"/>
      <c r="F3" s="2"/>
    </row>
    <row r="4" spans="1:6" ht="15" thickBot="1" x14ac:dyDescent="0.3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spans="1:6" x14ac:dyDescent="0.3">
      <c r="A5" s="5" t="s">
        <v>93</v>
      </c>
      <c r="B5" s="59">
        <f>Asset_Betas!B15</f>
        <v>1.3641040197128651</v>
      </c>
      <c r="C5" s="60">
        <f>Assumptions!$B$7 + WACC_Sensitivity!B5*Assumptions!$C$26</f>
        <v>7.7205200985643249E-2</v>
      </c>
      <c r="D5" s="61">
        <f>Assumptions!$C$7 + WACC_Sensitivity!B5*Assumptions!$C$26</f>
        <v>8.8205200985643259E-2</v>
      </c>
      <c r="E5" s="6">
        <f>Assumptions!$C$7 + WACC_Sensitivity!B5*Assumptions!$C$28</f>
        <v>0.10730265726162337</v>
      </c>
      <c r="F5" s="6">
        <f>Assumptions!$B$7 + WACC_Sensitivity!B5*Assumptions!$C$28</f>
        <v>9.6302657261623362E-2</v>
      </c>
    </row>
    <row r="6" spans="1:6" x14ac:dyDescent="0.3">
      <c r="A6" s="7" t="s">
        <v>94</v>
      </c>
      <c r="B6" s="26">
        <f>Asset_Betas!B18</f>
        <v>1.4529373625128343</v>
      </c>
      <c r="C6" s="8">
        <f>Assumptions!$B$7 + WACC_Sensitivity!B6*Assumptions!$C$26</f>
        <v>8.1646868125641717E-2</v>
      </c>
      <c r="D6" s="8">
        <f>Assumptions!$C$7 + WACC_Sensitivity!B6*Assumptions!$C$26</f>
        <v>9.2646868125641726E-2</v>
      </c>
      <c r="E6" s="8">
        <f>Assumptions!$C$7 + WACC_Sensitivity!B6*Assumptions!$C$28</f>
        <v>0.1129879912008214</v>
      </c>
      <c r="F6" s="8">
        <f>Assumptions!$B$7 + WACC_Sensitivity!B6*Assumptions!$C$28</f>
        <v>0.10198799120082139</v>
      </c>
    </row>
    <row r="7" spans="1:6" x14ac:dyDescent="0.3">
      <c r="A7" s="7" t="s">
        <v>95</v>
      </c>
      <c r="B7" s="26">
        <f>Asset_Betas!B19</f>
        <v>1.3642279176094694</v>
      </c>
      <c r="C7" s="8">
        <f>Assumptions!$B$7 + WACC_Sensitivity!B7*Assumptions!$C$26</f>
        <v>7.721139588047346E-2</v>
      </c>
      <c r="D7" s="8">
        <f>Assumptions!$C$7 + WACC_Sensitivity!B7*Assumptions!$C$26</f>
        <v>8.821139588047347E-2</v>
      </c>
      <c r="E7" s="8">
        <f>Assumptions!$C$7 + WACC_Sensitivity!B7*Assumptions!$C$28</f>
        <v>0.10731058672700605</v>
      </c>
      <c r="F7" s="8">
        <f>Assumptions!$B$7 + WACC_Sensitivity!B7*Assumptions!$C$28</f>
        <v>9.6310586727006042E-2</v>
      </c>
    </row>
  </sheetData>
  <mergeCells count="2">
    <mergeCell ref="A2:F2"/>
    <mergeCell ref="B1:F1"/>
  </mergeCell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Returns</vt:lpstr>
      <vt:lpstr>Equity_Betas</vt:lpstr>
      <vt:lpstr>Leverage</vt:lpstr>
      <vt:lpstr>Asset_Betas</vt:lpstr>
      <vt:lpstr>WACC_Sensitivity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ANDREEV</dc:creator>
  <cp:lastModifiedBy>PAVEL ANDREEV</cp:lastModifiedBy>
  <cp:lastPrinted>2026-04-27T16:30:05Z</cp:lastPrinted>
  <dcterms:created xsi:type="dcterms:W3CDTF">2026-04-26T15:36:55Z</dcterms:created>
  <dcterms:modified xsi:type="dcterms:W3CDTF">2026-04-27T16:32:37Z</dcterms:modified>
</cp:coreProperties>
</file>
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ati\Profili\a365290\Documents\Docenze+altro\FMI_2025\Lectures\"/>
    </mc:Choice>
  </mc:AlternateContent>
  <xr:revisionPtr revIDLastSave="0" documentId="13_ncr:1_{3C62568A-2055-4DC0-8324-07B942EBB9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D8" i="1"/>
  <c r="H8" i="1"/>
  <c r="F8" i="1"/>
  <c r="E8" i="1"/>
  <c r="D9" i="1" l="1"/>
  <c r="H11" i="1" s="1"/>
  <c r="H12" i="1" s="1"/>
  <c r="E11" i="1" l="1"/>
  <c r="E12" i="1" s="1"/>
  <c r="F11" i="1"/>
  <c r="F12" i="1" s="1"/>
  <c r="G11" i="1"/>
  <c r="G12" i="1" s="1"/>
  <c r="D11" i="1"/>
  <c r="D12" i="1" s="1"/>
  <c r="D14" i="1" l="1"/>
</calcChain>
</file>

<file path=xl/sharedStrings.xml><?xml version="1.0" encoding="utf-8"?>
<sst xmlns="http://schemas.openxmlformats.org/spreadsheetml/2006/main" count="10" uniqueCount="10">
  <si>
    <t>years</t>
  </si>
  <si>
    <t>i</t>
  </si>
  <si>
    <t>CF</t>
  </si>
  <si>
    <t>PVt</t>
  </si>
  <si>
    <t>DUR</t>
  </si>
  <si>
    <t>Example of Slide 56, file Lect 2-3 New.pdf</t>
  </si>
  <si>
    <r>
      <t>PV</t>
    </r>
    <r>
      <rPr>
        <vertAlign val="subscript"/>
        <sz val="11"/>
        <color theme="1"/>
        <rFont val="Calibri"/>
        <family val="2"/>
        <scheme val="minor"/>
      </rPr>
      <t>TOT</t>
    </r>
  </si>
  <si>
    <t>a</t>
  </si>
  <si>
    <r>
      <t>DUR</t>
    </r>
    <r>
      <rPr>
        <vertAlign val="subscript"/>
        <sz val="11"/>
        <color theme="1"/>
        <rFont val="Calibri"/>
        <family val="2"/>
        <scheme val="minor"/>
      </rPr>
      <t>t</t>
    </r>
  </si>
  <si>
    <t>cells with 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</si>
</sst>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0" fillId="0" borderId="2" xfId="0" applyBorder="1"/>
    <xf numFmtId="0" fontId="0" fillId="0" borderId="1" xfId="0" applyBorder="1"/>
    <xf numFmtId="2" fontId="0" fillId="2" borderId="0" xfId="0" applyNumberFormat="1" applyFill="1"/>
    <xf numFmtId="0" fontId="0" fillId="2" borderId="0" xfId="0" applyFill="1"/>
    <xf numFmtId="164" fontId="0" fillId="2" borderId="2" xfId="0" applyNumberFormat="1" applyFill="1" applyBorder="1"/>
    <xf numFmtId="164" fontId="0" fillId="2" borderId="1" xfId="0" applyNumberFormat="1" applyFill="1" applyBorder="1"/>
    <xf numFmtId="2" fontId="1" fillId="2" borderId="2" xfId="0" applyNumberFormat="1" applyFont="1" applyFill="1" applyBorder="1"/>
    <xf numFmtId="0" fontId="4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17"/>
  <sheetViews>
    <sheetView tabSelected="1" zoomScale="145" zoomScaleNormal="145" workbookViewId="0">
      <selection activeCell="D18" sqref="D18"/>
    </sheetView>
  </sheetViews>
  <sheetFormatPr defaultRowHeight="15" x14ac:dyDescent="0.25"/>
  <sheetData>
    <row r="1" spans="3:8" x14ac:dyDescent="0.25">
      <c r="C1" t="s">
        <v>5</v>
      </c>
    </row>
    <row r="3" spans="3:8" x14ac:dyDescent="0.25">
      <c r="C3" t="s">
        <v>1</v>
      </c>
      <c r="D3">
        <v>0.12</v>
      </c>
    </row>
    <row r="5" spans="3:8" x14ac:dyDescent="0.25">
      <c r="C5" s="1" t="s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</row>
    <row r="6" spans="3:8" x14ac:dyDescent="0.25">
      <c r="C6" s="2" t="s">
        <v>2</v>
      </c>
      <c r="D6" s="2">
        <v>100</v>
      </c>
      <c r="E6" s="2">
        <v>200</v>
      </c>
      <c r="F6" s="2">
        <v>0</v>
      </c>
      <c r="G6" s="2">
        <v>450</v>
      </c>
      <c r="H6" s="2">
        <v>1000</v>
      </c>
    </row>
    <row r="8" spans="3:8" x14ac:dyDescent="0.25">
      <c r="C8" t="s">
        <v>3</v>
      </c>
      <c r="D8" s="6">
        <f>D6/((1+$D$3)^D5)</f>
        <v>89.285714285714278</v>
      </c>
      <c r="E8" s="6">
        <f>E6/((1+$D$3)^E5)</f>
        <v>159.43877551020407</v>
      </c>
      <c r="F8" s="6">
        <f>F6/((1+$D$3)^F5)</f>
        <v>0</v>
      </c>
      <c r="G8" s="6">
        <f>G6/((1+$D$3)^G5)</f>
        <v>285.98313528217403</v>
      </c>
      <c r="H8" s="6">
        <f>H6/((1+$D$3)^H5)</f>
        <v>567.4268557185992</v>
      </c>
    </row>
    <row r="9" spans="3:8" ht="18" x14ac:dyDescent="0.35">
      <c r="C9" t="s">
        <v>6</v>
      </c>
      <c r="D9" s="6">
        <f>SUM(D8:H8)</f>
        <v>1102.1344807966916</v>
      </c>
    </row>
    <row r="10" spans="3:8" x14ac:dyDescent="0.25">
      <c r="D10" s="3"/>
      <c r="E10" s="3"/>
      <c r="F10" s="3"/>
      <c r="G10" s="3"/>
      <c r="H10" s="3"/>
    </row>
    <row r="11" spans="3:8" x14ac:dyDescent="0.25">
      <c r="C11" s="9" t="s">
        <v>7</v>
      </c>
      <c r="D11" s="4">
        <f>D8/$D9</f>
        <v>8.1011633191235416E-2</v>
      </c>
      <c r="E11" s="4">
        <f>E8/$D9</f>
        <v>0.14466363069863467</v>
      </c>
      <c r="F11" s="4">
        <f>F8/$D9</f>
        <v>0</v>
      </c>
      <c r="G11" s="4">
        <f>G8/$D9</f>
        <v>0.25948116156882012</v>
      </c>
      <c r="H11" s="4">
        <f>H8/$D9</f>
        <v>0.51484357454130969</v>
      </c>
    </row>
    <row r="12" spans="3:8" ht="18" x14ac:dyDescent="0.35">
      <c r="C12" t="s">
        <v>8</v>
      </c>
      <c r="D12" s="7">
        <f>D11*D5</f>
        <v>8.1011633191235416E-2</v>
      </c>
      <c r="E12" s="7">
        <f>E11*E5</f>
        <v>0.28932726139726933</v>
      </c>
      <c r="F12" s="7">
        <f>F11*F5</f>
        <v>0</v>
      </c>
      <c r="G12" s="7">
        <f>G11*G5</f>
        <v>1.0379246462752805</v>
      </c>
      <c r="H12" s="7">
        <f>H11*H5</f>
        <v>2.5742178727065483</v>
      </c>
    </row>
    <row r="13" spans="3:8" x14ac:dyDescent="0.25">
      <c r="D13" s="2"/>
    </row>
    <row r="14" spans="3:8" x14ac:dyDescent="0.25">
      <c r="C14" t="s">
        <v>4</v>
      </c>
      <c r="D14" s="8">
        <f>SUM(D12:H12)</f>
        <v>3.9824814135703335</v>
      </c>
    </row>
    <row r="17" spans="3:4" x14ac:dyDescent="0.25">
      <c r="C17" s="5"/>
      <c r="D1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Didattica</dc:creator>
  <cp:lastModifiedBy>Francesco Bripi</cp:lastModifiedBy>
  <dcterms:created xsi:type="dcterms:W3CDTF">2024-09-17T12:32:51Z</dcterms:created>
  <dcterms:modified xsi:type="dcterms:W3CDTF">2025-09-15T11:08:14Z</dcterms:modified>
</cp:coreProperties>
</file>
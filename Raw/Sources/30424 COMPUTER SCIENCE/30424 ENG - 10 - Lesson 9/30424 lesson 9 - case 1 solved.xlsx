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10 - Lesson 9/"/>
    </mc:Choice>
  </mc:AlternateContent>
  <xr:revisionPtr revIDLastSave="3" documentId="13_ncr:1_{356E24F0-A74C-403C-9823-947F871B752A}" xr6:coauthVersionLast="47" xr6:coauthVersionMax="47" xr10:uidLastSave="{8919A3BB-BD33-4B2D-9B2C-35B9BC1FE972}"/>
  <bookViews>
    <workbookView xWindow="-108" yWindow="-108" windowWidth="23256" windowHeight="12456" tabRatio="821" activeTab="3" xr2:uid="{00000000-000D-0000-FFFF-FFFF00000000}"/>
  </bookViews>
  <sheets>
    <sheet name="Case development" sheetId="21" r:id="rId1"/>
    <sheet name="Mortgage" sheetId="11" r:id="rId2"/>
    <sheet name="Repayment plan" sheetId="19" r:id="rId3"/>
    <sheet name="Investment" sheetId="3" r:id="rId4"/>
  </sheets>
  <definedNames>
    <definedName name="Future_Value">Investment!$B$5</definedName>
    <definedName name="Installment">Investment!$B$4</definedName>
    <definedName name="Int_Rate">Investment!$B$2</definedName>
    <definedName name="Interests">Investment!$B$6</definedName>
    <definedName name="Period">Investment!$B$3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 s="1"/>
  <c r="B3" i="19"/>
  <c r="C3" i="19"/>
  <c r="E3" i="19" s="1"/>
  <c r="D3" i="19"/>
  <c r="G3" i="19" s="1"/>
  <c r="B4" i="19"/>
  <c r="C4" i="19"/>
  <c r="F5" i="19" s="1"/>
  <c r="D4" i="19"/>
  <c r="G5" i="19" s="1"/>
  <c r="G4" i="19"/>
  <c r="B5" i="19"/>
  <c r="C5" i="19"/>
  <c r="D5" i="19"/>
  <c r="E5" i="19"/>
  <c r="B6" i="19"/>
  <c r="C6" i="19"/>
  <c r="F9" i="19" s="1"/>
  <c r="D6" i="19"/>
  <c r="G6" i="19"/>
  <c r="B7" i="19"/>
  <c r="C7" i="19"/>
  <c r="D7" i="19"/>
  <c r="G9" i="19" s="1"/>
  <c r="E7" i="19"/>
  <c r="B8" i="19"/>
  <c r="C8" i="19"/>
  <c r="E8" i="19" s="1"/>
  <c r="D8" i="19"/>
  <c r="G8" i="19"/>
  <c r="B9" i="19"/>
  <c r="C9" i="19"/>
  <c r="D9" i="19"/>
  <c r="E9" i="19"/>
  <c r="B10" i="19"/>
  <c r="C10" i="19"/>
  <c r="E10" i="19" s="1"/>
  <c r="D10" i="19"/>
  <c r="G13" i="19" s="1"/>
  <c r="G10" i="19"/>
  <c r="B11" i="19"/>
  <c r="C11" i="19"/>
  <c r="D11" i="19"/>
  <c r="G17" i="19" s="1"/>
  <c r="E11" i="19"/>
  <c r="B12" i="19"/>
  <c r="C12" i="19"/>
  <c r="E12" i="19" s="1"/>
  <c r="D12" i="19"/>
  <c r="G12" i="19"/>
  <c r="B13" i="19"/>
  <c r="C13" i="19"/>
  <c r="D13" i="19"/>
  <c r="E13" i="19"/>
  <c r="B14" i="19"/>
  <c r="C14" i="19"/>
  <c r="E14" i="19" s="1"/>
  <c r="D14" i="19"/>
  <c r="G14" i="19"/>
  <c r="B15" i="19"/>
  <c r="C15" i="19"/>
  <c r="D15" i="19"/>
  <c r="G21" i="19" s="1"/>
  <c r="E15" i="19"/>
  <c r="B16" i="19"/>
  <c r="C16" i="19"/>
  <c r="E16" i="19" s="1"/>
  <c r="D16" i="19"/>
  <c r="G16" i="19"/>
  <c r="B17" i="19"/>
  <c r="C17" i="19"/>
  <c r="D17" i="19"/>
  <c r="G25" i="19" s="1"/>
  <c r="B18" i="19"/>
  <c r="C18" i="19"/>
  <c r="E18" i="19" s="1"/>
  <c r="D18" i="19"/>
  <c r="B19" i="19"/>
  <c r="C19" i="19"/>
  <c r="D19" i="19"/>
  <c r="G29" i="19" s="1"/>
  <c r="E19" i="19"/>
  <c r="B20" i="19"/>
  <c r="C20" i="19"/>
  <c r="E20" i="19" s="1"/>
  <c r="D20" i="19"/>
  <c r="G20" i="19"/>
  <c r="B21" i="19"/>
  <c r="C21" i="19"/>
  <c r="D21" i="19"/>
  <c r="E21" i="19" s="1"/>
  <c r="B22" i="19"/>
  <c r="C22" i="19"/>
  <c r="E22" i="19" s="1"/>
  <c r="D22" i="19"/>
  <c r="B23" i="19"/>
  <c r="C23" i="19"/>
  <c r="D23" i="19"/>
  <c r="G33" i="19" s="1"/>
  <c r="E23" i="19"/>
  <c r="B24" i="19"/>
  <c r="C24" i="19"/>
  <c r="E24" i="19" s="1"/>
  <c r="D24" i="19"/>
  <c r="G24" i="19"/>
  <c r="B25" i="19"/>
  <c r="C25" i="19"/>
  <c r="D25" i="19"/>
  <c r="E25" i="19" s="1"/>
  <c r="B26" i="19"/>
  <c r="C26" i="19"/>
  <c r="E26" i="19" s="1"/>
  <c r="D26" i="19"/>
  <c r="B27" i="19"/>
  <c r="C27" i="19"/>
  <c r="D27" i="19"/>
  <c r="G41" i="19" s="1"/>
  <c r="E27" i="19"/>
  <c r="B28" i="19"/>
  <c r="C28" i="19"/>
  <c r="E28" i="19" s="1"/>
  <c r="D28" i="19"/>
  <c r="G28" i="19"/>
  <c r="B29" i="19"/>
  <c r="C29" i="19"/>
  <c r="D29" i="19"/>
  <c r="E29" i="19" s="1"/>
  <c r="B30" i="19"/>
  <c r="C30" i="19"/>
  <c r="E30" i="19" s="1"/>
  <c r="D30" i="19"/>
  <c r="B31" i="19"/>
  <c r="C31" i="19"/>
  <c r="D31" i="19"/>
  <c r="G45" i="19" s="1"/>
  <c r="E31" i="19"/>
  <c r="B32" i="19"/>
  <c r="C32" i="19"/>
  <c r="E32" i="19" s="1"/>
  <c r="D32" i="19"/>
  <c r="G32" i="19"/>
  <c r="B33" i="19"/>
  <c r="C33" i="19"/>
  <c r="D33" i="19"/>
  <c r="E33" i="19" s="1"/>
  <c r="B34" i="19"/>
  <c r="C34" i="19"/>
  <c r="E34" i="19" s="1"/>
  <c r="D34" i="19"/>
  <c r="B35" i="19"/>
  <c r="C35" i="19"/>
  <c r="D35" i="19"/>
  <c r="G53" i="19" s="1"/>
  <c r="E35" i="19"/>
  <c r="B36" i="19"/>
  <c r="C36" i="19"/>
  <c r="E36" i="19" s="1"/>
  <c r="D36" i="19"/>
  <c r="G36" i="19"/>
  <c r="B37" i="19"/>
  <c r="C37" i="19"/>
  <c r="D37" i="19"/>
  <c r="E37" i="19" s="1"/>
  <c r="B38" i="19"/>
  <c r="C38" i="19"/>
  <c r="E38" i="19" s="1"/>
  <c r="D38" i="19"/>
  <c r="B39" i="19"/>
  <c r="C39" i="19"/>
  <c r="D39" i="19"/>
  <c r="G57" i="19" s="1"/>
  <c r="E39" i="19"/>
  <c r="B40" i="19"/>
  <c r="C40" i="19"/>
  <c r="E40" i="19" s="1"/>
  <c r="D40" i="19"/>
  <c r="G40" i="19"/>
  <c r="B41" i="19"/>
  <c r="C41" i="19"/>
  <c r="D41" i="19"/>
  <c r="E41" i="19" s="1"/>
  <c r="B42" i="19"/>
  <c r="C42" i="19"/>
  <c r="E42" i="19" s="1"/>
  <c r="D42" i="19"/>
  <c r="B43" i="19"/>
  <c r="C43" i="19"/>
  <c r="D43" i="19"/>
  <c r="G65" i="19" s="1"/>
  <c r="E43" i="19"/>
  <c r="B44" i="19"/>
  <c r="C44" i="19"/>
  <c r="E44" i="19" s="1"/>
  <c r="D44" i="19"/>
  <c r="G44" i="19"/>
  <c r="B45" i="19"/>
  <c r="C45" i="19"/>
  <c r="D45" i="19"/>
  <c r="E45" i="19" s="1"/>
  <c r="B46" i="19"/>
  <c r="C46" i="19"/>
  <c r="E46" i="19" s="1"/>
  <c r="D46" i="19"/>
  <c r="B47" i="19"/>
  <c r="C47" i="19"/>
  <c r="D47" i="19"/>
  <c r="G69" i="19" s="1"/>
  <c r="E47" i="19"/>
  <c r="B48" i="19"/>
  <c r="C48" i="19"/>
  <c r="E48" i="19" s="1"/>
  <c r="D48" i="19"/>
  <c r="G48" i="19"/>
  <c r="B49" i="19"/>
  <c r="C49" i="19"/>
  <c r="D49" i="19"/>
  <c r="E49" i="19" s="1"/>
  <c r="B50" i="19"/>
  <c r="C50" i="19"/>
  <c r="E50" i="19" s="1"/>
  <c r="D50" i="19"/>
  <c r="B51" i="19"/>
  <c r="C51" i="19"/>
  <c r="D51" i="19"/>
  <c r="G77" i="19" s="1"/>
  <c r="E51" i="19"/>
  <c r="B52" i="19"/>
  <c r="C52" i="19"/>
  <c r="E52" i="19" s="1"/>
  <c r="D52" i="19"/>
  <c r="G52" i="19"/>
  <c r="B53" i="19"/>
  <c r="C53" i="19"/>
  <c r="D53" i="19"/>
  <c r="G87" i="19" s="1"/>
  <c r="B54" i="19"/>
  <c r="C54" i="19"/>
  <c r="E54" i="19" s="1"/>
  <c r="D54" i="19"/>
  <c r="B55" i="19"/>
  <c r="C55" i="19"/>
  <c r="D55" i="19"/>
  <c r="G81" i="19" s="1"/>
  <c r="E55" i="19"/>
  <c r="B56" i="19"/>
  <c r="C56" i="19"/>
  <c r="E56" i="19" s="1"/>
  <c r="D56" i="19"/>
  <c r="G56" i="19"/>
  <c r="B57" i="19"/>
  <c r="C57" i="19"/>
  <c r="D57" i="19"/>
  <c r="G85" i="19" s="1"/>
  <c r="B58" i="19"/>
  <c r="C58" i="19"/>
  <c r="E58" i="19" s="1"/>
  <c r="D58" i="19"/>
  <c r="B59" i="19"/>
  <c r="C59" i="19"/>
  <c r="D59" i="19"/>
  <c r="G89" i="19" s="1"/>
  <c r="E59" i="19"/>
  <c r="B60" i="19"/>
  <c r="C60" i="19"/>
  <c r="E60" i="19" s="1"/>
  <c r="D60" i="19"/>
  <c r="G60" i="19"/>
  <c r="B61" i="19"/>
  <c r="C61" i="19"/>
  <c r="D61" i="19"/>
  <c r="G99" i="19" s="1"/>
  <c r="B62" i="19"/>
  <c r="C62" i="19"/>
  <c r="E62" i="19" s="1"/>
  <c r="D62" i="19"/>
  <c r="B63" i="19"/>
  <c r="C63" i="19"/>
  <c r="D63" i="19"/>
  <c r="G93" i="19" s="1"/>
  <c r="E63" i="19"/>
  <c r="B64" i="19"/>
  <c r="C64" i="19"/>
  <c r="E64" i="19" s="1"/>
  <c r="D64" i="19"/>
  <c r="G64" i="19"/>
  <c r="B65" i="19"/>
  <c r="C65" i="19"/>
  <c r="D65" i="19"/>
  <c r="E65" i="19" s="1"/>
  <c r="B66" i="19"/>
  <c r="C66" i="19"/>
  <c r="E66" i="19" s="1"/>
  <c r="D66" i="19"/>
  <c r="B67" i="19"/>
  <c r="C67" i="19"/>
  <c r="D67" i="19"/>
  <c r="E67" i="19"/>
  <c r="B68" i="19"/>
  <c r="C68" i="19"/>
  <c r="E68" i="19" s="1"/>
  <c r="D68" i="19"/>
  <c r="G68" i="19"/>
  <c r="B69" i="19"/>
  <c r="C69" i="19"/>
  <c r="D69" i="19"/>
  <c r="E69" i="19" s="1"/>
  <c r="B70" i="19"/>
  <c r="C70" i="19"/>
  <c r="E70" i="19" s="1"/>
  <c r="D70" i="19"/>
  <c r="B71" i="19"/>
  <c r="C71" i="19"/>
  <c r="D71" i="19"/>
  <c r="E71" i="19"/>
  <c r="B72" i="19"/>
  <c r="C72" i="19"/>
  <c r="E72" i="19" s="1"/>
  <c r="D72" i="19"/>
  <c r="G72" i="19"/>
  <c r="B73" i="19"/>
  <c r="C73" i="19"/>
  <c r="D73" i="19"/>
  <c r="E73" i="19" s="1"/>
  <c r="B74" i="19"/>
  <c r="C74" i="19"/>
  <c r="E74" i="19" s="1"/>
  <c r="D74" i="19"/>
  <c r="B75" i="19"/>
  <c r="C75" i="19"/>
  <c r="D75" i="19"/>
  <c r="E75" i="19"/>
  <c r="B76" i="19"/>
  <c r="C76" i="19"/>
  <c r="E76" i="19" s="1"/>
  <c r="D76" i="19"/>
  <c r="G76" i="19"/>
  <c r="B77" i="19"/>
  <c r="C77" i="19"/>
  <c r="D77" i="19"/>
  <c r="E77" i="19" s="1"/>
  <c r="B78" i="19"/>
  <c r="C78" i="19"/>
  <c r="E78" i="19" s="1"/>
  <c r="D78" i="19"/>
  <c r="B79" i="19"/>
  <c r="C79" i="19"/>
  <c r="D79" i="19"/>
  <c r="E79" i="19"/>
  <c r="B80" i="19"/>
  <c r="C80" i="19"/>
  <c r="E80" i="19" s="1"/>
  <c r="D80" i="19"/>
  <c r="G80" i="19"/>
  <c r="B81" i="19"/>
  <c r="C81" i="19"/>
  <c r="D81" i="19"/>
  <c r="E81" i="19" s="1"/>
  <c r="B82" i="19"/>
  <c r="C82" i="19"/>
  <c r="E82" i="19" s="1"/>
  <c r="D82" i="19"/>
  <c r="B83" i="19"/>
  <c r="C83" i="19"/>
  <c r="D83" i="19"/>
  <c r="E83" i="19"/>
  <c r="B84" i="19"/>
  <c r="C84" i="19"/>
  <c r="E84" i="19" s="1"/>
  <c r="D84" i="19"/>
  <c r="G84" i="19"/>
  <c r="B85" i="19"/>
  <c r="C85" i="19"/>
  <c r="D85" i="19"/>
  <c r="E85" i="19" s="1"/>
  <c r="B86" i="19"/>
  <c r="C86" i="19"/>
  <c r="E86" i="19" s="1"/>
  <c r="D86" i="19"/>
  <c r="B87" i="19"/>
  <c r="C87" i="19"/>
  <c r="D87" i="19"/>
  <c r="E87" i="19"/>
  <c r="B88" i="19"/>
  <c r="C88" i="19"/>
  <c r="E88" i="19" s="1"/>
  <c r="D88" i="19"/>
  <c r="G88" i="19"/>
  <c r="B89" i="19"/>
  <c r="C89" i="19"/>
  <c r="D89" i="19"/>
  <c r="E89" i="19" s="1"/>
  <c r="B90" i="19"/>
  <c r="C90" i="19"/>
  <c r="E90" i="19" s="1"/>
  <c r="D90" i="19"/>
  <c r="B91" i="19"/>
  <c r="C91" i="19"/>
  <c r="D91" i="19"/>
  <c r="E91" i="19"/>
  <c r="B92" i="19"/>
  <c r="C92" i="19"/>
  <c r="E92" i="19" s="1"/>
  <c r="D92" i="19"/>
  <c r="G92" i="19"/>
  <c r="B93" i="19"/>
  <c r="C93" i="19"/>
  <c r="D93" i="19"/>
  <c r="E93" i="19" s="1"/>
  <c r="B94" i="19"/>
  <c r="C94" i="19"/>
  <c r="E94" i="19" s="1"/>
  <c r="D94" i="19"/>
  <c r="B95" i="19"/>
  <c r="C95" i="19"/>
  <c r="D95" i="19"/>
  <c r="E95" i="19"/>
  <c r="B96" i="19"/>
  <c r="C96" i="19"/>
  <c r="E96" i="19" s="1"/>
  <c r="D96" i="19"/>
  <c r="G96" i="19"/>
  <c r="B97" i="19"/>
  <c r="C97" i="19"/>
  <c r="D97" i="19"/>
  <c r="E97" i="19" s="1"/>
  <c r="B98" i="19"/>
  <c r="C98" i="19"/>
  <c r="E98" i="19" s="1"/>
  <c r="D98" i="19"/>
  <c r="B99" i="19"/>
  <c r="C99" i="19"/>
  <c r="D99" i="19"/>
  <c r="E99" i="19"/>
  <c r="B100" i="19"/>
  <c r="C100" i="19"/>
  <c r="E100" i="19" s="1"/>
  <c r="D100" i="19"/>
  <c r="G100" i="19"/>
  <c r="B101" i="19"/>
  <c r="C101" i="19"/>
  <c r="D101" i="19"/>
  <c r="E101" i="19" s="1"/>
  <c r="B102" i="19"/>
  <c r="C102" i="19"/>
  <c r="E102" i="19" s="1"/>
  <c r="D102" i="19"/>
  <c r="B103" i="19"/>
  <c r="C103" i="19"/>
  <c r="D103" i="19"/>
  <c r="E103" i="19"/>
  <c r="B104" i="19"/>
  <c r="C104" i="19"/>
  <c r="E104" i="19" s="1"/>
  <c r="D104" i="19"/>
  <c r="G104" i="19"/>
  <c r="B105" i="19"/>
  <c r="C105" i="19"/>
  <c r="D105" i="19"/>
  <c r="E105" i="19" s="1"/>
  <c r="B106" i="19"/>
  <c r="C106" i="19"/>
  <c r="E106" i="19" s="1"/>
  <c r="D106" i="19"/>
  <c r="B107" i="19"/>
  <c r="C107" i="19"/>
  <c r="D107" i="19"/>
  <c r="E107" i="19"/>
  <c r="B108" i="19"/>
  <c r="C108" i="19"/>
  <c r="E108" i="19" s="1"/>
  <c r="D108" i="19"/>
  <c r="G108" i="19"/>
  <c r="B109" i="19"/>
  <c r="C109" i="19"/>
  <c r="D109" i="19"/>
  <c r="E109" i="19" s="1"/>
  <c r="B110" i="19"/>
  <c r="C110" i="19"/>
  <c r="E110" i="19" s="1"/>
  <c r="D110" i="19"/>
  <c r="B111" i="19"/>
  <c r="C111" i="19"/>
  <c r="D111" i="19"/>
  <c r="E111" i="19"/>
  <c r="B112" i="19"/>
  <c r="C112" i="19"/>
  <c r="E112" i="19" s="1"/>
  <c r="D112" i="19"/>
  <c r="G112" i="19"/>
  <c r="B113" i="19"/>
  <c r="C113" i="19"/>
  <c r="D113" i="19"/>
  <c r="E113" i="19" s="1"/>
  <c r="B114" i="19"/>
  <c r="C114" i="19"/>
  <c r="E114" i="19" s="1"/>
  <c r="D114" i="19"/>
  <c r="B115" i="19"/>
  <c r="C115" i="19"/>
  <c r="D115" i="19"/>
  <c r="E115" i="19"/>
  <c r="B116" i="19"/>
  <c r="C116" i="19"/>
  <c r="E116" i="19" s="1"/>
  <c r="D116" i="19"/>
  <c r="G116" i="19"/>
  <c r="B117" i="19"/>
  <c r="C117" i="19"/>
  <c r="D117" i="19"/>
  <c r="E117" i="19" s="1"/>
  <c r="B118" i="19"/>
  <c r="C118" i="19"/>
  <c r="E118" i="19" s="1"/>
  <c r="D118" i="19"/>
  <c r="B119" i="19"/>
  <c r="C119" i="19"/>
  <c r="D119" i="19"/>
  <c r="E119" i="19"/>
  <c r="B120" i="19"/>
  <c r="C120" i="19"/>
  <c r="E120" i="19" s="1"/>
  <c r="D120" i="19"/>
  <c r="G120" i="19"/>
  <c r="B121" i="19"/>
  <c r="C121" i="19"/>
  <c r="D121" i="19"/>
  <c r="E121" i="19" s="1"/>
  <c r="D2" i="19"/>
  <c r="C2" i="19"/>
  <c r="B2" i="19"/>
  <c r="B9" i="11"/>
  <c r="E6" i="11"/>
  <c r="B6" i="11"/>
  <c r="F112" i="19" l="1"/>
  <c r="F108" i="19"/>
  <c r="F88" i="19"/>
  <c r="F80" i="19"/>
  <c r="G118" i="19"/>
  <c r="G114" i="19"/>
  <c r="G110" i="19"/>
  <c r="G106" i="19"/>
  <c r="G102" i="19"/>
  <c r="G98" i="19"/>
  <c r="G94" i="19"/>
  <c r="G90" i="19"/>
  <c r="G86" i="19"/>
  <c r="G82" i="19"/>
  <c r="G78" i="19"/>
  <c r="G74" i="19"/>
  <c r="G70" i="19"/>
  <c r="G66" i="19"/>
  <c r="G62" i="19"/>
  <c r="E61" i="19"/>
  <c r="G58" i="19"/>
  <c r="E57" i="19"/>
  <c r="G54" i="19"/>
  <c r="E53" i="19"/>
  <c r="G50" i="19"/>
  <c r="G46" i="19"/>
  <c r="G42" i="19"/>
  <c r="G38" i="19"/>
  <c r="G34" i="19"/>
  <c r="G30" i="19"/>
  <c r="G26" i="19"/>
  <c r="G22" i="19"/>
  <c r="G18" i="19"/>
  <c r="E17" i="19"/>
  <c r="F104" i="19"/>
  <c r="F86" i="19"/>
  <c r="F82" i="19"/>
  <c r="F78" i="19"/>
  <c r="F74" i="19"/>
  <c r="F70" i="19"/>
  <c r="F66" i="19"/>
  <c r="F62" i="19"/>
  <c r="F58" i="19"/>
  <c r="F54" i="19"/>
  <c r="F50" i="19"/>
  <c r="F46" i="19"/>
  <c r="F42" i="19"/>
  <c r="F38" i="19"/>
  <c r="F34" i="19"/>
  <c r="F30" i="19"/>
  <c r="F26" i="19"/>
  <c r="F22" i="19"/>
  <c r="F18" i="19"/>
  <c r="F14" i="19"/>
  <c r="F10" i="19"/>
  <c r="F6" i="19"/>
  <c r="F120" i="19"/>
  <c r="F100" i="19"/>
  <c r="F96" i="19"/>
  <c r="F118" i="19"/>
  <c r="F114" i="19"/>
  <c r="F110" i="19"/>
  <c r="F106" i="19"/>
  <c r="F102" i="19"/>
  <c r="F98" i="19"/>
  <c r="F94" i="19"/>
  <c r="F90" i="19"/>
  <c r="G119" i="19"/>
  <c r="G115" i="19"/>
  <c r="G111" i="19"/>
  <c r="G107" i="19"/>
  <c r="G103" i="19"/>
  <c r="G95" i="19"/>
  <c r="G91" i="19"/>
  <c r="G83" i="19"/>
  <c r="G79" i="19"/>
  <c r="G75" i="19"/>
  <c r="G71" i="19"/>
  <c r="G67" i="19"/>
  <c r="G63" i="19"/>
  <c r="G59" i="19"/>
  <c r="G55" i="19"/>
  <c r="G51" i="19"/>
  <c r="G47" i="19"/>
  <c r="G43" i="19"/>
  <c r="G39" i="19"/>
  <c r="G35" i="19"/>
  <c r="G31" i="19"/>
  <c r="G27" i="19"/>
  <c r="G23" i="19"/>
  <c r="G19" i="19"/>
  <c r="G15" i="19"/>
  <c r="G11" i="19"/>
  <c r="G7" i="19"/>
  <c r="E6" i="19"/>
  <c r="F119" i="19"/>
  <c r="F115" i="19"/>
  <c r="F111" i="19"/>
  <c r="F107" i="19"/>
  <c r="F103" i="19"/>
  <c r="F99" i="19"/>
  <c r="F95" i="19"/>
  <c r="F91" i="19"/>
  <c r="F87" i="19"/>
  <c r="F83" i="19"/>
  <c r="F79" i="19"/>
  <c r="F75" i="19"/>
  <c r="F71" i="19"/>
  <c r="F67" i="19"/>
  <c r="F63" i="19"/>
  <c r="F59" i="19"/>
  <c r="F55" i="19"/>
  <c r="F51" i="19"/>
  <c r="F47" i="19"/>
  <c r="F43" i="19"/>
  <c r="F39" i="19"/>
  <c r="F35" i="19"/>
  <c r="F31" i="19"/>
  <c r="F27" i="19"/>
  <c r="F23" i="19"/>
  <c r="F19" i="19"/>
  <c r="F15" i="19"/>
  <c r="F11" i="19"/>
  <c r="F7" i="19"/>
  <c r="F3" i="19"/>
  <c r="F84" i="19"/>
  <c r="F64" i="19"/>
  <c r="F60" i="19"/>
  <c r="F56" i="19"/>
  <c r="F52" i="19"/>
  <c r="F48" i="19"/>
  <c r="F44" i="19"/>
  <c r="F40" i="19"/>
  <c r="F36" i="19"/>
  <c r="F32" i="19"/>
  <c r="F28" i="19"/>
  <c r="F24" i="19"/>
  <c r="F20" i="19"/>
  <c r="F16" i="19"/>
  <c r="F12" i="19"/>
  <c r="F8" i="19"/>
  <c r="F4" i="19"/>
  <c r="F92" i="19"/>
  <c r="F76" i="19"/>
  <c r="F72" i="19"/>
  <c r="F68" i="19"/>
  <c r="G121" i="19"/>
  <c r="G117" i="19"/>
  <c r="G113" i="19"/>
  <c r="G109" i="19"/>
  <c r="G105" i="19"/>
  <c r="G101" i="19"/>
  <c r="G97" i="19"/>
  <c r="G73" i="19"/>
  <c r="G61" i="19"/>
  <c r="G49" i="19"/>
  <c r="G37" i="19"/>
  <c r="E4" i="19"/>
  <c r="F116" i="19"/>
  <c r="F121" i="19"/>
  <c r="F117" i="19"/>
  <c r="F113" i="19"/>
  <c r="F109" i="19"/>
  <c r="F105" i="19"/>
  <c r="F101" i="19"/>
  <c r="F97" i="19"/>
  <c r="F93" i="19"/>
  <c r="F89" i="19"/>
  <c r="F85" i="19"/>
  <c r="F81" i="19"/>
  <c r="F77" i="19"/>
  <c r="F73" i="19"/>
  <c r="F69" i="19"/>
  <c r="F65" i="19"/>
  <c r="F61" i="19"/>
  <c r="F57" i="19"/>
  <c r="F53" i="19"/>
  <c r="F49" i="19"/>
  <c r="F45" i="19"/>
  <c r="F41" i="19"/>
  <c r="F37" i="19"/>
  <c r="F33" i="19"/>
  <c r="F29" i="19"/>
  <c r="F25" i="19"/>
  <c r="F21" i="19"/>
  <c r="F17" i="19"/>
  <c r="F13" i="19"/>
  <c r="F2" i="19"/>
  <c r="G2" i="19"/>
  <c r="E2" i="19"/>
</calcChain>
</file>

<file path=xl/sharedStrings.xml><?xml version="1.0" encoding="utf-8"?>
<sst xmlns="http://schemas.openxmlformats.org/spreadsheetml/2006/main" count="53" uniqueCount="41">
  <si>
    <t>Period (years)</t>
  </si>
  <si>
    <t>Interests Rate</t>
  </si>
  <si>
    <t>Option A</t>
  </si>
  <si>
    <t>Option B</t>
  </si>
  <si>
    <t>Option C</t>
  </si>
  <si>
    <t>Option D</t>
  </si>
  <si>
    <t>-</t>
  </si>
  <si>
    <t>Month. Install.</t>
  </si>
  <si>
    <t>Monthly Installment</t>
  </si>
  <si>
    <t>Interests</t>
  </si>
  <si>
    <t>Future Value</t>
  </si>
  <si>
    <t>Principal</t>
  </si>
  <si>
    <t>Fixed Int. Rate</t>
  </si>
  <si>
    <t>Original Values</t>
  </si>
  <si>
    <t>Date of last payment</t>
  </si>
  <si>
    <t>Payment number</t>
  </si>
  <si>
    <t>Principal returned</t>
  </si>
  <si>
    <t>Payment date</t>
  </si>
  <si>
    <t>Loan amount</t>
  </si>
  <si>
    <t>Payment</t>
  </si>
  <si>
    <r>
      <t xml:space="preserve">Savings plan
</t>
    </r>
    <r>
      <rPr>
        <sz val="11"/>
        <color theme="0"/>
        <rFont val="Calibri"/>
        <family val="2"/>
        <scheme val="minor"/>
      </rPr>
      <t>(with payments at the end of the period)</t>
    </r>
  </si>
  <si>
    <r>
      <t xml:space="preserve">Fixed-rate Mortgage
</t>
    </r>
    <r>
      <rPr>
        <sz val="11"/>
        <color theme="0"/>
        <rFont val="Calibri"/>
        <family val="2"/>
        <scheme val="minor"/>
      </rPr>
      <t>(with payments at the end of the period)</t>
    </r>
  </si>
  <si>
    <t>Mortgage signing date</t>
  </si>
  <si>
    <t>My personal notes:</t>
  </si>
  <si>
    <t>To solve the case we need to:</t>
  </si>
  <si>
    <t>1.</t>
  </si>
  <si>
    <t>Use the Date &amp; Time functions needed to carry out the calculation in cell B9 of the Mortgage worksheet</t>
  </si>
  <si>
    <t>Use the Goal Seek tool on cell B6 of the Mortgage worksheet so to determine the needed value in cell B3</t>
  </si>
  <si>
    <t>2.</t>
  </si>
  <si>
    <t>3.</t>
  </si>
  <si>
    <t>4.</t>
  </si>
  <si>
    <t>5.</t>
  </si>
  <si>
    <t>6.</t>
  </si>
  <si>
    <t>7.</t>
  </si>
  <si>
    <t>Use the Date &amp; Time and Financial functions (IPMT, PPMT) needed to carry out all calculations in columns from B to G of the Repayment plan worksheet</t>
  </si>
  <si>
    <t>Use the PMT function to carry out the calculation in cell B6 of the Mortgage worksheet</t>
  </si>
  <si>
    <t>Use the FV function (and other formulas) to calculate values of cells B5 and B6 of the Investment worksheet</t>
  </si>
  <si>
    <t>Use the Scenario Manager to create the scenarios of 4 options available in the Investment worksheet, showing then a Summary in a new worksheet</t>
  </si>
  <si>
    <t>Lesson 9 - Case 1</t>
  </si>
  <si>
    <t>Assign meaningful names to cells in the range from B2 to B6 of the Investment worksheet</t>
  </si>
  <si>
    <t>Interests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</si>
</sst>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[Red]\-#,##0.00\ &quot;€&quot;"/>
    <numFmt numFmtId="165" formatCode="[$$-409]\ #,##0.00;[Red]\-[$$-409]\ #,##0.00"/>
    <numFmt numFmtId="166" formatCode="#,##0.00\ &quot;€&quot;"/>
    <numFmt numFmtId="167" formatCode="#,##0\ &quot;€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 tint="-0.499984740745262"/>
      <name val="Arial"/>
      <family val="2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/>
      <name val="Calibri"/>
      <family val="2"/>
    </font>
    <font>
      <sz val="18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0" fontId="0" fillId="0" borderId="6" xfId="0" applyNumberFormat="1" applyBorder="1" applyAlignment="1">
      <alignment horizontal="right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4" fontId="0" fillId="0" borderId="6" xfId="0" applyNumberFormat="1" applyBorder="1" applyAlignment="1">
      <alignment horizontal="center" vertical="center"/>
    </xf>
    <xf numFmtId="14" fontId="0" fillId="6" borderId="9" xfId="0" applyNumberForma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167" fontId="0" fillId="0" borderId="6" xfId="0" applyNumberForma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23" xfId="0" applyBorder="1"/>
    <xf numFmtId="14" fontId="0" fillId="0" borderId="23" xfId="0" applyNumberFormat="1" applyBorder="1"/>
    <xf numFmtId="0" fontId="0" fillId="0" borderId="24" xfId="0" applyBorder="1"/>
    <xf numFmtId="167" fontId="1" fillId="6" borderId="14" xfId="0" applyNumberFormat="1" applyFont="1" applyFill="1" applyBorder="1" applyAlignment="1">
      <alignment horizontal="center" vertical="center"/>
    </xf>
    <xf numFmtId="166" fontId="0" fillId="0" borderId="23" xfId="0" applyNumberFormat="1" applyBorder="1"/>
    <xf numFmtId="166" fontId="0" fillId="0" borderId="4" xfId="0" applyNumberFormat="1" applyBorder="1" applyAlignment="1">
      <alignment horizontal="right" vertical="center"/>
    </xf>
    <xf numFmtId="166" fontId="0" fillId="0" borderId="4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167" fontId="7" fillId="0" borderId="6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7" fontId="8" fillId="0" borderId="14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9" fillId="9" borderId="0" xfId="0" applyFont="1" applyFill="1"/>
    <xf numFmtId="0" fontId="9" fillId="0" borderId="0" xfId="0" applyFont="1"/>
    <xf numFmtId="0" fontId="9" fillId="11" borderId="0" xfId="0" applyFont="1" applyFill="1"/>
    <xf numFmtId="0" fontId="9" fillId="11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9" fillId="12" borderId="0" xfId="0" applyFont="1" applyFill="1"/>
    <xf numFmtId="0" fontId="9" fillId="12" borderId="25" xfId="0" applyFont="1" applyFill="1" applyBorder="1"/>
    <xf numFmtId="0" fontId="11" fillId="9" borderId="0" xfId="0" applyFont="1" applyFill="1" applyAlignment="1">
      <alignment horizontal="right" vertical="top"/>
    </xf>
    <xf numFmtId="0" fontId="12" fillId="9" borderId="0" xfId="0" applyFont="1" applyFill="1" applyAlignment="1">
      <alignment horizontal="justify" vertical="top" wrapText="1"/>
    </xf>
    <xf numFmtId="0" fontId="9" fillId="12" borderId="26" xfId="0" applyFont="1" applyFill="1" applyBorder="1"/>
    <xf numFmtId="166" fontId="1" fillId="13" borderId="21" xfId="0" applyNumberFormat="1" applyFont="1" applyFill="1" applyBorder="1" applyAlignment="1">
      <alignment horizontal="right" vertical="center"/>
    </xf>
    <xf numFmtId="166" fontId="1" fillId="13" borderId="9" xfId="0" applyNumberFormat="1" applyFont="1" applyFill="1" applyBorder="1" applyAlignment="1">
      <alignment horizontal="right" vertical="center"/>
    </xf>
    <xf numFmtId="0" fontId="10" fillId="10" borderId="0" xfId="0" applyFont="1" applyFill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EDE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256188</xdr:colOff>
      <xdr:row>6</xdr:row>
      <xdr:rowOff>164224</xdr:rowOff>
    </xdr:from>
    <xdr:to>
      <xdr:col>4</xdr:col>
      <xdr:colOff>694612</xdr:colOff>
      <xdr:row>13</xdr:row>
      <xdr:rowOff>2716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9AB38B-B095-403F-8B2E-AA81F93E3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4688" y="2194034"/>
          <a:ext cx="2019048" cy="1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274321</xdr:colOff>
      <xdr:row>0</xdr:row>
      <xdr:rowOff>675290</xdr:rowOff>
    </xdr:from>
    <xdr:to>
      <xdr:col>10</xdr:col>
      <xdr:colOff>87739</xdr:colOff>
      <xdr:row>15</xdr:row>
      <xdr:rowOff>166686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9A1213-8B15-478F-A5FF-2F7AC9220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7441" y="675290"/>
          <a:ext cx="3425298" cy="338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DB37-5453-4590-92BF-0310992E1E5E}">
  <dimension ref="A1:H12"/>
  <sheetViews>
    <sheetView showGridLines="0" topLeftCell="A5" zoomScaleNormal="100" workbookViewId="0"/>
  </sheetViews>
  <sheetFormatPr defaultColWidth="9.21875" defaultRowHeight="14.4" x14ac:dyDescent="0.3"/>
  <cols>
    <col min="1" max="1" width="3.77734375" style="50" customWidth="1"/>
    <col min="2" max="2" width="4.77734375" style="50" customWidth="1"/>
    <col min="3" max="3" width="82.44140625" style="50" customWidth="1"/>
    <col min="4" max="6" width="3.77734375" style="50" customWidth="1"/>
    <col min="7" max="7" width="58.44140625" style="50" customWidth="1"/>
    <col min="8" max="8" width="3.77734375" style="50" customWidth="1"/>
    <col min="9" max="16384" width="9.21875" style="50"/>
  </cols>
  <sheetData>
    <row r="1" spans="1:8" x14ac:dyDescent="0.3">
      <c r="A1" s="49"/>
      <c r="B1" s="49"/>
      <c r="C1" s="49"/>
      <c r="D1" s="49"/>
    </row>
    <row r="2" spans="1:8" ht="25.5" customHeight="1" x14ac:dyDescent="0.3">
      <c r="A2" s="49"/>
      <c r="B2" s="61" t="s">
        <v>38</v>
      </c>
      <c r="C2" s="61"/>
      <c r="D2" s="49"/>
    </row>
    <row r="3" spans="1:8" ht="21.75" customHeight="1" x14ac:dyDescent="0.3">
      <c r="A3" s="49"/>
      <c r="B3" s="49"/>
      <c r="C3" s="49"/>
      <c r="D3" s="49"/>
      <c r="F3" s="51"/>
      <c r="G3" s="52" t="s">
        <v>23</v>
      </c>
      <c r="H3" s="51"/>
    </row>
    <row r="4" spans="1:8" ht="23.25" customHeight="1" x14ac:dyDescent="0.3">
      <c r="A4" s="49"/>
      <c r="B4" s="53" t="s">
        <v>24</v>
      </c>
      <c r="C4" s="49"/>
      <c r="D4" s="49"/>
      <c r="F4" s="54"/>
      <c r="G4" s="55"/>
      <c r="H4" s="54"/>
    </row>
    <row r="5" spans="1:8" ht="41.25" customHeight="1" x14ac:dyDescent="0.3">
      <c r="A5" s="49"/>
      <c r="B5" s="56" t="s">
        <v>25</v>
      </c>
      <c r="C5" s="57" t="s">
        <v>35</v>
      </c>
      <c r="D5" s="49"/>
      <c r="F5" s="54"/>
      <c r="G5" s="58"/>
      <c r="H5" s="54"/>
    </row>
    <row r="6" spans="1:8" ht="41.25" customHeight="1" x14ac:dyDescent="0.3">
      <c r="A6" s="49"/>
      <c r="B6" s="56" t="s">
        <v>28</v>
      </c>
      <c r="C6" s="57" t="s">
        <v>26</v>
      </c>
      <c r="D6" s="49"/>
      <c r="F6" s="54"/>
      <c r="G6" s="58"/>
      <c r="H6" s="54"/>
    </row>
    <row r="7" spans="1:8" ht="41.25" customHeight="1" x14ac:dyDescent="0.3">
      <c r="A7" s="49"/>
      <c r="B7" s="56" t="s">
        <v>29</v>
      </c>
      <c r="C7" s="57" t="s">
        <v>27</v>
      </c>
      <c r="D7" s="49"/>
      <c r="F7" s="54"/>
      <c r="G7" s="58"/>
      <c r="H7" s="54"/>
    </row>
    <row r="8" spans="1:8" ht="41.25" customHeight="1" x14ac:dyDescent="0.3">
      <c r="A8" s="49"/>
      <c r="B8" s="56" t="s">
        <v>30</v>
      </c>
      <c r="C8" s="57" t="s">
        <v>34</v>
      </c>
      <c r="D8" s="49"/>
      <c r="F8" s="54"/>
      <c r="G8" s="58"/>
      <c r="H8" s="54"/>
    </row>
    <row r="9" spans="1:8" ht="41.25" customHeight="1" x14ac:dyDescent="0.3">
      <c r="A9" s="49"/>
      <c r="B9" s="56" t="s">
        <v>31</v>
      </c>
      <c r="C9" s="57" t="s">
        <v>39</v>
      </c>
      <c r="D9" s="49"/>
      <c r="F9" s="54"/>
      <c r="G9" s="58"/>
      <c r="H9" s="54"/>
    </row>
    <row r="10" spans="1:8" ht="41.25" customHeight="1" x14ac:dyDescent="0.3">
      <c r="A10" s="49"/>
      <c r="B10" s="56" t="s">
        <v>32</v>
      </c>
      <c r="C10" s="57" t="s">
        <v>36</v>
      </c>
      <c r="D10" s="49"/>
      <c r="F10" s="54"/>
      <c r="G10" s="58"/>
      <c r="H10" s="54"/>
    </row>
    <row r="11" spans="1:8" ht="41.25" customHeight="1" x14ac:dyDescent="0.3">
      <c r="A11" s="49"/>
      <c r="B11" s="56" t="s">
        <v>33</v>
      </c>
      <c r="C11" s="57" t="s">
        <v>37</v>
      </c>
      <c r="D11" s="49"/>
      <c r="F11" s="54"/>
      <c r="G11" s="58"/>
      <c r="H11" s="54"/>
    </row>
    <row r="12" spans="1:8" x14ac:dyDescent="0.3">
      <c r="A12" s="49"/>
      <c r="B12" s="49"/>
      <c r="C12" s="49"/>
      <c r="D12" s="49"/>
      <c r="F12" s="54"/>
      <c r="G12" s="54"/>
      <c r="H12" s="54"/>
    </row>
  </sheetData>
  <mergeCells count="1">
    <mergeCell ref="B2:C2"/>
  </mergeCells>
  <pageMargins left="0.7" right="0.7" top="0.75" bottom="0.75" header="0.3" footer="0.3"/>
  <pageSetup paperSize="9" orientation="portrait" r:id="rId1"/>
  <ignoredErrors>
    <ignoredError sqref="B5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E11"/>
  <sheetViews>
    <sheetView zoomScaleNormal="100" workbookViewId="0">
      <selection sqref="A1:B1"/>
    </sheetView>
  </sheetViews>
  <sheetFormatPr defaultColWidth="9.21875" defaultRowHeight="14.4" x14ac:dyDescent="0.3"/>
  <cols>
    <col min="1" max="1" width="23.77734375" style="3" customWidth="1"/>
    <col min="2" max="2" width="15.77734375" style="3" customWidth="1"/>
    <col min="3" max="3" width="10.77734375" style="3" customWidth="1"/>
    <col min="4" max="4" width="23.77734375" style="3" customWidth="1"/>
    <col min="5" max="5" width="15.77734375" style="3" customWidth="1"/>
    <col min="6" max="6" width="10.77734375" style="3" customWidth="1"/>
    <col min="7" max="16384" width="9.21875" style="3"/>
  </cols>
  <sheetData>
    <row r="1" spans="1:5" ht="54" customHeight="1" thickBot="1" x14ac:dyDescent="0.35">
      <c r="A1" s="62" t="s">
        <v>21</v>
      </c>
      <c r="B1" s="63"/>
      <c r="D1" s="64" t="s">
        <v>13</v>
      </c>
      <c r="E1" s="65"/>
    </row>
    <row r="2" spans="1:5" ht="21" customHeight="1" x14ac:dyDescent="0.3">
      <c r="A2" s="14" t="s">
        <v>18</v>
      </c>
      <c r="B2" s="30">
        <v>260000</v>
      </c>
      <c r="D2" s="40" t="s">
        <v>18</v>
      </c>
      <c r="E2" s="43">
        <v>260000</v>
      </c>
    </row>
    <row r="3" spans="1:5" ht="21" customHeight="1" x14ac:dyDescent="0.3">
      <c r="A3" s="15" t="s">
        <v>12</v>
      </c>
      <c r="B3" s="6">
        <v>2.9117417018471949E-2</v>
      </c>
      <c r="D3" s="41" t="s">
        <v>12</v>
      </c>
      <c r="E3" s="44">
        <v>3.2500000000000001E-2</v>
      </c>
    </row>
    <row r="4" spans="1:5" ht="21" customHeight="1" thickBot="1" x14ac:dyDescent="0.35">
      <c r="A4" s="16" t="s">
        <v>0</v>
      </c>
      <c r="B4" s="5">
        <v>10</v>
      </c>
      <c r="D4" s="42" t="s">
        <v>0</v>
      </c>
      <c r="E4" s="45">
        <v>10</v>
      </c>
    </row>
    <row r="5" spans="1:5" ht="21" customHeight="1" thickBot="1" x14ac:dyDescent="0.35"/>
    <row r="6" spans="1:5" ht="21" customHeight="1" thickBot="1" x14ac:dyDescent="0.35">
      <c r="A6" s="47" t="s">
        <v>8</v>
      </c>
      <c r="B6" s="35">
        <f>PMT(B3/12,B4*12,B2,0,0)</f>
        <v>-2500.0008269393061</v>
      </c>
      <c r="D6" s="48" t="s">
        <v>8</v>
      </c>
      <c r="E6" s="46">
        <f>PMT(E3/12,E4*12,E2,0,0)</f>
        <v>-2540.6947530948241</v>
      </c>
    </row>
    <row r="7" spans="1:5" ht="21" customHeight="1" thickBot="1" x14ac:dyDescent="0.35"/>
    <row r="8" spans="1:5" ht="21" customHeight="1" x14ac:dyDescent="0.3">
      <c r="A8" s="14" t="s">
        <v>22</v>
      </c>
      <c r="B8" s="26">
        <v>45748</v>
      </c>
    </row>
    <row r="9" spans="1:5" ht="21" customHeight="1" thickBot="1" x14ac:dyDescent="0.35">
      <c r="A9" s="16" t="s">
        <v>14</v>
      </c>
      <c r="B9" s="27">
        <f>DATE(YEAR(B8)+B4,MONTH(B8),DAY(B8))-1</f>
        <v>49399</v>
      </c>
    </row>
    <row r="11" spans="1:5" x14ac:dyDescent="0.3">
      <c r="B11" s="31"/>
    </row>
  </sheetData>
  <mergeCells count="2">
    <mergeCell ref="A1:B1"/>
    <mergeCell ref="D1:E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C020-4356-48F7-9177-DEBF5DC19325}">
  <sheetPr>
    <tabColor theme="5" tint="-0.249977111117893"/>
  </sheetPr>
  <dimension ref="A1:G121"/>
  <sheetViews>
    <sheetView zoomScaleNormal="100" workbookViewId="0"/>
  </sheetViews>
  <sheetFormatPr defaultRowHeight="14.4" x14ac:dyDescent="0.3"/>
  <cols>
    <col min="1" max="7" width="13.77734375" customWidth="1"/>
  </cols>
  <sheetData>
    <row r="1" spans="1:7" ht="30.75" customHeight="1" x14ac:dyDescent="0.3">
      <c r="A1" s="28" t="s">
        <v>15</v>
      </c>
      <c r="B1" s="28" t="s">
        <v>17</v>
      </c>
      <c r="C1" s="28" t="s">
        <v>9</v>
      </c>
      <c r="D1" s="28" t="s">
        <v>11</v>
      </c>
      <c r="E1" s="29" t="s">
        <v>19</v>
      </c>
      <c r="F1" s="28" t="s">
        <v>40</v>
      </c>
      <c r="G1" s="28" t="s">
        <v>16</v>
      </c>
    </row>
    <row r="2" spans="1:7" x14ac:dyDescent="0.3">
      <c r="A2" s="32">
        <v>1</v>
      </c>
      <c r="B2" s="33">
        <f>DATE(YEAR(Mortgage!B$8),MONTH(Mortgage!B$8)+A2,DAY(Mortgage!B$8))-1</f>
        <v>45777</v>
      </c>
      <c r="C2" s="36">
        <f>IPMT(Mortgage!B$3/12,A2,Mortgage!B$4*12,Mortgage!B$2,0,0)</f>
        <v>-630.87736873355891</v>
      </c>
      <c r="D2" s="36">
        <f>PPMT(Mortgage!B$3/12,A2,Mortgage!B$4*12,Mortgage!B$2,0,0)</f>
        <v>-1869.1234582057473</v>
      </c>
      <c r="E2" s="36">
        <f>C2+D2</f>
        <v>-2500.0008269393061</v>
      </c>
      <c r="F2" s="36">
        <f>SUM(C$2:C2)</f>
        <v>-630.87736873355891</v>
      </c>
      <c r="G2" s="36">
        <f>SUM(D$2:D2)</f>
        <v>-1869.1234582057473</v>
      </c>
    </row>
    <row r="3" spans="1:7" x14ac:dyDescent="0.3">
      <c r="A3" s="34">
        <v>2</v>
      </c>
      <c r="B3" s="33">
        <f>DATE(YEAR(Mortgage!B$8),MONTH(Mortgage!B$8)+A3,DAY(Mortgage!B$8))-1</f>
        <v>45808</v>
      </c>
      <c r="C3" s="36">
        <f>IPMT(Mortgage!B$3/12,A3,Mortgage!B$4*12,Mortgage!B$2,0,0)</f>
        <v>-626.34203146759353</v>
      </c>
      <c r="D3" s="36">
        <f>PPMT(Mortgage!B$3/12,A3,Mortgage!B$4*12,Mortgage!B$2,0,0)</f>
        <v>-1873.6587954717127</v>
      </c>
      <c r="E3" s="36">
        <f t="shared" ref="E3:E66" si="0">C3+D3</f>
        <v>-2500.0008269393061</v>
      </c>
      <c r="F3" s="36">
        <f>SUM(C$2:C3)</f>
        <v>-1257.2194002011524</v>
      </c>
      <c r="G3" s="36">
        <f>SUM(D$2:D3)</f>
        <v>-3742.7822536774602</v>
      </c>
    </row>
    <row r="4" spans="1:7" x14ac:dyDescent="0.3">
      <c r="A4" s="34">
        <v>3</v>
      </c>
      <c r="B4" s="33">
        <f>DATE(YEAR(Mortgage!B$8),MONTH(Mortgage!B$8)+A4,DAY(Mortgage!B$8))-1</f>
        <v>45838</v>
      </c>
      <c r="C4" s="36">
        <f>IPMT(Mortgage!B$3/12,A4,Mortgage!B$4*12,Mortgage!B$2,0,0)</f>
        <v>-621.79568942608705</v>
      </c>
      <c r="D4" s="36">
        <f>PPMT(Mortgage!B$3/12,A4,Mortgage!B$4*12,Mortgage!B$2,0,0)</f>
        <v>-1878.2051375132189</v>
      </c>
      <c r="E4" s="36">
        <f t="shared" si="0"/>
        <v>-2500.0008269393061</v>
      </c>
      <c r="F4" s="36">
        <f>SUM(C$2:C4)</f>
        <v>-1879.0150896272394</v>
      </c>
      <c r="G4" s="36">
        <f>SUM(D$2:D4)</f>
        <v>-5620.9873911906789</v>
      </c>
    </row>
    <row r="5" spans="1:7" x14ac:dyDescent="0.3">
      <c r="A5" s="34">
        <v>4</v>
      </c>
      <c r="B5" s="33">
        <f>DATE(YEAR(Mortgage!B$8),MONTH(Mortgage!B$8)+A5,DAY(Mortgage!B$8))-1</f>
        <v>45869</v>
      </c>
      <c r="C5" s="36">
        <f>IPMT(Mortgage!B$3/12,A5,Mortgage!B$4*12,Mortgage!B$2,0,0)</f>
        <v>-617.23831590648638</v>
      </c>
      <c r="D5" s="36">
        <f>PPMT(Mortgage!B$3/12,A5,Mortgage!B$4*12,Mortgage!B$2,0,0)</f>
        <v>-1882.7625110328197</v>
      </c>
      <c r="E5" s="36">
        <f t="shared" si="0"/>
        <v>-2500.0008269393061</v>
      </c>
      <c r="F5" s="36">
        <f>SUM(C$2:C5)</f>
        <v>-2496.2534055337255</v>
      </c>
      <c r="G5" s="36">
        <f>SUM(D$2:D5)</f>
        <v>-7503.7499022234988</v>
      </c>
    </row>
    <row r="6" spans="1:7" x14ac:dyDescent="0.3">
      <c r="A6" s="34">
        <v>5</v>
      </c>
      <c r="B6" s="33">
        <f>DATE(YEAR(Mortgage!B$8),MONTH(Mortgage!B$8)+A6,DAY(Mortgage!B$8))-1</f>
        <v>45900</v>
      </c>
      <c r="C6" s="36">
        <f>IPMT(Mortgage!B$3/12,A6,Mortgage!B$4*12,Mortgage!B$2,0,0)</f>
        <v>-612.66988414144566</v>
      </c>
      <c r="D6" s="36">
        <f>PPMT(Mortgage!B$3/12,A6,Mortgage!B$4*12,Mortgage!B$2,0,0)</f>
        <v>-1887.3309427978604</v>
      </c>
      <c r="E6" s="36">
        <f t="shared" si="0"/>
        <v>-2500.0008269393061</v>
      </c>
      <c r="F6" s="36">
        <f>SUM(C$2:C6)</f>
        <v>-3108.923289675171</v>
      </c>
      <c r="G6" s="36">
        <f>SUM(D$2:D6)</f>
        <v>-9391.080845021359</v>
      </c>
    </row>
    <row r="7" spans="1:7" x14ac:dyDescent="0.3">
      <c r="A7" s="34">
        <v>6</v>
      </c>
      <c r="B7" s="33">
        <f>DATE(YEAR(Mortgage!B$8),MONTH(Mortgage!B$8)+A7,DAY(Mortgage!B$8))-1</f>
        <v>45930</v>
      </c>
      <c r="C7" s="36">
        <f>IPMT(Mortgage!B$3/12,A7,Mortgage!B$4*12,Mortgage!B$2,0,0)</f>
        <v>-608.09036729866966</v>
      </c>
      <c r="D7" s="36">
        <f>PPMT(Mortgage!B$3/12,A7,Mortgage!B$4*12,Mortgage!B$2,0,0)</f>
        <v>-1891.9104596406362</v>
      </c>
      <c r="E7" s="36">
        <f t="shared" si="0"/>
        <v>-2500.0008269393056</v>
      </c>
      <c r="F7" s="36">
        <f>SUM(C$2:C7)</f>
        <v>-3717.0136569738406</v>
      </c>
      <c r="G7" s="36">
        <f>SUM(D$2:D7)</f>
        <v>-11282.991304661995</v>
      </c>
    </row>
    <row r="8" spans="1:7" x14ac:dyDescent="0.3">
      <c r="A8" s="34">
        <v>7</v>
      </c>
      <c r="B8" s="33">
        <f>DATE(YEAR(Mortgage!B$8),MONTH(Mortgage!B$8)+A8,DAY(Mortgage!B$8))-1</f>
        <v>45961</v>
      </c>
      <c r="C8" s="36">
        <f>IPMT(Mortgage!B$3/12,A8,Mortgage!B$4*12,Mortgage!B$2,0,0)</f>
        <v>-603.49973848075581</v>
      </c>
      <c r="D8" s="36">
        <f>PPMT(Mortgage!B$3/12,A8,Mortgage!B$4*12,Mortgage!B$2,0,0)</f>
        <v>-1896.5010884585502</v>
      </c>
      <c r="E8" s="36">
        <f t="shared" si="0"/>
        <v>-2500.0008269393061</v>
      </c>
      <c r="F8" s="36">
        <f>SUM(C$2:C8)</f>
        <v>-4320.5133954545963</v>
      </c>
      <c r="G8" s="36">
        <f>SUM(D$2:D8)</f>
        <v>-13179.492393120545</v>
      </c>
    </row>
    <row r="9" spans="1:7" x14ac:dyDescent="0.3">
      <c r="A9" s="34">
        <v>8</v>
      </c>
      <c r="B9" s="33">
        <f>DATE(YEAR(Mortgage!B$8),MONTH(Mortgage!B$8)+A9,DAY(Mortgage!B$8))-1</f>
        <v>45991</v>
      </c>
      <c r="C9" s="36">
        <f>IPMT(Mortgage!B$3/12,A9,Mortgage!B$4*12,Mortgage!B$2,0,0)</f>
        <v>-598.89797072503643</v>
      </c>
      <c r="D9" s="36">
        <f>PPMT(Mortgage!B$3/12,A9,Mortgage!B$4*12,Mortgage!B$2,0,0)</f>
        <v>-1901.1028562142697</v>
      </c>
      <c r="E9" s="36">
        <f t="shared" si="0"/>
        <v>-2500.0008269393061</v>
      </c>
      <c r="F9" s="36">
        <f>SUM(C$2:C9)</f>
        <v>-4919.4113661796328</v>
      </c>
      <c r="G9" s="36">
        <f>SUM(D$2:D9)</f>
        <v>-15080.595249334814</v>
      </c>
    </row>
    <row r="10" spans="1:7" x14ac:dyDescent="0.3">
      <c r="A10" s="34">
        <v>9</v>
      </c>
      <c r="B10" s="33">
        <f>DATE(YEAR(Mortgage!B$8),MONTH(Mortgage!B$8)+A10,DAY(Mortgage!B$8))-1</f>
        <v>46022</v>
      </c>
      <c r="C10" s="36">
        <f>IPMT(Mortgage!B$3/12,A10,Mortgage!B$4*12,Mortgage!B$2,0,0)</f>
        <v>-594.28503700342003</v>
      </c>
      <c r="D10" s="36">
        <f>PPMT(Mortgage!B$3/12,A10,Mortgage!B$4*12,Mortgage!B$2,0,0)</f>
        <v>-1905.7157899358863</v>
      </c>
      <c r="E10" s="36">
        <f t="shared" si="0"/>
        <v>-2500.0008269393065</v>
      </c>
      <c r="F10" s="36">
        <f>SUM(C$2:C10)</f>
        <v>-5513.696403183053</v>
      </c>
      <c r="G10" s="36">
        <f>SUM(D$2:D10)</f>
        <v>-16986.311039270702</v>
      </c>
    </row>
    <row r="11" spans="1:7" x14ac:dyDescent="0.3">
      <c r="A11" s="34">
        <v>10</v>
      </c>
      <c r="B11" s="33">
        <f>DATE(YEAR(Mortgage!B$8),MONTH(Mortgage!B$8)+A11,DAY(Mortgage!B$8))-1</f>
        <v>46053</v>
      </c>
      <c r="C11" s="36">
        <f>IPMT(Mortgage!B$3/12,A11,Mortgage!B$4*12,Mortgage!B$2,0,0)</f>
        <v>-589.66091022223247</v>
      </c>
      <c r="D11" s="36">
        <f>PPMT(Mortgage!B$3/12,A11,Mortgage!B$4*12,Mortgage!B$2,0,0)</f>
        <v>-1910.3399167170737</v>
      </c>
      <c r="E11" s="36">
        <f t="shared" si="0"/>
        <v>-2500.0008269393061</v>
      </c>
      <c r="F11" s="36">
        <f>SUM(C$2:C11)</f>
        <v>-6103.3573134052858</v>
      </c>
      <c r="G11" s="36">
        <f>SUM(D$2:D11)</f>
        <v>-18896.650955987774</v>
      </c>
    </row>
    <row r="12" spans="1:7" x14ac:dyDescent="0.3">
      <c r="A12" s="34">
        <v>11</v>
      </c>
      <c r="B12" s="33">
        <f>DATE(YEAR(Mortgage!B$8),MONTH(Mortgage!B$8)+A12,DAY(Mortgage!B$8))-1</f>
        <v>46081</v>
      </c>
      <c r="C12" s="36">
        <f>IPMT(Mortgage!B$3/12,A12,Mortgage!B$4*12,Mortgage!B$2,0,0)</f>
        <v>-585.02556322205874</v>
      </c>
      <c r="D12" s="36">
        <f>PPMT(Mortgage!B$3/12,A12,Mortgage!B$4*12,Mortgage!B$2,0,0)</f>
        <v>-1914.9752637172473</v>
      </c>
      <c r="E12" s="36">
        <f t="shared" si="0"/>
        <v>-2500.0008269393061</v>
      </c>
      <c r="F12" s="36">
        <f>SUM(C$2:C12)</f>
        <v>-6688.3828766273446</v>
      </c>
      <c r="G12" s="36">
        <f>SUM(D$2:D12)</f>
        <v>-20811.62621970502</v>
      </c>
    </row>
    <row r="13" spans="1:7" x14ac:dyDescent="0.3">
      <c r="A13" s="34">
        <v>12</v>
      </c>
      <c r="B13" s="33">
        <f>DATE(YEAR(Mortgage!B$8),MONTH(Mortgage!B$8)+A13,DAY(Mortgage!B$8))-1</f>
        <v>46112</v>
      </c>
      <c r="C13" s="36">
        <f>IPMT(Mortgage!B$3/12,A13,Mortgage!B$4*12,Mortgage!B$2,0,0)</f>
        <v>-580.3789687775826</v>
      </c>
      <c r="D13" s="36">
        <f>PPMT(Mortgage!B$3/12,A13,Mortgage!B$4*12,Mortgage!B$2,0,0)</f>
        <v>-1919.6218581617234</v>
      </c>
      <c r="E13" s="36">
        <f t="shared" si="0"/>
        <v>-2500.0008269393061</v>
      </c>
      <c r="F13" s="36">
        <f>SUM(C$2:C13)</f>
        <v>-7268.761845404927</v>
      </c>
      <c r="G13" s="36">
        <f>SUM(D$2:D13)</f>
        <v>-22731.248077866745</v>
      </c>
    </row>
    <row r="14" spans="1:7" x14ac:dyDescent="0.3">
      <c r="A14" s="34">
        <v>13</v>
      </c>
      <c r="B14" s="33">
        <f>DATE(YEAR(Mortgage!B$8),MONTH(Mortgage!B$8)+A14,DAY(Mortgage!B$8))-1</f>
        <v>46142</v>
      </c>
      <c r="C14" s="36">
        <f>IPMT(Mortgage!B$3/12,A14,Mortgage!B$4*12,Mortgage!B$2,0,0)</f>
        <v>-575.72109959742681</v>
      </c>
      <c r="D14" s="36">
        <f>PPMT(Mortgage!B$3/12,A14,Mortgage!B$4*12,Mortgage!B$2,0,0)</f>
        <v>-1924.2797273418792</v>
      </c>
      <c r="E14" s="36">
        <f t="shared" si="0"/>
        <v>-2500.0008269393061</v>
      </c>
      <c r="F14" s="36">
        <f>SUM(C$2:C14)</f>
        <v>-7844.4829450023535</v>
      </c>
      <c r="G14" s="36">
        <f>SUM(D$2:D14)</f>
        <v>-24655.527805208625</v>
      </c>
    </row>
    <row r="15" spans="1:7" x14ac:dyDescent="0.3">
      <c r="A15" s="34">
        <v>14</v>
      </c>
      <c r="B15" s="33">
        <f>DATE(YEAR(Mortgage!B$8),MONTH(Mortgage!B$8)+A15,DAY(Mortgage!B$8))-1</f>
        <v>46173</v>
      </c>
      <c r="C15" s="36">
        <f>IPMT(Mortgage!B$3/12,A15,Mortgage!B$4*12,Mortgage!B$2,0,0)</f>
        <v>-571.05192832399314</v>
      </c>
      <c r="D15" s="36">
        <f>PPMT(Mortgage!B$3/12,A15,Mortgage!B$4*12,Mortgage!B$2,0,0)</f>
        <v>-1928.9488986153128</v>
      </c>
      <c r="E15" s="36">
        <f t="shared" si="0"/>
        <v>-2500.0008269393061</v>
      </c>
      <c r="F15" s="36">
        <f>SUM(C$2:C15)</f>
        <v>-8415.5348733263472</v>
      </c>
      <c r="G15" s="36">
        <f>SUM(D$2:D15)</f>
        <v>-26584.476703823937</v>
      </c>
    </row>
    <row r="16" spans="1:7" x14ac:dyDescent="0.3">
      <c r="A16" s="34">
        <v>15</v>
      </c>
      <c r="B16" s="33">
        <f>DATE(YEAR(Mortgage!B$8),MONTH(Mortgage!B$8)+A16,DAY(Mortgage!B$8))-1</f>
        <v>46203</v>
      </c>
      <c r="C16" s="36">
        <f>IPMT(Mortgage!B$3/12,A16,Mortgage!B$4*12,Mortgage!B$2,0,0)</f>
        <v>-566.37142753330102</v>
      </c>
      <c r="D16" s="36">
        <f>PPMT(Mortgage!B$3/12,A16,Mortgage!B$4*12,Mortgage!B$2,0,0)</f>
        <v>-1933.6293994060049</v>
      </c>
      <c r="E16" s="36">
        <f t="shared" si="0"/>
        <v>-2500.0008269393061</v>
      </c>
      <c r="F16" s="36">
        <f>SUM(C$2:C16)</f>
        <v>-8981.9063008596477</v>
      </c>
      <c r="G16" s="36">
        <f>SUM(D$2:D16)</f>
        <v>-28518.10610322994</v>
      </c>
    </row>
    <row r="17" spans="1:7" x14ac:dyDescent="0.3">
      <c r="A17" s="34">
        <v>16</v>
      </c>
      <c r="B17" s="33">
        <f>DATE(YEAR(Mortgage!B$8),MONTH(Mortgage!B$8)+A17,DAY(Mortgage!B$8))-1</f>
        <v>46234</v>
      </c>
      <c r="C17" s="36">
        <f>IPMT(Mortgage!B$3/12,A17,Mortgage!B$4*12,Mortgage!B$2,0,0)</f>
        <v>-561.67956973482774</v>
      </c>
      <c r="D17" s="36">
        <f>PPMT(Mortgage!B$3/12,A17,Mortgage!B$4*12,Mortgage!B$2,0,0)</f>
        <v>-1938.3212572044786</v>
      </c>
      <c r="E17" s="36">
        <f t="shared" si="0"/>
        <v>-2500.0008269393065</v>
      </c>
      <c r="F17" s="36">
        <f>SUM(C$2:C17)</f>
        <v>-9543.5858705944756</v>
      </c>
      <c r="G17" s="36">
        <f>SUM(D$2:D17)</f>
        <v>-30456.42736043442</v>
      </c>
    </row>
    <row r="18" spans="1:7" x14ac:dyDescent="0.3">
      <c r="A18" s="34">
        <v>17</v>
      </c>
      <c r="B18" s="33">
        <f>DATE(YEAR(Mortgage!B$8),MONTH(Mortgage!B$8)+A18,DAY(Mortgage!B$8))-1</f>
        <v>46265</v>
      </c>
      <c r="C18" s="36">
        <f>IPMT(Mortgage!B$3/12,A18,Mortgage!B$4*12,Mortgage!B$2,0,0)</f>
        <v>-556.97632737134495</v>
      </c>
      <c r="D18" s="36">
        <f>PPMT(Mortgage!B$3/12,A18,Mortgage!B$4*12,Mortgage!B$2,0,0)</f>
        <v>-1943.0244995679609</v>
      </c>
      <c r="E18" s="36">
        <f t="shared" si="0"/>
        <v>-2500.0008269393056</v>
      </c>
      <c r="F18" s="36">
        <f>SUM(C$2:C18)</f>
        <v>-10100.562197965821</v>
      </c>
      <c r="G18" s="36">
        <f>SUM(D$2:D18)</f>
        <v>-32399.45186000238</v>
      </c>
    </row>
    <row r="19" spans="1:7" x14ac:dyDescent="0.3">
      <c r="A19" s="34">
        <v>18</v>
      </c>
      <c r="B19" s="33">
        <f>DATE(YEAR(Mortgage!B$8),MONTH(Mortgage!B$8)+A19,DAY(Mortgage!B$8))-1</f>
        <v>46295</v>
      </c>
      <c r="C19" s="36">
        <f>IPMT(Mortgage!B$3/12,A19,Mortgage!B$4*12,Mortgage!B$2,0,0)</f>
        <v>-552.26167281875928</v>
      </c>
      <c r="D19" s="36">
        <f>PPMT(Mortgage!B$3/12,A19,Mortgage!B$4*12,Mortgage!B$2,0,0)</f>
        <v>-1947.7391541205468</v>
      </c>
      <c r="E19" s="36">
        <f t="shared" si="0"/>
        <v>-2500.0008269393061</v>
      </c>
      <c r="F19" s="36">
        <f>SUM(C$2:C19)</f>
        <v>-10652.823870784579</v>
      </c>
      <c r="G19" s="36">
        <f>SUM(D$2:D19)</f>
        <v>-34347.191014122924</v>
      </c>
    </row>
    <row r="20" spans="1:7" x14ac:dyDescent="0.3">
      <c r="A20" s="34">
        <v>19</v>
      </c>
      <c r="B20" s="33">
        <f>DATE(YEAR(Mortgage!B$8),MONTH(Mortgage!B$8)+A20,DAY(Mortgage!B$8))-1</f>
        <v>46326</v>
      </c>
      <c r="C20" s="36">
        <f>IPMT(Mortgage!B$3/12,A20,Mortgage!B$4*12,Mortgage!B$2,0,0)</f>
        <v>-547.53557838594816</v>
      </c>
      <c r="D20" s="36">
        <f>PPMT(Mortgage!B$3/12,A20,Mortgage!B$4*12,Mortgage!B$2,0,0)</f>
        <v>-1952.4652485533579</v>
      </c>
      <c r="E20" s="36">
        <f t="shared" si="0"/>
        <v>-2500.0008269393061</v>
      </c>
      <c r="F20" s="36">
        <f>SUM(C$2:C20)</f>
        <v>-11200.359449170528</v>
      </c>
      <c r="G20" s="36">
        <f>SUM(D$2:D20)</f>
        <v>-36299.656262676282</v>
      </c>
    </row>
    <row r="21" spans="1:7" x14ac:dyDescent="0.3">
      <c r="A21" s="34">
        <v>20</v>
      </c>
      <c r="B21" s="33">
        <f>DATE(YEAR(Mortgage!B$8),MONTH(Mortgage!B$8)+A21,DAY(Mortgage!B$8))-1</f>
        <v>46356</v>
      </c>
      <c r="C21" s="36">
        <f>IPMT(Mortgage!B$3/12,A21,Mortgage!B$4*12,Mortgage!B$2,0,0)</f>
        <v>-542.79801631459793</v>
      </c>
      <c r="D21" s="36">
        <f>PPMT(Mortgage!B$3/12,A21,Mortgage!B$4*12,Mortgage!B$2,0,0)</f>
        <v>-1957.2028106247085</v>
      </c>
      <c r="E21" s="36">
        <f t="shared" si="0"/>
        <v>-2500.0008269393065</v>
      </c>
      <c r="F21" s="36">
        <f>SUM(C$2:C21)</f>
        <v>-11743.157465485127</v>
      </c>
      <c r="G21" s="36">
        <f>SUM(D$2:D21)</f>
        <v>-38256.859073300991</v>
      </c>
    </row>
    <row r="22" spans="1:7" x14ac:dyDescent="0.3">
      <c r="A22" s="34">
        <v>21</v>
      </c>
      <c r="B22" s="33">
        <f>DATE(YEAR(Mortgage!B$8),MONTH(Mortgage!B$8)+A22,DAY(Mortgage!B$8))-1</f>
        <v>46387</v>
      </c>
      <c r="C22" s="36">
        <f>IPMT(Mortgage!B$3/12,A22,Mortgage!B$4*12,Mortgage!B$2,0,0)</f>
        <v>-538.04895877904085</v>
      </c>
      <c r="D22" s="36">
        <f>PPMT(Mortgage!B$3/12,A22,Mortgage!B$4*12,Mortgage!B$2,0,0)</f>
        <v>-1961.9518681602651</v>
      </c>
      <c r="E22" s="36">
        <f t="shared" si="0"/>
        <v>-2500.0008269393061</v>
      </c>
      <c r="F22" s="36">
        <f>SUM(C$2:C22)</f>
        <v>-12281.206424264168</v>
      </c>
      <c r="G22" s="36">
        <f>SUM(D$2:D22)</f>
        <v>-40218.810941461255</v>
      </c>
    </row>
    <row r="23" spans="1:7" x14ac:dyDescent="0.3">
      <c r="A23" s="34">
        <v>22</v>
      </c>
      <c r="B23" s="33">
        <f>DATE(YEAR(Mortgage!B$8),MONTH(Mortgage!B$8)+A23,DAY(Mortgage!B$8))-1</f>
        <v>46418</v>
      </c>
      <c r="C23" s="36">
        <f>IPMT(Mortgage!B$3/12,A23,Mortgage!B$4*12,Mortgage!B$2,0,0)</f>
        <v>-533.28837788609144</v>
      </c>
      <c r="D23" s="36">
        <f>PPMT(Mortgage!B$3/12,A23,Mortgage!B$4*12,Mortgage!B$2,0,0)</f>
        <v>-1966.7124490532146</v>
      </c>
      <c r="E23" s="36">
        <f t="shared" si="0"/>
        <v>-2500.0008269393061</v>
      </c>
      <c r="F23" s="36">
        <f>SUM(C$2:C23)</f>
        <v>-12814.494802150261</v>
      </c>
      <c r="G23" s="36">
        <f>SUM(D$2:D23)</f>
        <v>-42185.523390514471</v>
      </c>
    </row>
    <row r="24" spans="1:7" x14ac:dyDescent="0.3">
      <c r="A24" s="34">
        <v>23</v>
      </c>
      <c r="B24" s="33">
        <f>DATE(YEAR(Mortgage!B$8),MONTH(Mortgage!B$8)+A24,DAY(Mortgage!B$8))-1</f>
        <v>46446</v>
      </c>
      <c r="C24" s="36">
        <f>IPMT(Mortgage!B$3/12,A24,Mortgage!B$4*12,Mortgage!B$2,0,0)</f>
        <v>-528.51624567488295</v>
      </c>
      <c r="D24" s="36">
        <f>PPMT(Mortgage!B$3/12,A24,Mortgage!B$4*12,Mortgage!B$2,0,0)</f>
        <v>-1971.4845812644232</v>
      </c>
      <c r="E24" s="36">
        <f t="shared" si="0"/>
        <v>-2500.0008269393061</v>
      </c>
      <c r="F24" s="36">
        <f>SUM(C$2:C24)</f>
        <v>-13343.011047825143</v>
      </c>
      <c r="G24" s="36">
        <f>SUM(D$2:D24)</f>
        <v>-44157.00797177889</v>
      </c>
    </row>
    <row r="25" spans="1:7" x14ac:dyDescent="0.3">
      <c r="A25" s="34">
        <v>24</v>
      </c>
      <c r="B25" s="33">
        <f>DATE(YEAR(Mortgage!B$8),MONTH(Mortgage!B$8)+A25,DAY(Mortgage!B$8))-1</f>
        <v>46477</v>
      </c>
      <c r="C25" s="36">
        <f>IPMT(Mortgage!B$3/12,A25,Mortgage!B$4*12,Mortgage!B$2,0,0)</f>
        <v>-523.73253411670271</v>
      </c>
      <c r="D25" s="36">
        <f>PPMT(Mortgage!B$3/12,A25,Mortgage!B$4*12,Mortgage!B$2,0,0)</f>
        <v>-1976.2682928226034</v>
      </c>
      <c r="E25" s="36">
        <f t="shared" si="0"/>
        <v>-2500.0008269393061</v>
      </c>
      <c r="F25" s="36">
        <f>SUM(C$2:C25)</f>
        <v>-13866.743581941846</v>
      </c>
      <c r="G25" s="36">
        <f>SUM(D$2:D25)</f>
        <v>-46133.276264601496</v>
      </c>
    </row>
    <row r="26" spans="1:7" x14ac:dyDescent="0.3">
      <c r="A26" s="34">
        <v>25</v>
      </c>
      <c r="B26" s="33">
        <f>DATE(YEAR(Mortgage!B$8),MONTH(Mortgage!B$8)+A26,DAY(Mortgage!B$8))-1</f>
        <v>46507</v>
      </c>
      <c r="C26" s="36">
        <f>IPMT(Mortgage!B$3/12,A26,Mortgage!B$4*12,Mortgage!B$2,0,0)</f>
        <v>-518.93721511482772</v>
      </c>
      <c r="D26" s="36">
        <f>PPMT(Mortgage!B$3/12,A26,Mortgage!B$4*12,Mortgage!B$2,0,0)</f>
        <v>-1981.0636118244786</v>
      </c>
      <c r="E26" s="36">
        <f t="shared" si="0"/>
        <v>-2500.0008269393065</v>
      </c>
      <c r="F26" s="36">
        <f>SUM(C$2:C26)</f>
        <v>-14385.680797056673</v>
      </c>
      <c r="G26" s="36">
        <f>SUM(D$2:D26)</f>
        <v>-48114.339876425976</v>
      </c>
    </row>
    <row r="27" spans="1:7" x14ac:dyDescent="0.3">
      <c r="A27" s="34">
        <v>26</v>
      </c>
      <c r="B27" s="33">
        <f>DATE(YEAR(Mortgage!B$8),MONTH(Mortgage!B$8)+A27,DAY(Mortgage!B$8))-1</f>
        <v>46538</v>
      </c>
      <c r="C27" s="36">
        <f>IPMT(Mortgage!B$3/12,A27,Mortgage!B$4*12,Mortgage!B$2,0,0)</f>
        <v>-514.13026050435985</v>
      </c>
      <c r="D27" s="36">
        <f>PPMT(Mortgage!B$3/12,A27,Mortgage!B$4*12,Mortgage!B$2,0,0)</f>
        <v>-1985.8705664349463</v>
      </c>
      <c r="E27" s="36">
        <f t="shared" si="0"/>
        <v>-2500.0008269393061</v>
      </c>
      <c r="F27" s="36">
        <f>SUM(C$2:C27)</f>
        <v>-14899.811057561034</v>
      </c>
      <c r="G27" s="36">
        <f>SUM(D$2:D27)</f>
        <v>-50100.210442860924</v>
      </c>
    </row>
    <row r="28" spans="1:7" x14ac:dyDescent="0.3">
      <c r="A28" s="34">
        <v>27</v>
      </c>
      <c r="B28" s="33">
        <f>DATE(YEAR(Mortgage!B$8),MONTH(Mortgage!B$8)+A28,DAY(Mortgage!B$8))-1</f>
        <v>46568</v>
      </c>
      <c r="C28" s="36">
        <f>IPMT(Mortgage!B$3/12,A28,Mortgage!B$4*12,Mortgage!B$2,0,0)</f>
        <v>-509.31164205206028</v>
      </c>
      <c r="D28" s="36">
        <f>PPMT(Mortgage!B$3/12,A28,Mortgage!B$4*12,Mortgage!B$2,0,0)</f>
        <v>-1990.6891848872458</v>
      </c>
      <c r="E28" s="36">
        <f t="shared" si="0"/>
        <v>-2500.0008269393061</v>
      </c>
      <c r="F28" s="36">
        <f>SUM(C$2:C28)</f>
        <v>-15409.122699613094</v>
      </c>
      <c r="G28" s="36">
        <f>SUM(D$2:D28)</f>
        <v>-52090.899627748171</v>
      </c>
    </row>
    <row r="29" spans="1:7" x14ac:dyDescent="0.3">
      <c r="A29" s="34">
        <v>28</v>
      </c>
      <c r="B29" s="33">
        <f>DATE(YEAR(Mortgage!B$8),MONTH(Mortgage!B$8)+A29,DAY(Mortgage!B$8))-1</f>
        <v>46599</v>
      </c>
      <c r="C29" s="36">
        <f>IPMT(Mortgage!B$3/12,A29,Mortgage!B$4*12,Mortgage!B$2,0,0)</f>
        <v>-504.48133145618328</v>
      </c>
      <c r="D29" s="36">
        <f>PPMT(Mortgage!B$3/12,A29,Mortgage!B$4*12,Mortgage!B$2,0,0)</f>
        <v>-1995.5194954831227</v>
      </c>
      <c r="E29" s="36">
        <f t="shared" si="0"/>
        <v>-2500.0008269393061</v>
      </c>
      <c r="F29" s="36">
        <f>SUM(C$2:C29)</f>
        <v>-15913.604031069277</v>
      </c>
      <c r="G29" s="36">
        <f>SUM(D$2:D29)</f>
        <v>-54086.419123231295</v>
      </c>
    </row>
    <row r="30" spans="1:7" x14ac:dyDescent="0.3">
      <c r="A30" s="34">
        <v>29</v>
      </c>
      <c r="B30" s="33">
        <f>DATE(YEAR(Mortgage!B$8),MONTH(Mortgage!B$8)+A30,DAY(Mortgage!B$8))-1</f>
        <v>46630</v>
      </c>
      <c r="C30" s="36">
        <f>IPMT(Mortgage!B$3/12,A30,Mortgage!B$4*12,Mortgage!B$2,0,0)</f>
        <v>-499.63930034631051</v>
      </c>
      <c r="D30" s="36">
        <f>PPMT(Mortgage!B$3/12,A30,Mortgage!B$4*12,Mortgage!B$2,0,0)</f>
        <v>-2000.3615265929957</v>
      </c>
      <c r="E30" s="36">
        <f t="shared" si="0"/>
        <v>-2500.0008269393061</v>
      </c>
      <c r="F30" s="36">
        <f>SUM(C$2:C30)</f>
        <v>-16413.243331415586</v>
      </c>
      <c r="G30" s="36">
        <f>SUM(D$2:D30)</f>
        <v>-56086.780649824294</v>
      </c>
    </row>
    <row r="31" spans="1:7" x14ac:dyDescent="0.3">
      <c r="A31" s="34">
        <v>30</v>
      </c>
      <c r="B31" s="33">
        <f>DATE(YEAR(Mortgage!B$8),MONTH(Mortgage!B$8)+A31,DAY(Mortgage!B$8))-1</f>
        <v>46660</v>
      </c>
      <c r="C31" s="36">
        <f>IPMT(Mortgage!B$3/12,A31,Mortgage!B$4*12,Mortgage!B$2,0,0)</f>
        <v>-494.78552028318427</v>
      </c>
      <c r="D31" s="36">
        <f>PPMT(Mortgage!B$3/12,A31,Mortgage!B$4*12,Mortgage!B$2,0,0)</f>
        <v>-2005.215306656122</v>
      </c>
      <c r="E31" s="36">
        <f t="shared" si="0"/>
        <v>-2500.0008269393065</v>
      </c>
      <c r="F31" s="36">
        <f>SUM(C$2:C31)</f>
        <v>-16908.028851698771</v>
      </c>
      <c r="G31" s="36">
        <f>SUM(D$2:D31)</f>
        <v>-58091.995956480416</v>
      </c>
    </row>
    <row r="32" spans="1:7" x14ac:dyDescent="0.3">
      <c r="A32" s="34">
        <v>31</v>
      </c>
      <c r="B32" s="33">
        <f>DATE(YEAR(Mortgage!B$8),MONTH(Mortgage!B$8)+A32,DAY(Mortgage!B$8))-1</f>
        <v>46691</v>
      </c>
      <c r="C32" s="36">
        <f>IPMT(Mortgage!B$3/12,A32,Mortgage!B$4*12,Mortgage!B$2,0,0)</f>
        <v>-489.91996275854012</v>
      </c>
      <c r="D32" s="36">
        <f>PPMT(Mortgage!B$3/12,A32,Mortgage!B$4*12,Mortgage!B$2,0,0)</f>
        <v>-2010.080864180766</v>
      </c>
      <c r="E32" s="36">
        <f t="shared" si="0"/>
        <v>-2500.0008269393061</v>
      </c>
      <c r="F32" s="36">
        <f>SUM(C$2:C32)</f>
        <v>-17397.948814457312</v>
      </c>
      <c r="G32" s="36">
        <f>SUM(D$2:D32)</f>
        <v>-60102.076820661183</v>
      </c>
    </row>
    <row r="33" spans="1:7" x14ac:dyDescent="0.3">
      <c r="A33" s="34">
        <v>32</v>
      </c>
      <c r="B33" s="33">
        <f>DATE(YEAR(Mortgage!B$8),MONTH(Mortgage!B$8)+A33,DAY(Mortgage!B$8))-1</f>
        <v>46721</v>
      </c>
      <c r="C33" s="36">
        <f>IPMT(Mortgage!B$3/12,A33,Mortgage!B$4*12,Mortgage!B$2,0,0)</f>
        <v>-485.04259919494001</v>
      </c>
      <c r="D33" s="36">
        <f>PPMT(Mortgage!B$3/12,A33,Mortgage!B$4*12,Mortgage!B$2,0,0)</f>
        <v>-2014.9582277443662</v>
      </c>
      <c r="E33" s="36">
        <f t="shared" si="0"/>
        <v>-2500.0008269393061</v>
      </c>
      <c r="F33" s="36">
        <f>SUM(C$2:C33)</f>
        <v>-17882.991413652253</v>
      </c>
      <c r="G33" s="36">
        <f>SUM(D$2:D33)</f>
        <v>-62117.035048405553</v>
      </c>
    </row>
    <row r="34" spans="1:7" x14ac:dyDescent="0.3">
      <c r="A34" s="34">
        <v>33</v>
      </c>
      <c r="B34" s="33">
        <f>DATE(YEAR(Mortgage!B$8),MONTH(Mortgage!B$8)+A34,DAY(Mortgage!B$8))-1</f>
        <v>46752</v>
      </c>
      <c r="C34" s="36">
        <f>IPMT(Mortgage!B$3/12,A34,Mortgage!B$4*12,Mortgage!B$2,0,0)</f>
        <v>-480.15340094560372</v>
      </c>
      <c r="D34" s="36">
        <f>PPMT(Mortgage!B$3/12,A34,Mortgage!B$4*12,Mortgage!B$2,0,0)</f>
        <v>-2019.8474259937022</v>
      </c>
      <c r="E34" s="36">
        <f t="shared" si="0"/>
        <v>-2500.0008269393061</v>
      </c>
      <c r="F34" s="36">
        <f>SUM(C$2:C34)</f>
        <v>-18363.144814597857</v>
      </c>
      <c r="G34" s="36">
        <f>SUM(D$2:D34)</f>
        <v>-64136.882474399252</v>
      </c>
    </row>
    <row r="35" spans="1:7" x14ac:dyDescent="0.3">
      <c r="A35" s="34">
        <v>34</v>
      </c>
      <c r="B35" s="33">
        <f>DATE(YEAR(Mortgage!B$8),MONTH(Mortgage!B$8)+A35,DAY(Mortgage!B$8))-1</f>
        <v>46783</v>
      </c>
      <c r="C35" s="36">
        <f>IPMT(Mortgage!B$3/12,A35,Mortgage!B$4*12,Mortgage!B$2,0,0)</f>
        <v>-475.25233929424172</v>
      </c>
      <c r="D35" s="36">
        <f>PPMT(Mortgage!B$3/12,A35,Mortgage!B$4*12,Mortgage!B$2,0,0)</f>
        <v>-2024.7484876450646</v>
      </c>
      <c r="E35" s="36">
        <f t="shared" si="0"/>
        <v>-2500.0008269393065</v>
      </c>
      <c r="F35" s="36">
        <f>SUM(C$2:C35)</f>
        <v>-18838.3971538921</v>
      </c>
      <c r="G35" s="36">
        <f>SUM(D$2:D35)</f>
        <v>-66161.630962044321</v>
      </c>
    </row>
    <row r="36" spans="1:7" x14ac:dyDescent="0.3">
      <c r="A36" s="34">
        <v>35</v>
      </c>
      <c r="B36" s="33">
        <f>DATE(YEAR(Mortgage!B$8),MONTH(Mortgage!B$8)+A36,DAY(Mortgage!B$8))-1</f>
        <v>46812</v>
      </c>
      <c r="C36" s="36">
        <f>IPMT(Mortgage!B$3/12,A36,Mortgage!B$4*12,Mortgage!B$2,0,0)</f>
        <v>-470.3393854548849</v>
      </c>
      <c r="D36" s="36">
        <f>PPMT(Mortgage!B$3/12,A36,Mortgage!B$4*12,Mortgage!B$2,0,0)</f>
        <v>-2029.6614414844214</v>
      </c>
      <c r="E36" s="36">
        <f t="shared" si="0"/>
        <v>-2500.0008269393065</v>
      </c>
      <c r="F36" s="36">
        <f>SUM(C$2:C36)</f>
        <v>-19308.736539346985</v>
      </c>
      <c r="G36" s="36">
        <f>SUM(D$2:D36)</f>
        <v>-68191.292403528743</v>
      </c>
    </row>
    <row r="37" spans="1:7" x14ac:dyDescent="0.3">
      <c r="A37" s="34">
        <v>36</v>
      </c>
      <c r="B37" s="33">
        <f>DATE(YEAR(Mortgage!B$8),MONTH(Mortgage!B$8)+A37,DAY(Mortgage!B$8))-1</f>
        <v>46843</v>
      </c>
      <c r="C37" s="36">
        <f>IPMT(Mortgage!B$3/12,A37,Mortgage!B$4*12,Mortgage!B$2,0,0)</f>
        <v>-465.4145105717169</v>
      </c>
      <c r="D37" s="36">
        <f>PPMT(Mortgage!B$3/12,A37,Mortgage!B$4*12,Mortgage!B$2,0,0)</f>
        <v>-2034.5863163675892</v>
      </c>
      <c r="E37" s="36">
        <f t="shared" si="0"/>
        <v>-2500.0008269393061</v>
      </c>
      <c r="F37" s="36">
        <f>SUM(C$2:C37)</f>
        <v>-19774.151049918702</v>
      </c>
      <c r="G37" s="36">
        <f>SUM(D$2:D37)</f>
        <v>-70225.878719896325</v>
      </c>
    </row>
    <row r="38" spans="1:7" x14ac:dyDescent="0.3">
      <c r="A38" s="34">
        <v>37</v>
      </c>
      <c r="B38" s="33">
        <f>DATE(YEAR(Mortgage!B$8),MONTH(Mortgage!B$8)+A38,DAY(Mortgage!B$8))-1</f>
        <v>46873</v>
      </c>
      <c r="C38" s="36">
        <f>IPMT(Mortgage!B$3/12,A38,Mortgage!B$4*12,Mortgage!B$2,0,0)</f>
        <v>-460.47768571890424</v>
      </c>
      <c r="D38" s="36">
        <f>PPMT(Mortgage!B$3/12,A38,Mortgage!B$4*12,Mortgage!B$2,0,0)</f>
        <v>-2039.5231412204018</v>
      </c>
      <c r="E38" s="36">
        <f t="shared" si="0"/>
        <v>-2500.0008269393061</v>
      </c>
      <c r="F38" s="36">
        <f>SUM(C$2:C38)</f>
        <v>-20234.628735637605</v>
      </c>
      <c r="G38" s="36">
        <f>SUM(D$2:D38)</f>
        <v>-72265.401861116727</v>
      </c>
    </row>
    <row r="39" spans="1:7" x14ac:dyDescent="0.3">
      <c r="A39" s="34">
        <v>38</v>
      </c>
      <c r="B39" s="33">
        <f>DATE(YEAR(Mortgage!B$8),MONTH(Mortgage!B$8)+A39,DAY(Mortgage!B$8))-1</f>
        <v>46904</v>
      </c>
      <c r="C39" s="36">
        <f>IPMT(Mortgage!B$3/12,A39,Mortgage!B$4*12,Mortgage!B$2,0,0)</f>
        <v>-455.52888190042609</v>
      </c>
      <c r="D39" s="36">
        <f>PPMT(Mortgage!B$3/12,A39,Mortgage!B$4*12,Mortgage!B$2,0,0)</f>
        <v>-2044.4719450388802</v>
      </c>
      <c r="E39" s="36">
        <f t="shared" si="0"/>
        <v>-2500.0008269393065</v>
      </c>
      <c r="F39" s="36">
        <f>SUM(C$2:C39)</f>
        <v>-20690.157617538032</v>
      </c>
      <c r="G39" s="36">
        <f>SUM(D$2:D39)</f>
        <v>-74309.873806155607</v>
      </c>
    </row>
    <row r="40" spans="1:7" x14ac:dyDescent="0.3">
      <c r="A40" s="34">
        <v>39</v>
      </c>
      <c r="B40" s="33">
        <f>DATE(YEAR(Mortgage!B$8),MONTH(Mortgage!B$8)+A40,DAY(Mortgage!B$8))-1</f>
        <v>46934</v>
      </c>
      <c r="C40" s="36">
        <f>IPMT(Mortgage!B$3/12,A40,Mortgage!B$4*12,Mortgage!B$2,0,0)</f>
        <v>-450.56807004990407</v>
      </c>
      <c r="D40" s="36">
        <f>PPMT(Mortgage!B$3/12,A40,Mortgage!B$4*12,Mortgage!B$2,0,0)</f>
        <v>-2049.4327568894023</v>
      </c>
      <c r="E40" s="36">
        <f t="shared" si="0"/>
        <v>-2500.0008269393065</v>
      </c>
      <c r="F40" s="36">
        <f>SUM(C$2:C40)</f>
        <v>-21140.725687587936</v>
      </c>
      <c r="G40" s="36">
        <f>SUM(D$2:D40)</f>
        <v>-76359.306563045015</v>
      </c>
    </row>
    <row r="41" spans="1:7" x14ac:dyDescent="0.3">
      <c r="A41" s="34">
        <v>40</v>
      </c>
      <c r="B41" s="33">
        <f>DATE(YEAR(Mortgage!B$8),MONTH(Mortgage!B$8)+A41,DAY(Mortgage!B$8))-1</f>
        <v>46965</v>
      </c>
      <c r="C41" s="36">
        <f>IPMT(Mortgage!B$3/12,A41,Mortgage!B$4*12,Mortgage!B$2,0,0)</f>
        <v>-445.59522103043201</v>
      </c>
      <c r="D41" s="36">
        <f>PPMT(Mortgage!B$3/12,A41,Mortgage!B$4*12,Mortgage!B$2,0,0)</f>
        <v>-2054.4056059088743</v>
      </c>
      <c r="E41" s="36">
        <f t="shared" si="0"/>
        <v>-2500.0008269393065</v>
      </c>
      <c r="F41" s="36">
        <f>SUM(C$2:C41)</f>
        <v>-21586.320908618367</v>
      </c>
      <c r="G41" s="36">
        <f>SUM(D$2:D41)</f>
        <v>-78413.712168953891</v>
      </c>
    </row>
    <row r="42" spans="1:7" x14ac:dyDescent="0.3">
      <c r="A42" s="34">
        <v>41</v>
      </c>
      <c r="B42" s="33">
        <f>DATE(YEAR(Mortgage!B$8),MONTH(Mortgage!B$8)+A42,DAY(Mortgage!B$8))-1</f>
        <v>46996</v>
      </c>
      <c r="C42" s="36">
        <f>IPMT(Mortgage!B$3/12,A42,Mortgage!B$4*12,Mortgage!B$2,0,0)</f>
        <v>-440.61030563440403</v>
      </c>
      <c r="D42" s="36">
        <f>PPMT(Mortgage!B$3/12,A42,Mortgage!B$4*12,Mortgage!B$2,0,0)</f>
        <v>-2059.390521304902</v>
      </c>
      <c r="E42" s="36">
        <f t="shared" si="0"/>
        <v>-2500.0008269393061</v>
      </c>
      <c r="F42" s="36">
        <f>SUM(C$2:C42)</f>
        <v>-22026.931214252771</v>
      </c>
      <c r="G42" s="36">
        <f>SUM(D$2:D42)</f>
        <v>-80473.102690258791</v>
      </c>
    </row>
    <row r="43" spans="1:7" x14ac:dyDescent="0.3">
      <c r="A43" s="34">
        <v>42</v>
      </c>
      <c r="B43" s="33">
        <f>DATE(YEAR(Mortgage!B$8),MONTH(Mortgage!B$8)+A43,DAY(Mortgage!B$8))-1</f>
        <v>47026</v>
      </c>
      <c r="C43" s="36">
        <f>IPMT(Mortgage!B$3/12,A43,Mortgage!B$4*12,Mortgage!B$2,0,0)</f>
        <v>-435.61329458334382</v>
      </c>
      <c r="D43" s="36">
        <f>PPMT(Mortgage!B$3/12,A43,Mortgage!B$4*12,Mortgage!B$2,0,0)</f>
        <v>-2064.3875323559623</v>
      </c>
      <c r="E43" s="36">
        <f t="shared" si="0"/>
        <v>-2500.0008269393061</v>
      </c>
      <c r="F43" s="36">
        <f>SUM(C$2:C43)</f>
        <v>-22462.544508836116</v>
      </c>
      <c r="G43" s="36">
        <f>SUM(D$2:D43)</f>
        <v>-82537.490222614753</v>
      </c>
    </row>
    <row r="44" spans="1:7" x14ac:dyDescent="0.3">
      <c r="A44" s="34">
        <v>43</v>
      </c>
      <c r="B44" s="33">
        <f>DATE(YEAR(Mortgage!B$8),MONTH(Mortgage!B$8)+A44,DAY(Mortgage!B$8))-1</f>
        <v>47057</v>
      </c>
      <c r="C44" s="36">
        <f>IPMT(Mortgage!B$3/12,A44,Mortgage!B$4*12,Mortgage!B$2,0,0)</f>
        <v>-430.6041585277319</v>
      </c>
      <c r="D44" s="36">
        <f>PPMT(Mortgage!B$3/12,A44,Mortgage!B$4*12,Mortgage!B$2,0,0)</f>
        <v>-2069.3966684115744</v>
      </c>
      <c r="E44" s="36">
        <f t="shared" si="0"/>
        <v>-2500.0008269393065</v>
      </c>
      <c r="F44" s="36">
        <f>SUM(C$2:C44)</f>
        <v>-22893.148667363846</v>
      </c>
      <c r="G44" s="36">
        <f>SUM(D$2:D44)</f>
        <v>-84606.886891026326</v>
      </c>
    </row>
    <row r="45" spans="1:7" x14ac:dyDescent="0.3">
      <c r="A45" s="34">
        <v>44</v>
      </c>
      <c r="B45" s="33">
        <f>DATE(YEAR(Mortgage!B$8),MONTH(Mortgage!B$8)+A45,DAY(Mortgage!B$8))-1</f>
        <v>47087</v>
      </c>
      <c r="C45" s="36">
        <f>IPMT(Mortgage!B$3/12,A45,Mortgage!B$4*12,Mortgage!B$2,0,0)</f>
        <v>-425.58286804683394</v>
      </c>
      <c r="D45" s="36">
        <f>PPMT(Mortgage!B$3/12,A45,Mortgage!B$4*12,Mortgage!B$2,0,0)</f>
        <v>-2074.4179588924721</v>
      </c>
      <c r="E45" s="36">
        <f t="shared" si="0"/>
        <v>-2500.0008269393061</v>
      </c>
      <c r="F45" s="36">
        <f>SUM(C$2:C45)</f>
        <v>-23318.731535410679</v>
      </c>
      <c r="G45" s="36">
        <f>SUM(D$2:D45)</f>
        <v>-86681.304849918801</v>
      </c>
    </row>
    <row r="46" spans="1:7" x14ac:dyDescent="0.3">
      <c r="A46" s="34">
        <v>45</v>
      </c>
      <c r="B46" s="33">
        <f>DATE(YEAR(Mortgage!B$8),MONTH(Mortgage!B$8)+A46,DAY(Mortgage!B$8))-1</f>
        <v>47118</v>
      </c>
      <c r="C46" s="36">
        <f>IPMT(Mortgage!B$3/12,A46,Mortgage!B$4*12,Mortgage!B$2,0,0)</f>
        <v>-420.5493936485272</v>
      </c>
      <c r="D46" s="36">
        <f>PPMT(Mortgage!B$3/12,A46,Mortgage!B$4*12,Mortgage!B$2,0,0)</f>
        <v>-2079.4514332907788</v>
      </c>
      <c r="E46" s="36">
        <f t="shared" si="0"/>
        <v>-2500.0008269393061</v>
      </c>
      <c r="F46" s="36">
        <f>SUM(C$2:C46)</f>
        <v>-23739.280929059205</v>
      </c>
      <c r="G46" s="36">
        <f>SUM(D$2:D46)</f>
        <v>-88760.756283209586</v>
      </c>
    </row>
    <row r="47" spans="1:7" x14ac:dyDescent="0.3">
      <c r="A47" s="34">
        <v>46</v>
      </c>
      <c r="B47" s="33">
        <f>DATE(YEAR(Mortgage!B$8),MONTH(Mortgage!B$8)+A47,DAY(Mortgage!B$8))-1</f>
        <v>47149</v>
      </c>
      <c r="C47" s="36">
        <f>IPMT(Mortgage!B$3/12,A47,Mortgage!B$4*12,Mortgage!B$2,0,0)</f>
        <v>-415.50370576912837</v>
      </c>
      <c r="D47" s="36">
        <f>PPMT(Mortgage!B$3/12,A47,Mortgage!B$4*12,Mortgage!B$2,0,0)</f>
        <v>-2084.4971211701777</v>
      </c>
      <c r="E47" s="36">
        <f t="shared" si="0"/>
        <v>-2500.0008269393061</v>
      </c>
      <c r="F47" s="36">
        <f>SUM(C$2:C47)</f>
        <v>-24154.784634828335</v>
      </c>
      <c r="G47" s="36">
        <f>SUM(D$2:D47)</f>
        <v>-90845.253404379764</v>
      </c>
    </row>
    <row r="48" spans="1:7" x14ac:dyDescent="0.3">
      <c r="A48" s="34">
        <v>47</v>
      </c>
      <c r="B48" s="33">
        <f>DATE(YEAR(Mortgage!B$8),MONTH(Mortgage!B$8)+A48,DAY(Mortgage!B$8))-1</f>
        <v>47177</v>
      </c>
      <c r="C48" s="36">
        <f>IPMT(Mortgage!B$3/12,A48,Mortgage!B$4*12,Mortgage!B$2,0,0)</f>
        <v>-410.44577477321866</v>
      </c>
      <c r="D48" s="36">
        <f>PPMT(Mortgage!B$3/12,A48,Mortgage!B$4*12,Mortgage!B$2,0,0)</f>
        <v>-2089.5550521660875</v>
      </c>
      <c r="E48" s="36">
        <f t="shared" si="0"/>
        <v>-2500.0008269393061</v>
      </c>
      <c r="F48" s="36">
        <f>SUM(C$2:C48)</f>
        <v>-24565.230409601554</v>
      </c>
      <c r="G48" s="36">
        <f>SUM(D$2:D48)</f>
        <v>-92934.808456545856</v>
      </c>
    </row>
    <row r="49" spans="1:7" x14ac:dyDescent="0.3">
      <c r="A49" s="34">
        <v>48</v>
      </c>
      <c r="B49" s="33">
        <f>DATE(YEAR(Mortgage!B$8),MONTH(Mortgage!B$8)+A49,DAY(Mortgage!B$8))-1</f>
        <v>47208</v>
      </c>
      <c r="C49" s="36">
        <f>IPMT(Mortgage!B$3/12,A49,Mortgage!B$4*12,Mortgage!B$2,0,0)</f>
        <v>-405.37557095347074</v>
      </c>
      <c r="D49" s="36">
        <f>PPMT(Mortgage!B$3/12,A49,Mortgage!B$4*12,Mortgage!B$2,0,0)</f>
        <v>-2094.6252559858353</v>
      </c>
      <c r="E49" s="36">
        <f t="shared" si="0"/>
        <v>-2500.0008269393061</v>
      </c>
      <c r="F49" s="36">
        <f>SUM(C$2:C49)</f>
        <v>-24970.605980555025</v>
      </c>
      <c r="G49" s="36">
        <f>SUM(D$2:D49)</f>
        <v>-95029.433712531696</v>
      </c>
    </row>
    <row r="50" spans="1:7" x14ac:dyDescent="0.3">
      <c r="A50" s="34">
        <v>49</v>
      </c>
      <c r="B50" s="33">
        <f>DATE(YEAR(Mortgage!B$8),MONTH(Mortgage!B$8)+A50,DAY(Mortgage!B$8))-1</f>
        <v>47238</v>
      </c>
      <c r="C50" s="36">
        <f>IPMT(Mortgage!B$3/12,A50,Mortgage!B$4*12,Mortgage!B$2,0,0)</f>
        <v>-400.29306453047394</v>
      </c>
      <c r="D50" s="36">
        <f>PPMT(Mortgage!B$3/12,A50,Mortgage!B$4*12,Mortgage!B$2,0,0)</f>
        <v>-2099.707762408832</v>
      </c>
      <c r="E50" s="36">
        <f t="shared" si="0"/>
        <v>-2500.0008269393061</v>
      </c>
      <c r="F50" s="36">
        <f>SUM(C$2:C50)</f>
        <v>-25370.899045085498</v>
      </c>
      <c r="G50" s="36">
        <f>SUM(D$2:D50)</f>
        <v>-97129.141474940523</v>
      </c>
    </row>
    <row r="51" spans="1:7" x14ac:dyDescent="0.3">
      <c r="A51" s="34">
        <v>50</v>
      </c>
      <c r="B51" s="33">
        <f>DATE(YEAR(Mortgage!B$8),MONTH(Mortgage!B$8)+A51,DAY(Mortgage!B$8))-1</f>
        <v>47269</v>
      </c>
      <c r="C51" s="36">
        <f>IPMT(Mortgage!B$3/12,A51,Mortgage!B$4*12,Mortgage!B$2,0,0)</f>
        <v>-395.19822565255885</v>
      </c>
      <c r="D51" s="36">
        <f>PPMT(Mortgage!B$3/12,A51,Mortgage!B$4*12,Mortgage!B$2,0,0)</f>
        <v>-2104.8026012867472</v>
      </c>
      <c r="E51" s="36">
        <f t="shared" si="0"/>
        <v>-2500.0008269393061</v>
      </c>
      <c r="F51" s="36">
        <f>SUM(C$2:C51)</f>
        <v>-25766.097270738057</v>
      </c>
      <c r="G51" s="36">
        <f>SUM(D$2:D51)</f>
        <v>-99233.944076227272</v>
      </c>
    </row>
    <row r="52" spans="1:7" x14ac:dyDescent="0.3">
      <c r="A52" s="34">
        <v>51</v>
      </c>
      <c r="B52" s="33">
        <f>DATE(YEAR(Mortgage!B$8),MONTH(Mortgage!B$8)+A52,DAY(Mortgage!B$8))-1</f>
        <v>47299</v>
      </c>
      <c r="C52" s="36">
        <f>IPMT(Mortgage!B$3/12,A52,Mortgage!B$4*12,Mortgage!B$2,0,0)</f>
        <v>-390.09102439562287</v>
      </c>
      <c r="D52" s="36">
        <f>PPMT(Mortgage!B$3/12,A52,Mortgage!B$4*12,Mortgage!B$2,0,0)</f>
        <v>-2109.9098025436829</v>
      </c>
      <c r="E52" s="36">
        <f t="shared" si="0"/>
        <v>-2500.0008269393056</v>
      </c>
      <c r="F52" s="36">
        <f>SUM(C$2:C52)</f>
        <v>-26156.188295133681</v>
      </c>
      <c r="G52" s="36">
        <f>SUM(D$2:D52)</f>
        <v>-101343.85387877095</v>
      </c>
    </row>
    <row r="53" spans="1:7" x14ac:dyDescent="0.3">
      <c r="A53" s="34">
        <v>52</v>
      </c>
      <c r="B53" s="33">
        <f>DATE(YEAR(Mortgage!B$8),MONTH(Mortgage!B$8)+A53,DAY(Mortgage!B$8))-1</f>
        <v>47330</v>
      </c>
      <c r="C53" s="36">
        <f>IPMT(Mortgage!B$3/12,A53,Mortgage!B$4*12,Mortgage!B$2,0,0)</f>
        <v>-384.97143076295407</v>
      </c>
      <c r="D53" s="36">
        <f>PPMT(Mortgage!B$3/12,A53,Mortgage!B$4*12,Mortgage!B$2,0,0)</f>
        <v>-2115.0293961763518</v>
      </c>
      <c r="E53" s="36">
        <f t="shared" si="0"/>
        <v>-2500.0008269393061</v>
      </c>
      <c r="F53" s="36">
        <f>SUM(C$2:C53)</f>
        <v>-26541.159725896636</v>
      </c>
      <c r="G53" s="36">
        <f>SUM(D$2:D53)</f>
        <v>-103458.88327494731</v>
      </c>
    </row>
    <row r="54" spans="1:7" x14ac:dyDescent="0.3">
      <c r="A54" s="34">
        <v>53</v>
      </c>
      <c r="B54" s="33">
        <f>DATE(YEAR(Mortgage!B$8),MONTH(Mortgage!B$8)+A54,DAY(Mortgage!B$8))-1</f>
        <v>47361</v>
      </c>
      <c r="C54" s="36">
        <f>IPMT(Mortgage!B$3/12,A54,Mortgage!B$4*12,Mortgage!B$2,0,0)</f>
        <v>-379.83941468505458</v>
      </c>
      <c r="D54" s="36">
        <f>PPMT(Mortgage!B$3/12,A54,Mortgage!B$4*12,Mortgage!B$2,0,0)</f>
        <v>-2120.1614122542514</v>
      </c>
      <c r="E54" s="36">
        <f t="shared" si="0"/>
        <v>-2500.0008269393061</v>
      </c>
      <c r="F54" s="36">
        <f>SUM(C$2:C54)</f>
        <v>-26920.999140581691</v>
      </c>
      <c r="G54" s="36">
        <f>SUM(D$2:D54)</f>
        <v>-105579.04468720156</v>
      </c>
    </row>
    <row r="55" spans="1:7" x14ac:dyDescent="0.3">
      <c r="A55" s="34">
        <v>54</v>
      </c>
      <c r="B55" s="33">
        <f>DATE(YEAR(Mortgage!B$8),MONTH(Mortgage!B$8)+A55,DAY(Mortgage!B$8))-1</f>
        <v>47391</v>
      </c>
      <c r="C55" s="36">
        <f>IPMT(Mortgage!B$3/12,A55,Mortgage!B$4*12,Mortgage!B$2,0,0)</f>
        <v>-374.69494601946462</v>
      </c>
      <c r="D55" s="36">
        <f>PPMT(Mortgage!B$3/12,A55,Mortgage!B$4*12,Mortgage!B$2,0,0)</f>
        <v>-2125.3058809198415</v>
      </c>
      <c r="E55" s="36">
        <f t="shared" si="0"/>
        <v>-2500.0008269393061</v>
      </c>
      <c r="F55" s="36">
        <f>SUM(C$2:C55)</f>
        <v>-27295.694086601157</v>
      </c>
      <c r="G55" s="36">
        <f>SUM(D$2:D55)</f>
        <v>-107704.3505681214</v>
      </c>
    </row>
    <row r="56" spans="1:7" x14ac:dyDescent="0.3">
      <c r="A56" s="34">
        <v>55</v>
      </c>
      <c r="B56" s="33">
        <f>DATE(YEAR(Mortgage!B$8),MONTH(Mortgage!B$8)+A56,DAY(Mortgage!B$8))-1</f>
        <v>47422</v>
      </c>
      <c r="C56" s="36">
        <f>IPMT(Mortgage!B$3/12,A56,Mortgage!B$4*12,Mortgage!B$2,0,0)</f>
        <v>-369.53799455058515</v>
      </c>
      <c r="D56" s="36">
        <f>PPMT(Mortgage!B$3/12,A56,Mortgage!B$4*12,Mortgage!B$2,0,0)</f>
        <v>-2130.4628323887214</v>
      </c>
      <c r="E56" s="36">
        <f t="shared" si="0"/>
        <v>-2500.0008269393065</v>
      </c>
      <c r="F56" s="36">
        <f>SUM(C$2:C56)</f>
        <v>-27665.232081151742</v>
      </c>
      <c r="G56" s="36">
        <f>SUM(D$2:D56)</f>
        <v>-109834.81340051012</v>
      </c>
    </row>
    <row r="57" spans="1:7" x14ac:dyDescent="0.3">
      <c r="A57" s="34">
        <v>56</v>
      </c>
      <c r="B57" s="33">
        <f>DATE(YEAR(Mortgage!B$8),MONTH(Mortgage!B$8)+A57,DAY(Mortgage!B$8))-1</f>
        <v>47452</v>
      </c>
      <c r="C57" s="36">
        <f>IPMT(Mortgage!B$3/12,A57,Mortgage!B$4*12,Mortgage!B$2,0,0)</f>
        <v>-364.3685299895003</v>
      </c>
      <c r="D57" s="36">
        <f>PPMT(Mortgage!B$3/12,A57,Mortgage!B$4*12,Mortgage!B$2,0,0)</f>
        <v>-2135.6322969498055</v>
      </c>
      <c r="E57" s="36">
        <f t="shared" si="0"/>
        <v>-2500.0008269393056</v>
      </c>
      <c r="F57" s="36">
        <f>SUM(C$2:C57)</f>
        <v>-28029.600611141243</v>
      </c>
      <c r="G57" s="36">
        <f>SUM(D$2:D57)</f>
        <v>-111970.44569745992</v>
      </c>
    </row>
    <row r="58" spans="1:7" x14ac:dyDescent="0.3">
      <c r="A58" s="34">
        <v>57</v>
      </c>
      <c r="B58" s="33">
        <f>DATE(YEAR(Mortgage!B$8),MONTH(Mortgage!B$8)+A58,DAY(Mortgage!B$8))-1</f>
        <v>47483</v>
      </c>
      <c r="C58" s="36">
        <f>IPMT(Mortgage!B$3/12,A58,Mortgage!B$4*12,Mortgage!B$2,0,0)</f>
        <v>-359.18652197379993</v>
      </c>
      <c r="D58" s="36">
        <f>PPMT(Mortgage!B$3/12,A58,Mortgage!B$4*12,Mortgage!B$2,0,0)</f>
        <v>-2140.8143049655059</v>
      </c>
      <c r="E58" s="36">
        <f t="shared" si="0"/>
        <v>-2500.0008269393056</v>
      </c>
      <c r="F58" s="36">
        <f>SUM(C$2:C58)</f>
        <v>-28388.787133115042</v>
      </c>
      <c r="G58" s="36">
        <f>SUM(D$2:D58)</f>
        <v>-114111.26000242542</v>
      </c>
    </row>
    <row r="59" spans="1:7" x14ac:dyDescent="0.3">
      <c r="A59" s="34">
        <v>58</v>
      </c>
      <c r="B59" s="33">
        <f>DATE(YEAR(Mortgage!B$8),MONTH(Mortgage!B$8)+A59,DAY(Mortgage!B$8))-1</f>
        <v>47514</v>
      </c>
      <c r="C59" s="36">
        <f>IPMT(Mortgage!B$3/12,A59,Mortgage!B$4*12,Mortgage!B$2,0,0)</f>
        <v>-353.99194006740072</v>
      </c>
      <c r="D59" s="36">
        <f>PPMT(Mortgage!B$3/12,A59,Mortgage!B$4*12,Mortgage!B$2,0,0)</f>
        <v>-2146.0088868719054</v>
      </c>
      <c r="E59" s="36">
        <f t="shared" si="0"/>
        <v>-2500.0008269393061</v>
      </c>
      <c r="F59" s="36">
        <f>SUM(C$2:C59)</f>
        <v>-28742.779073182443</v>
      </c>
      <c r="G59" s="36">
        <f>SUM(D$2:D59)</f>
        <v>-116257.26888929732</v>
      </c>
    </row>
    <row r="60" spans="1:7" x14ac:dyDescent="0.3">
      <c r="A60" s="34">
        <v>59</v>
      </c>
      <c r="B60" s="33">
        <f>DATE(YEAR(Mortgage!B$8),MONTH(Mortgage!B$8)+A60,DAY(Mortgage!B$8))-1</f>
        <v>47542</v>
      </c>
      <c r="C60" s="36">
        <f>IPMT(Mortgage!B$3/12,A60,Mortgage!B$4*12,Mortgage!B$2,0,0)</f>
        <v>-348.78475376036778</v>
      </c>
      <c r="D60" s="36">
        <f>PPMT(Mortgage!B$3/12,A60,Mortgage!B$4*12,Mortgage!B$2,0,0)</f>
        <v>-2151.2160731789386</v>
      </c>
      <c r="E60" s="36">
        <f t="shared" si="0"/>
        <v>-2500.0008269393065</v>
      </c>
      <c r="F60" s="36">
        <f>SUM(C$2:C60)</f>
        <v>-29091.563826942809</v>
      </c>
      <c r="G60" s="36">
        <f>SUM(D$2:D60)</f>
        <v>-118408.48496247626</v>
      </c>
    </row>
    <row r="61" spans="1:7" x14ac:dyDescent="0.3">
      <c r="A61" s="34">
        <v>60</v>
      </c>
      <c r="B61" s="33">
        <f>DATE(YEAR(Mortgage!B$8),MONTH(Mortgage!B$8)+A61,DAY(Mortgage!B$8))-1</f>
        <v>47573</v>
      </c>
      <c r="C61" s="36">
        <f>IPMT(Mortgage!B$3/12,A61,Mortgage!B$4*12,Mortgage!B$2,0,0)</f>
        <v>-343.56493246873521</v>
      </c>
      <c r="D61" s="36">
        <f>PPMT(Mortgage!B$3/12,A61,Mortgage!B$4*12,Mortgage!B$2,0,0)</f>
        <v>-2156.4358944705709</v>
      </c>
      <c r="E61" s="36">
        <f t="shared" si="0"/>
        <v>-2500.0008269393061</v>
      </c>
      <c r="F61" s="36">
        <f>SUM(C$2:C61)</f>
        <v>-29435.128759411546</v>
      </c>
      <c r="G61" s="36">
        <f>SUM(D$2:D61)</f>
        <v>-120564.92085694683</v>
      </c>
    </row>
    <row r="62" spans="1:7" x14ac:dyDescent="0.3">
      <c r="A62" s="34">
        <v>61</v>
      </c>
      <c r="B62" s="33">
        <f>DATE(YEAR(Mortgage!B$8),MONTH(Mortgage!B$8)+A62,DAY(Mortgage!B$8))-1</f>
        <v>47603</v>
      </c>
      <c r="C62" s="36">
        <f>IPMT(Mortgage!B$3/12,A62,Mortgage!B$4*12,Mortgage!B$2,0,0)</f>
        <v>-338.33244553432667</v>
      </c>
      <c r="D62" s="36">
        <f>PPMT(Mortgage!B$3/12,A62,Mortgage!B$4*12,Mortgage!B$2,0,0)</f>
        <v>-2161.6683814049793</v>
      </c>
      <c r="E62" s="36">
        <f t="shared" si="0"/>
        <v>-2500.0008269393061</v>
      </c>
      <c r="F62" s="36">
        <f>SUM(C$2:C62)</f>
        <v>-29773.461204945874</v>
      </c>
      <c r="G62" s="36">
        <f>SUM(D$2:D62)</f>
        <v>-122726.58923835181</v>
      </c>
    </row>
    <row r="63" spans="1:7" x14ac:dyDescent="0.3">
      <c r="A63" s="34">
        <v>62</v>
      </c>
      <c r="B63" s="33">
        <f>DATE(YEAR(Mortgage!B$8),MONTH(Mortgage!B$8)+A63,DAY(Mortgage!B$8))-1</f>
        <v>47634</v>
      </c>
      <c r="C63" s="36">
        <f>IPMT(Mortgage!B$3/12,A63,Mortgage!B$4*12,Mortgage!B$2,0,0)</f>
        <v>-333.08726222457551</v>
      </c>
      <c r="D63" s="36">
        <f>PPMT(Mortgage!B$3/12,A63,Mortgage!B$4*12,Mortgage!B$2,0,0)</f>
        <v>-2166.9135647147305</v>
      </c>
      <c r="E63" s="36">
        <f t="shared" si="0"/>
        <v>-2500.0008269393061</v>
      </c>
      <c r="F63" s="36">
        <f>SUM(C$2:C63)</f>
        <v>-30106.548467170451</v>
      </c>
      <c r="G63" s="36">
        <f>SUM(D$2:D63)</f>
        <v>-124893.50280306654</v>
      </c>
    </row>
    <row r="64" spans="1:7" x14ac:dyDescent="0.3">
      <c r="A64" s="34">
        <v>63</v>
      </c>
      <c r="B64" s="33">
        <f>DATE(YEAR(Mortgage!B$8),MONTH(Mortgage!B$8)+A64,DAY(Mortgage!B$8))-1</f>
        <v>47664</v>
      </c>
      <c r="C64" s="36">
        <f>IPMT(Mortgage!B$3/12,A64,Mortgage!B$4*12,Mortgage!B$2,0,0)</f>
        <v>-327.8293517323437</v>
      </c>
      <c r="D64" s="36">
        <f>PPMT(Mortgage!B$3/12,A64,Mortgage!B$4*12,Mortgage!B$2,0,0)</f>
        <v>-2172.1714752069624</v>
      </c>
      <c r="E64" s="36">
        <f t="shared" si="0"/>
        <v>-2500.0008269393061</v>
      </c>
      <c r="F64" s="36">
        <f>SUM(C$2:C64)</f>
        <v>-30434.377818902794</v>
      </c>
      <c r="G64" s="36">
        <f>SUM(D$2:D64)</f>
        <v>-127065.67427827351</v>
      </c>
    </row>
    <row r="65" spans="1:7" x14ac:dyDescent="0.3">
      <c r="A65" s="34">
        <v>64</v>
      </c>
      <c r="B65" s="33">
        <f>DATE(YEAR(Mortgage!B$8),MONTH(Mortgage!B$8)+A65,DAY(Mortgage!B$8))-1</f>
        <v>47695</v>
      </c>
      <c r="C65" s="36">
        <f>IPMT(Mortgage!B$3/12,A65,Mortgage!B$4*12,Mortgage!B$2,0,0)</f>
        <v>-322.55868317574112</v>
      </c>
      <c r="D65" s="36">
        <f>PPMT(Mortgage!B$3/12,A65,Mortgage!B$4*12,Mortgage!B$2,0,0)</f>
        <v>-2177.4421437635651</v>
      </c>
      <c r="E65" s="36">
        <f t="shared" si="0"/>
        <v>-2500.0008269393061</v>
      </c>
      <c r="F65" s="36">
        <f>SUM(C$2:C65)</f>
        <v>-30756.936502078537</v>
      </c>
      <c r="G65" s="36">
        <f>SUM(D$2:D65)</f>
        <v>-129243.11642203707</v>
      </c>
    </row>
    <row r="66" spans="1:7" x14ac:dyDescent="0.3">
      <c r="A66" s="34">
        <v>65</v>
      </c>
      <c r="B66" s="33">
        <f>DATE(YEAR(Mortgage!B$8),MONTH(Mortgage!B$8)+A66,DAY(Mortgage!B$8))-1</f>
        <v>47726</v>
      </c>
      <c r="C66" s="36">
        <f>IPMT(Mortgage!B$3/12,A66,Mortgage!B$4*12,Mortgage!B$2,0,0)</f>
        <v>-317.27522559794454</v>
      </c>
      <c r="D66" s="36">
        <f>PPMT(Mortgage!B$3/12,A66,Mortgage!B$4*12,Mortgage!B$2,0,0)</f>
        <v>-2182.7256013413617</v>
      </c>
      <c r="E66" s="36">
        <f t="shared" si="0"/>
        <v>-2500.0008269393061</v>
      </c>
      <c r="F66" s="36">
        <f>SUM(C$2:C66)</f>
        <v>-31074.21172767648</v>
      </c>
      <c r="G66" s="36">
        <f>SUM(D$2:D66)</f>
        <v>-131425.84202337844</v>
      </c>
    </row>
    <row r="67" spans="1:7" x14ac:dyDescent="0.3">
      <c r="A67" s="34">
        <v>66</v>
      </c>
      <c r="B67" s="33">
        <f>DATE(YEAR(Mortgage!B$8),MONTH(Mortgage!B$8)+A67,DAY(Mortgage!B$8))-1</f>
        <v>47756</v>
      </c>
      <c r="C67" s="36">
        <f>IPMT(Mortgage!B$3/12,A67,Mortgage!B$4*12,Mortgage!B$2,0,0)</f>
        <v>-311.97894796701524</v>
      </c>
      <c r="D67" s="36">
        <f>PPMT(Mortgage!B$3/12,A67,Mortgage!B$4*12,Mortgage!B$2,0,0)</f>
        <v>-2188.0218789722908</v>
      </c>
      <c r="E67" s="36">
        <f t="shared" ref="E67:E121" si="1">C67+D67</f>
        <v>-2500.0008269393061</v>
      </c>
      <c r="F67" s="36">
        <f>SUM(C$2:C67)</f>
        <v>-31386.190675643495</v>
      </c>
      <c r="G67" s="36">
        <f>SUM(D$2:D67)</f>
        <v>-133613.86390235074</v>
      </c>
    </row>
    <row r="68" spans="1:7" x14ac:dyDescent="0.3">
      <c r="A68" s="34">
        <v>67</v>
      </c>
      <c r="B68" s="33">
        <f>DATE(YEAR(Mortgage!B$8),MONTH(Mortgage!B$8)+A68,DAY(Mortgage!B$8))-1</f>
        <v>47787</v>
      </c>
      <c r="C68" s="36">
        <f>IPMT(Mortgage!B$3/12,A68,Mortgage!B$4*12,Mortgage!B$2,0,0)</f>
        <v>-306.66981917571718</v>
      </c>
      <c r="D68" s="36">
        <f>PPMT(Mortgage!B$3/12,A68,Mortgage!B$4*12,Mortgage!B$2,0,0)</f>
        <v>-2193.3310077635892</v>
      </c>
      <c r="E68" s="36">
        <f t="shared" si="1"/>
        <v>-2500.0008269393065</v>
      </c>
      <c r="F68" s="36">
        <f>SUM(C$2:C68)</f>
        <v>-31692.860494819211</v>
      </c>
      <c r="G68" s="36">
        <f>SUM(D$2:D68)</f>
        <v>-135807.19491011434</v>
      </c>
    </row>
    <row r="69" spans="1:7" x14ac:dyDescent="0.3">
      <c r="A69" s="34">
        <v>68</v>
      </c>
      <c r="B69" s="33">
        <f>DATE(YEAR(Mortgage!B$8),MONTH(Mortgage!B$8)+A69,DAY(Mortgage!B$8))-1</f>
        <v>47817</v>
      </c>
      <c r="C69" s="36">
        <f>IPMT(Mortgage!B$3/12,A69,Mortgage!B$4*12,Mortgage!B$2,0,0)</f>
        <v>-301.34780804133402</v>
      </c>
      <c r="D69" s="36">
        <f>PPMT(Mortgage!B$3/12,A69,Mortgage!B$4*12,Mortgage!B$2,0,0)</f>
        <v>-2198.6530188979723</v>
      </c>
      <c r="E69" s="36">
        <f t="shared" si="1"/>
        <v>-2500.0008269393065</v>
      </c>
      <c r="F69" s="36">
        <f>SUM(C$2:C69)</f>
        <v>-31994.208302860545</v>
      </c>
      <c r="G69" s="36">
        <f>SUM(D$2:D69)</f>
        <v>-138005.84792901232</v>
      </c>
    </row>
    <row r="70" spans="1:7" x14ac:dyDescent="0.3">
      <c r="A70" s="34">
        <v>69</v>
      </c>
      <c r="B70" s="33">
        <f>DATE(YEAR(Mortgage!B$8),MONTH(Mortgage!B$8)+A70,DAY(Mortgage!B$8))-1</f>
        <v>47848</v>
      </c>
      <c r="C70" s="36">
        <f>IPMT(Mortgage!B$3/12,A70,Mortgage!B$4*12,Mortgage!B$2,0,0)</f>
        <v>-296.01288330548618</v>
      </c>
      <c r="D70" s="36">
        <f>PPMT(Mortgage!B$3/12,A70,Mortgage!B$4*12,Mortgage!B$2,0,0)</f>
        <v>-2203.9879436338197</v>
      </c>
      <c r="E70" s="36">
        <f t="shared" si="1"/>
        <v>-2500.0008269393056</v>
      </c>
      <c r="F70" s="36">
        <f>SUM(C$2:C70)</f>
        <v>-32290.221186166033</v>
      </c>
      <c r="G70" s="36">
        <f>SUM(D$2:D70)</f>
        <v>-140209.83587264613</v>
      </c>
    </row>
    <row r="71" spans="1:7" x14ac:dyDescent="0.3">
      <c r="A71" s="34">
        <v>70</v>
      </c>
      <c r="B71" s="33">
        <f>DATE(YEAR(Mortgage!B$8),MONTH(Mortgage!B$8)+A71,DAY(Mortgage!B$8))-1</f>
        <v>47879</v>
      </c>
      <c r="C71" s="36">
        <f>IPMT(Mortgage!B$3/12,A71,Mortgage!B$4*12,Mortgage!B$2,0,0)</f>
        <v>-290.6650136339469</v>
      </c>
      <c r="D71" s="36">
        <f>PPMT(Mortgage!B$3/12,A71,Mortgage!B$4*12,Mortgage!B$2,0,0)</f>
        <v>-2209.3358133053594</v>
      </c>
      <c r="E71" s="36">
        <f t="shared" si="1"/>
        <v>-2500.0008269393061</v>
      </c>
      <c r="F71" s="36">
        <f>SUM(C$2:C71)</f>
        <v>-32580.886199799981</v>
      </c>
      <c r="G71" s="36">
        <f>SUM(D$2:D71)</f>
        <v>-142419.1716859515</v>
      </c>
    </row>
    <row r="72" spans="1:7" x14ac:dyDescent="0.3">
      <c r="A72" s="34">
        <v>71</v>
      </c>
      <c r="B72" s="33">
        <f>DATE(YEAR(Mortgage!B$8),MONTH(Mortgage!B$8)+A72,DAY(Mortgage!B$8))-1</f>
        <v>47907</v>
      </c>
      <c r="C72" s="36">
        <f>IPMT(Mortgage!B$3/12,A72,Mortgage!B$4*12,Mortgage!B$2,0,0)</f>
        <v>-285.30416761645893</v>
      </c>
      <c r="D72" s="36">
        <f>PPMT(Mortgage!B$3/12,A72,Mortgage!B$4*12,Mortgage!B$2,0,0)</f>
        <v>-2214.6966593228472</v>
      </c>
      <c r="E72" s="36">
        <f t="shared" si="1"/>
        <v>-2500.0008269393061</v>
      </c>
      <c r="F72" s="36">
        <f>SUM(C$2:C72)</f>
        <v>-32866.190367416442</v>
      </c>
      <c r="G72" s="36">
        <f>SUM(D$2:D72)</f>
        <v>-144633.86834527436</v>
      </c>
    </row>
    <row r="73" spans="1:7" x14ac:dyDescent="0.3">
      <c r="A73" s="34">
        <v>72</v>
      </c>
      <c r="B73" s="33">
        <f>DATE(YEAR(Mortgage!B$8),MONTH(Mortgage!B$8)+A73,DAY(Mortgage!B$8))-1</f>
        <v>47938</v>
      </c>
      <c r="C73" s="36">
        <f>IPMT(Mortgage!B$3/12,A73,Mortgage!B$4*12,Mortgage!B$2,0,0)</f>
        <v>-279.93031376654886</v>
      </c>
      <c r="D73" s="36">
        <f>PPMT(Mortgage!B$3/12,A73,Mortgage!B$4*12,Mortgage!B$2,0,0)</f>
        <v>-2220.0705131727573</v>
      </c>
      <c r="E73" s="36">
        <f t="shared" si="1"/>
        <v>-2500.0008269393061</v>
      </c>
      <c r="F73" s="36">
        <f>SUM(C$2:C73)</f>
        <v>-33146.120681182991</v>
      </c>
      <c r="G73" s="36">
        <f>SUM(D$2:D73)</f>
        <v>-146853.9388584471</v>
      </c>
    </row>
    <row r="74" spans="1:7" x14ac:dyDescent="0.3">
      <c r="A74" s="34">
        <v>73</v>
      </c>
      <c r="B74" s="33">
        <f>DATE(YEAR(Mortgage!B$8),MONTH(Mortgage!B$8)+A74,DAY(Mortgage!B$8))-1</f>
        <v>47968</v>
      </c>
      <c r="C74" s="36">
        <f>IPMT(Mortgage!B$3/12,A74,Mortgage!B$4*12,Mortgage!B$2,0,0)</f>
        <v>-274.54342052134359</v>
      </c>
      <c r="D74" s="36">
        <f>PPMT(Mortgage!B$3/12,A74,Mortgage!B$4*12,Mortgage!B$2,0,0)</f>
        <v>-2225.4574064179628</v>
      </c>
      <c r="E74" s="36">
        <f t="shared" si="1"/>
        <v>-2500.0008269393065</v>
      </c>
      <c r="F74" s="36">
        <f>SUM(C$2:C74)</f>
        <v>-33420.664101704337</v>
      </c>
      <c r="G74" s="36">
        <f>SUM(D$2:D74)</f>
        <v>-149079.39626486506</v>
      </c>
    </row>
    <row r="75" spans="1:7" x14ac:dyDescent="0.3">
      <c r="A75" s="34">
        <v>74</v>
      </c>
      <c r="B75" s="33">
        <f>DATE(YEAR(Mortgage!B$8),MONTH(Mortgage!B$8)+A75,DAY(Mortgage!B$8))-1</f>
        <v>47999</v>
      </c>
      <c r="C75" s="36">
        <f>IPMT(Mortgage!B$3/12,A75,Mortgage!B$4*12,Mortgage!B$2,0,0)</f>
        <v>-269.14345624138366</v>
      </c>
      <c r="D75" s="36">
        <f>PPMT(Mortgage!B$3/12,A75,Mortgage!B$4*12,Mortgage!B$2,0,0)</f>
        <v>-2230.8573706979228</v>
      </c>
      <c r="E75" s="36">
        <f t="shared" si="1"/>
        <v>-2500.0008269393065</v>
      </c>
      <c r="F75" s="36">
        <f>SUM(C$2:C75)</f>
        <v>-33689.807557945722</v>
      </c>
      <c r="G75" s="36">
        <f>SUM(D$2:D75)</f>
        <v>-151310.25363556299</v>
      </c>
    </row>
    <row r="76" spans="1:7" x14ac:dyDescent="0.3">
      <c r="A76" s="34">
        <v>75</v>
      </c>
      <c r="B76" s="33">
        <f>DATE(YEAR(Mortgage!B$8),MONTH(Mortgage!B$8)+A76,DAY(Mortgage!B$8))-1</f>
        <v>48029</v>
      </c>
      <c r="C76" s="36">
        <f>IPMT(Mortgage!B$3/12,A76,Mortgage!B$4*12,Mortgage!B$2,0,0)</f>
        <v>-263.73038921043837</v>
      </c>
      <c r="D76" s="36">
        <f>PPMT(Mortgage!B$3/12,A76,Mortgage!B$4*12,Mortgage!B$2,0,0)</f>
        <v>-2236.2704377288678</v>
      </c>
      <c r="E76" s="36">
        <f t="shared" si="1"/>
        <v>-2500.0008269393061</v>
      </c>
      <c r="F76" s="36">
        <f>SUM(C$2:C76)</f>
        <v>-33953.537947156161</v>
      </c>
      <c r="G76" s="36">
        <f>SUM(D$2:D76)</f>
        <v>-153546.52407329186</v>
      </c>
    </row>
    <row r="77" spans="1:7" x14ac:dyDescent="0.3">
      <c r="A77" s="34">
        <v>76</v>
      </c>
      <c r="B77" s="33">
        <f>DATE(YEAR(Mortgage!B$8),MONTH(Mortgage!B$8)+A77,DAY(Mortgage!B$8))-1</f>
        <v>48060</v>
      </c>
      <c r="C77" s="36">
        <f>IPMT(Mortgage!B$3/12,A77,Mortgage!B$4*12,Mortgage!B$2,0,0)</f>
        <v>-258.30418763531901</v>
      </c>
      <c r="D77" s="36">
        <f>PPMT(Mortgage!B$3/12,A77,Mortgage!B$4*12,Mortgage!B$2,0,0)</f>
        <v>-2241.696639303987</v>
      </c>
      <c r="E77" s="36">
        <f t="shared" si="1"/>
        <v>-2500.0008269393061</v>
      </c>
      <c r="F77" s="36">
        <f>SUM(C$2:C77)</f>
        <v>-34211.842134791477</v>
      </c>
      <c r="G77" s="36">
        <f>SUM(D$2:D77)</f>
        <v>-155788.22071259585</v>
      </c>
    </row>
    <row r="78" spans="1:7" x14ac:dyDescent="0.3">
      <c r="A78" s="34">
        <v>77</v>
      </c>
      <c r="B78" s="33">
        <f>DATE(YEAR(Mortgage!B$8),MONTH(Mortgage!B$8)+A78,DAY(Mortgage!B$8))-1</f>
        <v>48091</v>
      </c>
      <c r="C78" s="36">
        <f>IPMT(Mortgage!B$3/12,A78,Mortgage!B$4*12,Mortgage!B$2,0,0)</f>
        <v>-252.86481964569219</v>
      </c>
      <c r="D78" s="36">
        <f>PPMT(Mortgage!B$3/12,A78,Mortgage!B$4*12,Mortgage!B$2,0,0)</f>
        <v>-2247.1360072936141</v>
      </c>
      <c r="E78" s="36">
        <f t="shared" si="1"/>
        <v>-2500.0008269393061</v>
      </c>
      <c r="F78" s="36">
        <f>SUM(C$2:C78)</f>
        <v>-34464.70695443717</v>
      </c>
      <c r="G78" s="36">
        <f>SUM(D$2:D78)</f>
        <v>-158035.35671988947</v>
      </c>
    </row>
    <row r="79" spans="1:7" x14ac:dyDescent="0.3">
      <c r="A79" s="34">
        <v>78</v>
      </c>
      <c r="B79" s="33">
        <f>DATE(YEAR(Mortgage!B$8),MONTH(Mortgage!B$8)+A79,DAY(Mortgage!B$8))-1</f>
        <v>48121</v>
      </c>
      <c r="C79" s="36">
        <f>IPMT(Mortgage!B$3/12,A79,Mortgage!B$4*12,Mortgage!B$2,0,0)</f>
        <v>-247.41225329389292</v>
      </c>
      <c r="D79" s="36">
        <f>PPMT(Mortgage!B$3/12,A79,Mortgage!B$4*12,Mortgage!B$2,0,0)</f>
        <v>-2252.5885736454129</v>
      </c>
      <c r="E79" s="36">
        <f t="shared" si="1"/>
        <v>-2500.0008269393056</v>
      </c>
      <c r="F79" s="36">
        <f>SUM(C$2:C79)</f>
        <v>-34712.119207731062</v>
      </c>
      <c r="G79" s="36">
        <f>SUM(D$2:D79)</f>
        <v>-160287.9452935349</v>
      </c>
    </row>
    <row r="80" spans="1:7" x14ac:dyDescent="0.3">
      <c r="A80" s="34">
        <v>79</v>
      </c>
      <c r="B80" s="33">
        <f>DATE(YEAR(Mortgage!B$8),MONTH(Mortgage!B$8)+A80,DAY(Mortgage!B$8))-1</f>
        <v>48152</v>
      </c>
      <c r="C80" s="36">
        <f>IPMT(Mortgage!B$3/12,A80,Mortgage!B$4*12,Mortgage!B$2,0,0)</f>
        <v>-241.94645655473636</v>
      </c>
      <c r="D80" s="36">
        <f>PPMT(Mortgage!B$3/12,A80,Mortgage!B$4*12,Mortgage!B$2,0,0)</f>
        <v>-2258.0543703845697</v>
      </c>
      <c r="E80" s="36">
        <f t="shared" si="1"/>
        <v>-2500.0008269393061</v>
      </c>
      <c r="F80" s="36">
        <f>SUM(C$2:C80)</f>
        <v>-34954.065664285801</v>
      </c>
      <c r="G80" s="36">
        <f>SUM(D$2:D80)</f>
        <v>-162545.99966391947</v>
      </c>
    </row>
    <row r="81" spans="1:7" x14ac:dyDescent="0.3">
      <c r="A81" s="34">
        <v>80</v>
      </c>
      <c r="B81" s="33">
        <f>DATE(YEAR(Mortgage!B$8),MONTH(Mortgage!B$8)+A81,DAY(Mortgage!B$8))-1</f>
        <v>48182</v>
      </c>
      <c r="C81" s="36">
        <f>IPMT(Mortgage!B$3/12,A81,Mortgage!B$4*12,Mortgage!B$2,0,0)</f>
        <v>-236.4673973253305</v>
      </c>
      <c r="D81" s="36">
        <f>PPMT(Mortgage!B$3/12,A81,Mortgage!B$4*12,Mortgage!B$2,0,0)</f>
        <v>-2263.5334296139754</v>
      </c>
      <c r="E81" s="36">
        <f t="shared" si="1"/>
        <v>-2500.0008269393061</v>
      </c>
      <c r="F81" s="36">
        <f>SUM(C$2:C81)</f>
        <v>-35190.533061611131</v>
      </c>
      <c r="G81" s="36">
        <f>SUM(D$2:D81)</f>
        <v>-164809.53309353345</v>
      </c>
    </row>
    <row r="82" spans="1:7" x14ac:dyDescent="0.3">
      <c r="A82" s="34">
        <v>81</v>
      </c>
      <c r="B82" s="33">
        <f>DATE(YEAR(Mortgage!B$8),MONTH(Mortgage!B$8)+A82,DAY(Mortgage!B$8))-1</f>
        <v>48213</v>
      </c>
      <c r="C82" s="36">
        <f>IPMT(Mortgage!B$3/12,A82,Mortgage!B$4*12,Mortgage!B$2,0,0)</f>
        <v>-230.97504342488696</v>
      </c>
      <c r="D82" s="36">
        <f>PPMT(Mortgage!B$3/12,A82,Mortgage!B$4*12,Mortgage!B$2,0,0)</f>
        <v>-2269.0257835144193</v>
      </c>
      <c r="E82" s="36">
        <f t="shared" si="1"/>
        <v>-2500.0008269393065</v>
      </c>
      <c r="F82" s="36">
        <f>SUM(C$2:C82)</f>
        <v>-35421.508105036017</v>
      </c>
      <c r="G82" s="36">
        <f>SUM(D$2:D82)</f>
        <v>-167078.55887704788</v>
      </c>
    </row>
    <row r="83" spans="1:7" x14ac:dyDescent="0.3">
      <c r="A83" s="34">
        <v>82</v>
      </c>
      <c r="B83" s="33">
        <f>DATE(YEAR(Mortgage!B$8),MONTH(Mortgage!B$8)+A83,DAY(Mortgage!B$8))-1</f>
        <v>48244</v>
      </c>
      <c r="C83" s="36">
        <f>IPMT(Mortgage!B$3/12,A83,Mortgage!B$4*12,Mortgage!B$2,0,0)</f>
        <v>-225.46936259453241</v>
      </c>
      <c r="D83" s="36">
        <f>PPMT(Mortgage!B$3/12,A83,Mortgage!B$4*12,Mortgage!B$2,0,0)</f>
        <v>-2274.5314643447737</v>
      </c>
      <c r="E83" s="36">
        <f t="shared" si="1"/>
        <v>-2500.0008269393061</v>
      </c>
      <c r="F83" s="36">
        <f>SUM(C$2:C83)</f>
        <v>-35646.977467630546</v>
      </c>
      <c r="G83" s="36">
        <f>SUM(D$2:D83)</f>
        <v>-169353.09034139264</v>
      </c>
    </row>
    <row r="84" spans="1:7" x14ac:dyDescent="0.3">
      <c r="A84" s="34">
        <v>83</v>
      </c>
      <c r="B84" s="33">
        <f>DATE(YEAR(Mortgage!B$8),MONTH(Mortgage!B$8)+A84,DAY(Mortgage!B$8))-1</f>
        <v>48273</v>
      </c>
      <c r="C84" s="36">
        <f>IPMT(Mortgage!B$3/12,A84,Mortgage!B$4*12,Mortgage!B$2,0,0)</f>
        <v>-219.95032249711886</v>
      </c>
      <c r="D84" s="36">
        <f>PPMT(Mortgage!B$3/12,A84,Mortgage!B$4*12,Mortgage!B$2,0,0)</f>
        <v>-2280.050504442187</v>
      </c>
      <c r="E84" s="36">
        <f t="shared" si="1"/>
        <v>-2500.0008269393061</v>
      </c>
      <c r="F84" s="36">
        <f>SUM(C$2:C84)</f>
        <v>-35866.927790127666</v>
      </c>
      <c r="G84" s="36">
        <f>SUM(D$2:D84)</f>
        <v>-171633.14084583483</v>
      </c>
    </row>
    <row r="85" spans="1:7" x14ac:dyDescent="0.3">
      <c r="A85" s="34">
        <v>84</v>
      </c>
      <c r="B85" s="33">
        <f>DATE(YEAR(Mortgage!B$8),MONTH(Mortgage!B$8)+A85,DAY(Mortgage!B$8))-1</f>
        <v>48304</v>
      </c>
      <c r="C85" s="36">
        <f>IPMT(Mortgage!B$3/12,A85,Mortgage!B$4*12,Mortgage!B$2,0,0)</f>
        <v>-214.41789071703386</v>
      </c>
      <c r="D85" s="36">
        <f>PPMT(Mortgage!B$3/12,A85,Mortgage!B$4*12,Mortgage!B$2,0,0)</f>
        <v>-2285.5829362222726</v>
      </c>
      <c r="E85" s="36">
        <f t="shared" si="1"/>
        <v>-2500.0008269393065</v>
      </c>
      <c r="F85" s="36">
        <f>SUM(C$2:C85)</f>
        <v>-36081.345680844701</v>
      </c>
      <c r="G85" s="36">
        <f>SUM(D$2:D85)</f>
        <v>-173918.72378205712</v>
      </c>
    </row>
    <row r="86" spans="1:7" x14ac:dyDescent="0.3">
      <c r="A86" s="34">
        <v>85</v>
      </c>
      <c r="B86" s="33">
        <f>DATE(YEAR(Mortgage!B$8),MONTH(Mortgage!B$8)+A86,DAY(Mortgage!B$8))-1</f>
        <v>48334</v>
      </c>
      <c r="C86" s="36">
        <f>IPMT(Mortgage!B$3/12,A86,Mortgage!B$4*12,Mortgage!B$2,0,0)</f>
        <v>-208.87203476000988</v>
      </c>
      <c r="D86" s="36">
        <f>PPMT(Mortgage!B$3/12,A86,Mortgage!B$4*12,Mortgage!B$2,0,0)</f>
        <v>-2291.1287921792959</v>
      </c>
      <c r="E86" s="36">
        <f t="shared" si="1"/>
        <v>-2500.0008269393056</v>
      </c>
      <c r="F86" s="36">
        <f>SUM(C$2:C86)</f>
        <v>-36290.217715604711</v>
      </c>
      <c r="G86" s="36">
        <f>SUM(D$2:D86)</f>
        <v>-176209.8525742364</v>
      </c>
    </row>
    <row r="87" spans="1:7" x14ac:dyDescent="0.3">
      <c r="A87" s="34">
        <v>86</v>
      </c>
      <c r="B87" s="33">
        <f>DATE(YEAR(Mortgage!B$8),MONTH(Mortgage!B$8)+A87,DAY(Mortgage!B$8))-1</f>
        <v>48365</v>
      </c>
      <c r="C87" s="36">
        <f>IPMT(Mortgage!B$3/12,A87,Mortgage!B$4*12,Mortgage!B$2,0,0)</f>
        <v>-203.31272205293385</v>
      </c>
      <c r="D87" s="36">
        <f>PPMT(Mortgage!B$3/12,A87,Mortgage!B$4*12,Mortgage!B$2,0,0)</f>
        <v>-2296.688104886372</v>
      </c>
      <c r="E87" s="36">
        <f t="shared" si="1"/>
        <v>-2500.0008269393056</v>
      </c>
      <c r="F87" s="36">
        <f>SUM(C$2:C87)</f>
        <v>-36493.530437657646</v>
      </c>
      <c r="G87" s="36">
        <f>SUM(D$2:D87)</f>
        <v>-178506.54067912276</v>
      </c>
    </row>
    <row r="88" spans="1:7" x14ac:dyDescent="0.3">
      <c r="A88" s="34">
        <v>87</v>
      </c>
      <c r="B88" s="33">
        <f>DATE(YEAR(Mortgage!B$8),MONTH(Mortgage!B$8)+A88,DAY(Mortgage!B$8))-1</f>
        <v>48395</v>
      </c>
      <c r="C88" s="36">
        <f>IPMT(Mortgage!B$3/12,A88,Mortgage!B$4*12,Mortgage!B$2,0,0)</f>
        <v>-197.73991994365548</v>
      </c>
      <c r="D88" s="36">
        <f>PPMT(Mortgage!B$3/12,A88,Mortgage!B$4*12,Mortgage!B$2,0,0)</f>
        <v>-2302.2609069956507</v>
      </c>
      <c r="E88" s="36">
        <f t="shared" si="1"/>
        <v>-2500.0008269393061</v>
      </c>
      <c r="F88" s="36">
        <f>SUM(C$2:C88)</f>
        <v>-36691.270357601301</v>
      </c>
      <c r="G88" s="36">
        <f>SUM(D$2:D88)</f>
        <v>-180808.80158611841</v>
      </c>
    </row>
    <row r="89" spans="1:7" x14ac:dyDescent="0.3">
      <c r="A89" s="34">
        <v>88</v>
      </c>
      <c r="B89" s="33">
        <f>DATE(YEAR(Mortgage!B$8),MONTH(Mortgage!B$8)+A89,DAY(Mortgage!B$8))-1</f>
        <v>48426</v>
      </c>
      <c r="C89" s="36">
        <f>IPMT(Mortgage!B$3/12,A89,Mortgage!B$4*12,Mortgage!B$2,0,0)</f>
        <v>-192.15359570079565</v>
      </c>
      <c r="D89" s="36">
        <f>PPMT(Mortgage!B$3/12,A89,Mortgage!B$4*12,Mortgage!B$2,0,0)</f>
        <v>-2307.8472312385106</v>
      </c>
      <c r="E89" s="36">
        <f t="shared" si="1"/>
        <v>-2500.0008269393061</v>
      </c>
      <c r="F89" s="36">
        <f>SUM(C$2:C89)</f>
        <v>-36883.423953302095</v>
      </c>
      <c r="G89" s="36">
        <f>SUM(D$2:D89)</f>
        <v>-183116.64881735691</v>
      </c>
    </row>
    <row r="90" spans="1:7" x14ac:dyDescent="0.3">
      <c r="A90" s="34">
        <v>89</v>
      </c>
      <c r="B90" s="33">
        <f>DATE(YEAR(Mortgage!B$8),MONTH(Mortgage!B$8)+A90,DAY(Mortgage!B$8))-1</f>
        <v>48457</v>
      </c>
      <c r="C90" s="36">
        <f>IPMT(Mortgage!B$3/12,A90,Mortgage!B$4*12,Mortgage!B$2,0,0)</f>
        <v>-186.55371651355418</v>
      </c>
      <c r="D90" s="36">
        <f>PPMT(Mortgage!B$3/12,A90,Mortgage!B$4*12,Mortgage!B$2,0,0)</f>
        <v>-2313.4471104257518</v>
      </c>
      <c r="E90" s="36">
        <f t="shared" si="1"/>
        <v>-2500.0008269393061</v>
      </c>
      <c r="F90" s="36">
        <f>SUM(C$2:C90)</f>
        <v>-37069.977669815649</v>
      </c>
      <c r="G90" s="36">
        <f>SUM(D$2:D90)</f>
        <v>-185430.09592778265</v>
      </c>
    </row>
    <row r="91" spans="1:7" x14ac:dyDescent="0.3">
      <c r="A91" s="34">
        <v>90</v>
      </c>
      <c r="B91" s="33">
        <f>DATE(YEAR(Mortgage!B$8),MONTH(Mortgage!B$8)+A91,DAY(Mortgage!B$8))-1</f>
        <v>48487</v>
      </c>
      <c r="C91" s="36">
        <f>IPMT(Mortgage!B$3/12,A91,Mortgage!B$4*12,Mortgage!B$2,0,0)</f>
        <v>-180.94024949151708</v>
      </c>
      <c r="D91" s="36">
        <f>PPMT(Mortgage!B$3/12,A91,Mortgage!B$4*12,Mortgage!B$2,0,0)</f>
        <v>-2319.060577447789</v>
      </c>
      <c r="E91" s="36">
        <f t="shared" si="1"/>
        <v>-2500.0008269393061</v>
      </c>
      <c r="F91" s="36">
        <f>SUM(C$2:C91)</f>
        <v>-37250.917919307169</v>
      </c>
      <c r="G91" s="36">
        <f>SUM(D$2:D91)</f>
        <v>-187749.15650523044</v>
      </c>
    </row>
    <row r="92" spans="1:7" x14ac:dyDescent="0.3">
      <c r="A92" s="34">
        <v>91</v>
      </c>
      <c r="B92" s="33">
        <f>DATE(YEAR(Mortgage!B$8),MONTH(Mortgage!B$8)+A92,DAY(Mortgage!B$8))-1</f>
        <v>48518</v>
      </c>
      <c r="C92" s="36">
        <f>IPMT(Mortgage!B$3/12,A92,Mortgage!B$4*12,Mortgage!B$2,0,0)</f>
        <v>-175.31316166446325</v>
      </c>
      <c r="D92" s="36">
        <f>PPMT(Mortgage!B$3/12,A92,Mortgage!B$4*12,Mortgage!B$2,0,0)</f>
        <v>-2324.6876652748429</v>
      </c>
      <c r="E92" s="36">
        <f t="shared" si="1"/>
        <v>-2500.0008269393061</v>
      </c>
      <c r="F92" s="36">
        <f>SUM(C$2:C92)</f>
        <v>-37426.231080971629</v>
      </c>
      <c r="G92" s="36">
        <f>SUM(D$2:D92)</f>
        <v>-190073.84417050527</v>
      </c>
    </row>
    <row r="93" spans="1:7" x14ac:dyDescent="0.3">
      <c r="A93" s="34">
        <v>92</v>
      </c>
      <c r="B93" s="33">
        <f>DATE(YEAR(Mortgage!B$8),MONTH(Mortgage!B$8)+A93,DAY(Mortgage!B$8))-1</f>
        <v>48548</v>
      </c>
      <c r="C93" s="36">
        <f>IPMT(Mortgage!B$3/12,A93,Mortgage!B$4*12,Mortgage!B$2,0,0)</f>
        <v>-169.67241998217111</v>
      </c>
      <c r="D93" s="36">
        <f>PPMT(Mortgage!B$3/12,A93,Mortgage!B$4*12,Mortgage!B$2,0,0)</f>
        <v>-2330.328406957135</v>
      </c>
      <c r="E93" s="36">
        <f t="shared" si="1"/>
        <v>-2500.0008269393061</v>
      </c>
      <c r="F93" s="36">
        <f>SUM(C$2:C93)</f>
        <v>-37595.903500953798</v>
      </c>
      <c r="G93" s="36">
        <f>SUM(D$2:D93)</f>
        <v>-192404.17257746239</v>
      </c>
    </row>
    <row r="94" spans="1:7" x14ac:dyDescent="0.3">
      <c r="A94" s="34">
        <v>93</v>
      </c>
      <c r="B94" s="33">
        <f>DATE(YEAR(Mortgage!B$8),MONTH(Mortgage!B$8)+A94,DAY(Mortgage!B$8))-1</f>
        <v>48579</v>
      </c>
      <c r="C94" s="36">
        <f>IPMT(Mortgage!B$3/12,A94,Mortgage!B$4*12,Mortgage!B$2,0,0)</f>
        <v>-164.01799131422428</v>
      </c>
      <c r="D94" s="36">
        <f>PPMT(Mortgage!B$3/12,A94,Mortgage!B$4*12,Mortgage!B$2,0,0)</f>
        <v>-2335.9828356250819</v>
      </c>
      <c r="E94" s="36">
        <f t="shared" si="1"/>
        <v>-2500.0008269393061</v>
      </c>
      <c r="F94" s="36">
        <f>SUM(C$2:C94)</f>
        <v>-37759.921492268026</v>
      </c>
      <c r="G94" s="36">
        <f>SUM(D$2:D94)</f>
        <v>-194740.15541308749</v>
      </c>
    </row>
    <row r="95" spans="1:7" x14ac:dyDescent="0.3">
      <c r="A95" s="34">
        <v>94</v>
      </c>
      <c r="B95" s="33">
        <f>DATE(YEAR(Mortgage!B$8),MONTH(Mortgage!B$8)+A95,DAY(Mortgage!B$8))-1</f>
        <v>48610</v>
      </c>
      <c r="C95" s="36">
        <f>IPMT(Mortgage!B$3/12,A95,Mortgage!B$4*12,Mortgage!B$2,0,0)</f>
        <v>-158.34984244981692</v>
      </c>
      <c r="D95" s="36">
        <f>PPMT(Mortgage!B$3/12,A95,Mortgage!B$4*12,Mortgage!B$2,0,0)</f>
        <v>-2341.650984489489</v>
      </c>
      <c r="E95" s="36">
        <f t="shared" si="1"/>
        <v>-2500.0008269393061</v>
      </c>
      <c r="F95" s="36">
        <f>SUM(C$2:C95)</f>
        <v>-37918.271334717843</v>
      </c>
      <c r="G95" s="36">
        <f>SUM(D$2:D95)</f>
        <v>-197081.80639757696</v>
      </c>
    </row>
    <row r="96" spans="1:7" x14ac:dyDescent="0.3">
      <c r="A96" s="34">
        <v>95</v>
      </c>
      <c r="B96" s="33">
        <f>DATE(YEAR(Mortgage!B$8),MONTH(Mortgage!B$8)+A96,DAY(Mortgage!B$8))-1</f>
        <v>48638</v>
      </c>
      <c r="C96" s="36">
        <f>IPMT(Mortgage!B$3/12,A96,Mortgage!B$4*12,Mortgage!B$2,0,0)</f>
        <v>-152.66794009755895</v>
      </c>
      <c r="D96" s="36">
        <f>PPMT(Mortgage!B$3/12,A96,Mortgage!B$4*12,Mortgage!B$2,0,0)</f>
        <v>-2347.332886841747</v>
      </c>
      <c r="E96" s="36">
        <f t="shared" si="1"/>
        <v>-2500.0008269393061</v>
      </c>
      <c r="F96" s="36">
        <f>SUM(C$2:C96)</f>
        <v>-38070.939274815399</v>
      </c>
      <c r="G96" s="36">
        <f>SUM(D$2:D96)</f>
        <v>-199429.13928441872</v>
      </c>
    </row>
    <row r="97" spans="1:7" x14ac:dyDescent="0.3">
      <c r="A97" s="34">
        <v>96</v>
      </c>
      <c r="B97" s="33">
        <f>DATE(YEAR(Mortgage!B$8),MONTH(Mortgage!B$8)+A97,DAY(Mortgage!B$8))-1</f>
        <v>48669</v>
      </c>
      <c r="C97" s="36">
        <f>IPMT(Mortgage!B$3/12,A97,Mortgage!B$4*12,Mortgage!B$2,0,0)</f>
        <v>-146.9722508852802</v>
      </c>
      <c r="D97" s="36">
        <f>PPMT(Mortgage!B$3/12,A97,Mortgage!B$4*12,Mortgage!B$2,0,0)</f>
        <v>-2353.0285760540255</v>
      </c>
      <c r="E97" s="36">
        <f t="shared" si="1"/>
        <v>-2500.0008269393056</v>
      </c>
      <c r="F97" s="36">
        <f>SUM(C$2:C97)</f>
        <v>-38217.911525700678</v>
      </c>
      <c r="G97" s="36">
        <f>SUM(D$2:D97)</f>
        <v>-201782.16786047275</v>
      </c>
    </row>
    <row r="98" spans="1:7" x14ac:dyDescent="0.3">
      <c r="A98" s="34">
        <v>97</v>
      </c>
      <c r="B98" s="33">
        <f>DATE(YEAR(Mortgage!B$8),MONTH(Mortgage!B$8)+A98,DAY(Mortgage!B$8))-1</f>
        <v>48699</v>
      </c>
      <c r="C98" s="36">
        <f>IPMT(Mortgage!B$3/12,A98,Mortgage!B$4*12,Mortgage!B$2,0,0)</f>
        <v>-141.26274135983468</v>
      </c>
      <c r="D98" s="36">
        <f>PPMT(Mortgage!B$3/12,A98,Mortgage!B$4*12,Mortgage!B$2,0,0)</f>
        <v>-2358.7380855794713</v>
      </c>
      <c r="E98" s="36">
        <f t="shared" si="1"/>
        <v>-2500.0008269393061</v>
      </c>
      <c r="F98" s="36">
        <f>SUM(C$2:C98)</f>
        <v>-38359.174267060509</v>
      </c>
      <c r="G98" s="36">
        <f>SUM(D$2:D98)</f>
        <v>-204140.90594605223</v>
      </c>
    </row>
    <row r="99" spans="1:7" x14ac:dyDescent="0.3">
      <c r="A99" s="34">
        <v>98</v>
      </c>
      <c r="B99" s="33">
        <f>DATE(YEAR(Mortgage!B$8),MONTH(Mortgage!B$8)+A99,DAY(Mortgage!B$8))-1</f>
        <v>48730</v>
      </c>
      <c r="C99" s="36">
        <f>IPMT(Mortgage!B$3/12,A99,Mortgage!B$4*12,Mortgage!B$2,0,0)</f>
        <v>-135.53937798690387</v>
      </c>
      <c r="D99" s="36">
        <f>PPMT(Mortgage!B$3/12,A99,Mortgage!B$4*12,Mortgage!B$2,0,0)</f>
        <v>-2364.4614489524024</v>
      </c>
      <c r="E99" s="36">
        <f t="shared" si="1"/>
        <v>-2500.0008269393061</v>
      </c>
      <c r="F99" s="36">
        <f>SUM(C$2:C99)</f>
        <v>-38494.713645047414</v>
      </c>
      <c r="G99" s="36">
        <f>SUM(D$2:D99)</f>
        <v>-206505.36739500464</v>
      </c>
    </row>
    <row r="100" spans="1:7" x14ac:dyDescent="0.3">
      <c r="A100" s="34">
        <v>99</v>
      </c>
      <c r="B100" s="33">
        <f>DATE(YEAR(Mortgage!B$8),MONTH(Mortgage!B$8)+A100,DAY(Mortgage!B$8))-1</f>
        <v>48760</v>
      </c>
      <c r="C100" s="36">
        <f>IPMT(Mortgage!B$3/12,A100,Mortgage!B$4*12,Mortgage!B$2,0,0)</f>
        <v>-129.80212715079992</v>
      </c>
      <c r="D100" s="36">
        <f>PPMT(Mortgage!B$3/12,A100,Mortgage!B$4*12,Mortgage!B$2,0,0)</f>
        <v>-2370.198699788506</v>
      </c>
      <c r="E100" s="36">
        <f t="shared" si="1"/>
        <v>-2500.0008269393061</v>
      </c>
      <c r="F100" s="36">
        <f>SUM(C$2:C100)</f>
        <v>-38624.51577219821</v>
      </c>
      <c r="G100" s="36">
        <f>SUM(D$2:D100)</f>
        <v>-208875.56609479315</v>
      </c>
    </row>
    <row r="101" spans="1:7" x14ac:dyDescent="0.3">
      <c r="A101" s="34">
        <v>100</v>
      </c>
      <c r="B101" s="33">
        <f>DATE(YEAR(Mortgage!B$8),MONTH(Mortgage!B$8)+A101,DAY(Mortgage!B$8))-1</f>
        <v>48791</v>
      </c>
      <c r="C101" s="36">
        <f>IPMT(Mortgage!B$3/12,A101,Mortgage!B$4*12,Mortgage!B$2,0,0)</f>
        <v>-124.0509551542681</v>
      </c>
      <c r="D101" s="36">
        <f>PPMT(Mortgage!B$3/12,A101,Mortgage!B$4*12,Mortgage!B$2,0,0)</f>
        <v>-2375.9498717850379</v>
      </c>
      <c r="E101" s="36">
        <f t="shared" si="1"/>
        <v>-2500.0008269393061</v>
      </c>
      <c r="F101" s="36">
        <f>SUM(C$2:C101)</f>
        <v>-38748.566727352481</v>
      </c>
      <c r="G101" s="36">
        <f>SUM(D$2:D101)</f>
        <v>-211251.51596657818</v>
      </c>
    </row>
    <row r="102" spans="1:7" x14ac:dyDescent="0.3">
      <c r="A102" s="34">
        <v>101</v>
      </c>
      <c r="B102" s="33">
        <f>DATE(YEAR(Mortgage!B$8),MONTH(Mortgage!B$8)+A102,DAY(Mortgage!B$8))-1</f>
        <v>48822</v>
      </c>
      <c r="C102" s="36">
        <f>IPMT(Mortgage!B$3/12,A102,Mortgage!B$4*12,Mortgage!B$2,0,0)</f>
        <v>-118.28582821828893</v>
      </c>
      <c r="D102" s="36">
        <f>PPMT(Mortgage!B$3/12,A102,Mortgage!B$4*12,Mortgage!B$2,0,0)</f>
        <v>-2381.7149987210173</v>
      </c>
      <c r="E102" s="36">
        <f t="shared" si="1"/>
        <v>-2500.0008269393061</v>
      </c>
      <c r="F102" s="36">
        <f>SUM(C$2:C102)</f>
        <v>-38866.852555570767</v>
      </c>
      <c r="G102" s="36">
        <f>SUM(D$2:D102)</f>
        <v>-213633.23096529921</v>
      </c>
    </row>
    <row r="103" spans="1:7" x14ac:dyDescent="0.3">
      <c r="A103" s="34">
        <v>102</v>
      </c>
      <c r="B103" s="33">
        <f>DATE(YEAR(Mortgage!B$8),MONTH(Mortgage!B$8)+A103,DAY(Mortgage!B$8))-1</f>
        <v>48852</v>
      </c>
      <c r="C103" s="36">
        <f>IPMT(Mortgage!B$3/12,A103,Mortgage!B$4*12,Mortgage!B$2,0,0)</f>
        <v>-112.50671248187983</v>
      </c>
      <c r="D103" s="36">
        <f>PPMT(Mortgage!B$3/12,A103,Mortgage!B$4*12,Mortgage!B$2,0,0)</f>
        <v>-2387.4941144574263</v>
      </c>
      <c r="E103" s="36">
        <f t="shared" si="1"/>
        <v>-2500.0008269393061</v>
      </c>
      <c r="F103" s="36">
        <f>SUM(C$2:C103)</f>
        <v>-38979.359268052649</v>
      </c>
      <c r="G103" s="36">
        <f>SUM(D$2:D103)</f>
        <v>-216020.72507975664</v>
      </c>
    </row>
    <row r="104" spans="1:7" x14ac:dyDescent="0.3">
      <c r="A104" s="34">
        <v>103</v>
      </c>
      <c r="B104" s="33">
        <f>DATE(YEAR(Mortgage!B$8),MONTH(Mortgage!B$8)+A104,DAY(Mortgage!B$8))-1</f>
        <v>48883</v>
      </c>
      <c r="C104" s="36">
        <f>IPMT(Mortgage!B$3/12,A104,Mortgage!B$4*12,Mortgage!B$2,0,0)</f>
        <v>-106.71357400189615</v>
      </c>
      <c r="D104" s="36">
        <f>PPMT(Mortgage!B$3/12,A104,Mortgage!B$4*12,Mortgage!B$2,0,0)</f>
        <v>-2393.2872529374099</v>
      </c>
      <c r="E104" s="36">
        <f t="shared" si="1"/>
        <v>-2500.0008269393061</v>
      </c>
      <c r="F104" s="36">
        <f>SUM(C$2:C104)</f>
        <v>-39086.072842054542</v>
      </c>
      <c r="G104" s="36">
        <f>SUM(D$2:D104)</f>
        <v>-218414.01233269405</v>
      </c>
    </row>
    <row r="105" spans="1:7" x14ac:dyDescent="0.3">
      <c r="A105" s="34">
        <v>104</v>
      </c>
      <c r="B105" s="33">
        <f>DATE(YEAR(Mortgage!B$8),MONTH(Mortgage!B$8)+A105,DAY(Mortgage!B$8))-1</f>
        <v>48913</v>
      </c>
      <c r="C105" s="36">
        <f>IPMT(Mortgage!B$3/12,A105,Mortgage!B$4*12,Mortgage!B$2,0,0)</f>
        <v>-100.90637875283184</v>
      </c>
      <c r="D105" s="36">
        <f>PPMT(Mortgage!B$3/12,A105,Mortgage!B$4*12,Mortgage!B$2,0,0)</f>
        <v>-2399.0944481864744</v>
      </c>
      <c r="E105" s="36">
        <f t="shared" si="1"/>
        <v>-2500.0008269393061</v>
      </c>
      <c r="F105" s="36">
        <f>SUM(C$2:C105)</f>
        <v>-39186.97922080737</v>
      </c>
      <c r="G105" s="36">
        <f>SUM(D$2:D105)</f>
        <v>-220813.10678088054</v>
      </c>
    </row>
    <row r="106" spans="1:7" x14ac:dyDescent="0.3">
      <c r="A106" s="34">
        <v>105</v>
      </c>
      <c r="B106" s="33">
        <f>DATE(YEAR(Mortgage!B$8),MONTH(Mortgage!B$8)+A106,DAY(Mortgage!B$8))-1</f>
        <v>48944</v>
      </c>
      <c r="C106" s="36">
        <f>IPMT(Mortgage!B$3/12,A106,Mortgage!B$4*12,Mortgage!B$2,0,0)</f>
        <v>-95.085092626619641</v>
      </c>
      <c r="D106" s="36">
        <f>PPMT(Mortgage!B$3/12,A106,Mortgage!B$4*12,Mortgage!B$2,0,0)</f>
        <v>-2404.9157343126867</v>
      </c>
      <c r="E106" s="36">
        <f t="shared" si="1"/>
        <v>-2500.0008269393065</v>
      </c>
      <c r="F106" s="36">
        <f>SUM(C$2:C106)</f>
        <v>-39282.064313433992</v>
      </c>
      <c r="G106" s="36">
        <f>SUM(D$2:D106)</f>
        <v>-223218.02251519324</v>
      </c>
    </row>
    <row r="107" spans="1:7" x14ac:dyDescent="0.3">
      <c r="A107" s="34">
        <v>106</v>
      </c>
      <c r="B107" s="33">
        <f>DATE(YEAR(Mortgage!B$8),MONTH(Mortgage!B$8)+A107,DAY(Mortgage!B$8))-1</f>
        <v>48975</v>
      </c>
      <c r="C107" s="36">
        <f>IPMT(Mortgage!B$3/12,A107,Mortgage!B$4*12,Mortgage!B$2,0,0)</f>
        <v>-89.249681432430691</v>
      </c>
      <c r="D107" s="36">
        <f>PPMT(Mortgage!B$3/12,A107,Mortgage!B$4*12,Mortgage!B$2,0,0)</f>
        <v>-2410.7511455068752</v>
      </c>
      <c r="E107" s="36">
        <f t="shared" si="1"/>
        <v>-2500.0008269393061</v>
      </c>
      <c r="F107" s="36">
        <f>SUM(C$2:C107)</f>
        <v>-39371.313994866425</v>
      </c>
      <c r="G107" s="36">
        <f>SUM(D$2:D107)</f>
        <v>-225628.77366070013</v>
      </c>
    </row>
    <row r="108" spans="1:7" x14ac:dyDescent="0.3">
      <c r="A108" s="34">
        <v>107</v>
      </c>
      <c r="B108" s="33">
        <f>DATE(YEAR(Mortgage!B$8),MONTH(Mortgage!B$8)+A108,DAY(Mortgage!B$8))-1</f>
        <v>49003</v>
      </c>
      <c r="C108" s="36">
        <f>IPMT(Mortgage!B$3/12,A108,Mortgage!B$4*12,Mortgage!B$2,0,0)</f>
        <v>-83.400110896473805</v>
      </c>
      <c r="D108" s="36">
        <f>PPMT(Mortgage!B$3/12,A108,Mortgage!B$4*12,Mortgage!B$2,0,0)</f>
        <v>-2416.6007160428326</v>
      </c>
      <c r="E108" s="36">
        <f t="shared" si="1"/>
        <v>-2500.0008269393065</v>
      </c>
      <c r="F108" s="36">
        <f>SUM(C$2:C108)</f>
        <v>-39454.714105762898</v>
      </c>
      <c r="G108" s="36">
        <f>SUM(D$2:D108)</f>
        <v>-228045.37437674296</v>
      </c>
    </row>
    <row r="109" spans="1:7" x14ac:dyDescent="0.3">
      <c r="A109" s="34">
        <v>108</v>
      </c>
      <c r="B109" s="33">
        <f>DATE(YEAR(Mortgage!B$8),MONTH(Mortgage!B$8)+A109,DAY(Mortgage!B$8))-1</f>
        <v>49034</v>
      </c>
      <c r="C109" s="36">
        <f>IPMT(Mortgage!B$3/12,A109,Mortgage!B$4*12,Mortgage!B$2,0,0)</f>
        <v>-77.536346661794042</v>
      </c>
      <c r="D109" s="36">
        <f>PPMT(Mortgage!B$3/12,A109,Mortgage!B$4*12,Mortgage!B$2,0,0)</f>
        <v>-2422.4644802775119</v>
      </c>
      <c r="E109" s="36">
        <f t="shared" si="1"/>
        <v>-2500.0008269393061</v>
      </c>
      <c r="F109" s="36">
        <f>SUM(C$2:C109)</f>
        <v>-39532.250452424691</v>
      </c>
      <c r="G109" s="36">
        <f>SUM(D$2:D109)</f>
        <v>-230467.83885702046</v>
      </c>
    </row>
    <row r="110" spans="1:7" x14ac:dyDescent="0.3">
      <c r="A110" s="34">
        <v>109</v>
      </c>
      <c r="B110" s="33">
        <f>DATE(YEAR(Mortgage!B$8),MONTH(Mortgage!B$8)+A110,DAY(Mortgage!B$8))-1</f>
        <v>49064</v>
      </c>
      <c r="C110" s="36">
        <f>IPMT(Mortgage!B$3/12,A110,Mortgage!B$4*12,Mortgage!B$2,0,0)</f>
        <v>-71.658354288071038</v>
      </c>
      <c r="D110" s="36">
        <f>PPMT(Mortgage!B$3/12,A110,Mortgage!B$4*12,Mortgage!B$2,0,0)</f>
        <v>-2428.3424726512349</v>
      </c>
      <c r="E110" s="36">
        <f t="shared" si="1"/>
        <v>-2500.0008269393061</v>
      </c>
      <c r="F110" s="36">
        <f>SUM(C$2:C110)</f>
        <v>-39603.90880671276</v>
      </c>
      <c r="G110" s="36">
        <f>SUM(D$2:D110)</f>
        <v>-232896.1813296717</v>
      </c>
    </row>
    <row r="111" spans="1:7" x14ac:dyDescent="0.3">
      <c r="A111" s="34">
        <v>110</v>
      </c>
      <c r="B111" s="33">
        <f>DATE(YEAR(Mortgage!B$8),MONTH(Mortgage!B$8)+A111,DAY(Mortgage!B$8))-1</f>
        <v>49095</v>
      </c>
      <c r="C111" s="36">
        <f>IPMT(Mortgage!B$3/12,A111,Mortgage!B$4*12,Mortgage!B$2,0,0)</f>
        <v>-65.766099251416591</v>
      </c>
      <c r="D111" s="36">
        <f>PPMT(Mortgage!B$3/12,A111,Mortgage!B$4*12,Mortgage!B$2,0,0)</f>
        <v>-2434.2347276878895</v>
      </c>
      <c r="E111" s="36">
        <f t="shared" si="1"/>
        <v>-2500.0008269393061</v>
      </c>
      <c r="F111" s="36">
        <f>SUM(C$2:C111)</f>
        <v>-39669.674905964173</v>
      </c>
      <c r="G111" s="36">
        <f>SUM(D$2:D111)</f>
        <v>-235330.4160573596</v>
      </c>
    </row>
    <row r="112" spans="1:7" x14ac:dyDescent="0.3">
      <c r="A112" s="34">
        <v>111</v>
      </c>
      <c r="B112" s="33">
        <f>DATE(YEAR(Mortgage!B$8),MONTH(Mortgage!B$8)+A112,DAY(Mortgage!B$8))-1</f>
        <v>49125</v>
      </c>
      <c r="C112" s="36">
        <f>IPMT(Mortgage!B$3/12,A112,Mortgage!B$4*12,Mortgage!B$2,0,0)</f>
        <v>-59.859546944172017</v>
      </c>
      <c r="D112" s="36">
        <f>PPMT(Mortgage!B$3/12,A112,Mortgage!B$4*12,Mortgage!B$2,0,0)</f>
        <v>-2440.141279995134</v>
      </c>
      <c r="E112" s="36">
        <f t="shared" si="1"/>
        <v>-2500.0008269393061</v>
      </c>
      <c r="F112" s="36">
        <f>SUM(C$2:C112)</f>
        <v>-39729.534452908345</v>
      </c>
      <c r="G112" s="36">
        <f>SUM(D$2:D112)</f>
        <v>-237770.55733735472</v>
      </c>
    </row>
    <row r="113" spans="1:7" x14ac:dyDescent="0.3">
      <c r="A113" s="34">
        <v>112</v>
      </c>
      <c r="B113" s="33">
        <f>DATE(YEAR(Mortgage!B$8),MONTH(Mortgage!B$8)+A113,DAY(Mortgage!B$8))-1</f>
        <v>49156</v>
      </c>
      <c r="C113" s="36">
        <f>IPMT(Mortgage!B$3/12,A113,Mortgage!B$4*12,Mortgage!B$2,0,0)</f>
        <v>-53.938662674704858</v>
      </c>
      <c r="D113" s="36">
        <f>PPMT(Mortgage!B$3/12,A113,Mortgage!B$4*12,Mortgage!B$2,0,0)</f>
        <v>-2446.0621642646015</v>
      </c>
      <c r="E113" s="36">
        <f t="shared" si="1"/>
        <v>-2500.0008269393065</v>
      </c>
      <c r="F113" s="36">
        <f>SUM(C$2:C113)</f>
        <v>-39783.473115583052</v>
      </c>
      <c r="G113" s="36">
        <f>SUM(D$2:D113)</f>
        <v>-240216.61950161934</v>
      </c>
    </row>
    <row r="114" spans="1:7" x14ac:dyDescent="0.3">
      <c r="A114" s="34">
        <v>113</v>
      </c>
      <c r="B114" s="33">
        <f>DATE(YEAR(Mortgage!B$8),MONTH(Mortgage!B$8)+A114,DAY(Mortgage!B$8))-1</f>
        <v>49187</v>
      </c>
      <c r="C114" s="36">
        <f>IPMT(Mortgage!B$3/12,A114,Mortgage!B$4*12,Mortgage!B$2,0,0)</f>
        <v>-48.003411667204979</v>
      </c>
      <c r="D114" s="36">
        <f>PPMT(Mortgage!B$3/12,A114,Mortgage!B$4*12,Mortgage!B$2,0,0)</f>
        <v>-2451.9974152721011</v>
      </c>
      <c r="E114" s="36">
        <f t="shared" si="1"/>
        <v>-2500.0008269393061</v>
      </c>
      <c r="F114" s="36">
        <f>SUM(C$2:C114)</f>
        <v>-39831.476527250255</v>
      </c>
      <c r="G114" s="36">
        <f>SUM(D$2:D114)</f>
        <v>-242668.61691689145</v>
      </c>
    </row>
    <row r="115" spans="1:7" x14ac:dyDescent="0.3">
      <c r="A115" s="34">
        <v>114</v>
      </c>
      <c r="B115" s="33">
        <f>DATE(YEAR(Mortgage!B$8),MONTH(Mortgage!B$8)+A115,DAY(Mortgage!B$8))-1</f>
        <v>49217</v>
      </c>
      <c r="C115" s="36">
        <f>IPMT(Mortgage!B$3/12,A115,Mortgage!B$4*12,Mortgage!B$2,0,0)</f>
        <v>-42.053759061480534</v>
      </c>
      <c r="D115" s="36">
        <f>PPMT(Mortgage!B$3/12,A115,Mortgage!B$4*12,Mortgage!B$2,0,0)</f>
        <v>-2457.9470678778257</v>
      </c>
      <c r="E115" s="36">
        <f t="shared" si="1"/>
        <v>-2500.0008269393061</v>
      </c>
      <c r="F115" s="36">
        <f>SUM(C$2:C115)</f>
        <v>-39873.530286311739</v>
      </c>
      <c r="G115" s="36">
        <f>SUM(D$2:D115)</f>
        <v>-245126.56398476928</v>
      </c>
    </row>
    <row r="116" spans="1:7" x14ac:dyDescent="0.3">
      <c r="A116" s="34">
        <v>115</v>
      </c>
      <c r="B116" s="33">
        <f>DATE(YEAR(Mortgage!B$8),MONTH(Mortgage!B$8)+A116,DAY(Mortgage!B$8))-1</f>
        <v>49248</v>
      </c>
      <c r="C116" s="36">
        <f>IPMT(Mortgage!B$3/12,A116,Mortgage!B$4*12,Mortgage!B$2,0,0)</f>
        <v>-36.089669912753131</v>
      </c>
      <c r="D116" s="36">
        <f>PPMT(Mortgage!B$3/12,A116,Mortgage!B$4*12,Mortgage!B$2,0,0)</f>
        <v>-2463.9111570265532</v>
      </c>
      <c r="E116" s="36">
        <f t="shared" si="1"/>
        <v>-2500.0008269393061</v>
      </c>
      <c r="F116" s="36">
        <f>SUM(C$2:C116)</f>
        <v>-39909.619956224495</v>
      </c>
      <c r="G116" s="36">
        <f>SUM(D$2:D116)</f>
        <v>-247590.47514179585</v>
      </c>
    </row>
    <row r="117" spans="1:7" x14ac:dyDescent="0.3">
      <c r="A117" s="34">
        <v>116</v>
      </c>
      <c r="B117" s="33">
        <f>DATE(YEAR(Mortgage!B$8),MONTH(Mortgage!B$8)+A117,DAY(Mortgage!B$8))-1</f>
        <v>49278</v>
      </c>
      <c r="C117" s="36">
        <f>IPMT(Mortgage!B$3/12,A117,Mortgage!B$4*12,Mortgage!B$2,0,0)</f>
        <v>-30.111109191452478</v>
      </c>
      <c r="D117" s="36">
        <f>PPMT(Mortgage!B$3/12,A117,Mortgage!B$4*12,Mortgage!B$2,0,0)</f>
        <v>-2469.8897177478539</v>
      </c>
      <c r="E117" s="36">
        <f t="shared" si="1"/>
        <v>-2500.0008269393065</v>
      </c>
      <c r="F117" s="36">
        <f>SUM(C$2:C117)</f>
        <v>-39939.731065415945</v>
      </c>
      <c r="G117" s="36">
        <f>SUM(D$2:D117)</f>
        <v>-250060.36485954371</v>
      </c>
    </row>
    <row r="118" spans="1:7" x14ac:dyDescent="0.3">
      <c r="A118" s="34">
        <v>117</v>
      </c>
      <c r="B118" s="33">
        <f>DATE(YEAR(Mortgage!B$8),MONTH(Mortgage!B$8)+A118,DAY(Mortgage!B$8))-1</f>
        <v>49309</v>
      </c>
      <c r="C118" s="36">
        <f>IPMT(Mortgage!B$3/12,A118,Mortgage!B$4*12,Mortgage!B$2,0,0)</f>
        <v>-24.118041783010792</v>
      </c>
      <c r="D118" s="36">
        <f>PPMT(Mortgage!B$3/12,A118,Mortgage!B$4*12,Mortgage!B$2,0,0)</f>
        <v>-2475.8827851562955</v>
      </c>
      <c r="E118" s="36">
        <f t="shared" si="1"/>
        <v>-2500.0008269393065</v>
      </c>
      <c r="F118" s="36">
        <f>SUM(C$2:C118)</f>
        <v>-39963.849107198956</v>
      </c>
      <c r="G118" s="36">
        <f>SUM(D$2:D118)</f>
        <v>-252536.24764469999</v>
      </c>
    </row>
    <row r="119" spans="1:7" x14ac:dyDescent="0.3">
      <c r="A119" s="34">
        <v>118</v>
      </c>
      <c r="B119" s="33">
        <f>DATE(YEAR(Mortgage!B$8),MONTH(Mortgage!B$8)+A119,DAY(Mortgage!B$8))-1</f>
        <v>49340</v>
      </c>
      <c r="C119" s="36">
        <f>IPMT(Mortgage!B$3/12,A119,Mortgage!B$4*12,Mortgage!B$2,0,0)</f>
        <v>-18.110432487656485</v>
      </c>
      <c r="D119" s="36">
        <f>PPMT(Mortgage!B$3/12,A119,Mortgage!B$4*12,Mortgage!B$2,0,0)</f>
        <v>-2481.8903944516496</v>
      </c>
      <c r="E119" s="36">
        <f t="shared" si="1"/>
        <v>-2500.0008269393061</v>
      </c>
      <c r="F119" s="36">
        <f>SUM(C$2:C119)</f>
        <v>-39981.959539686613</v>
      </c>
      <c r="G119" s="36">
        <f>SUM(D$2:D119)</f>
        <v>-255018.13803915164</v>
      </c>
    </row>
    <row r="120" spans="1:7" x14ac:dyDescent="0.3">
      <c r="A120" s="34">
        <v>119</v>
      </c>
      <c r="B120" s="33">
        <f>DATE(YEAR(Mortgage!B$8),MONTH(Mortgage!B$8)+A120,DAY(Mortgage!B$8))-1</f>
        <v>49368</v>
      </c>
      <c r="C120" s="36">
        <f>IPMT(Mortgage!B$3/12,A120,Mortgage!B$4*12,Mortgage!B$2,0,0)</f>
        <v>-12.088246020207443</v>
      </c>
      <c r="D120" s="36">
        <f>PPMT(Mortgage!B$3/12,A120,Mortgage!B$4*12,Mortgage!B$2,0,0)</f>
        <v>-2487.9125809190987</v>
      </c>
      <c r="E120" s="36">
        <f t="shared" si="1"/>
        <v>-2500.0008269393061</v>
      </c>
      <c r="F120" s="36">
        <f>SUM(C$2:C120)</f>
        <v>-39994.047785706818</v>
      </c>
      <c r="G120" s="36">
        <f>SUM(D$2:D120)</f>
        <v>-257506.05062007075</v>
      </c>
    </row>
    <row r="121" spans="1:7" x14ac:dyDescent="0.3">
      <c r="A121" s="34">
        <v>120</v>
      </c>
      <c r="B121" s="33">
        <f>DATE(YEAR(Mortgage!B$8),MONTH(Mortgage!B$8)+A121,DAY(Mortgage!B$8))-1</f>
        <v>49399</v>
      </c>
      <c r="C121" s="36">
        <f>IPMT(Mortgage!B$3/12,A121,Mortgage!B$4*12,Mortgage!B$2,0,0)</f>
        <v>-6.0514470098637583</v>
      </c>
      <c r="D121" s="36">
        <f>PPMT(Mortgage!B$3/12,A121,Mortgage!B$4*12,Mortgage!B$2,0,0)</f>
        <v>-2493.9493799294423</v>
      </c>
      <c r="E121" s="36">
        <f t="shared" si="1"/>
        <v>-2500.0008269393061</v>
      </c>
      <c r="F121" s="36">
        <f>SUM(C$2:C121)</f>
        <v>-40000.099232716682</v>
      </c>
      <c r="G121" s="36">
        <f>SUM(D$2:D121)</f>
        <v>-260000.00000000017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D12"/>
  <sheetViews>
    <sheetView tabSelected="1" zoomScaleNormal="100" workbookViewId="0">
      <selection activeCell="M11" sqref="M11"/>
    </sheetView>
  </sheetViews>
  <sheetFormatPr defaultColWidth="9.21875" defaultRowHeight="14.4" x14ac:dyDescent="0.3"/>
  <cols>
    <col min="1" max="1" width="23.77734375" style="3" customWidth="1"/>
    <col min="2" max="4" width="15.5546875" style="3" customWidth="1"/>
    <col min="5" max="6" width="15.77734375" style="3" customWidth="1"/>
    <col min="7" max="16384" width="9.21875" style="3"/>
  </cols>
  <sheetData>
    <row r="1" spans="1:4" ht="54" customHeight="1" thickBot="1" x14ac:dyDescent="0.35">
      <c r="A1" s="66" t="s">
        <v>20</v>
      </c>
      <c r="B1" s="67"/>
    </row>
    <row r="2" spans="1:4" ht="21" customHeight="1" x14ac:dyDescent="0.3">
      <c r="A2" s="10" t="s">
        <v>1</v>
      </c>
      <c r="B2" s="11">
        <v>2.35E-2</v>
      </c>
    </row>
    <row r="3" spans="1:4" ht="21" customHeight="1" x14ac:dyDescent="0.3">
      <c r="A3" s="12" t="s">
        <v>0</v>
      </c>
      <c r="B3" s="4">
        <v>10</v>
      </c>
    </row>
    <row r="4" spans="1:4" ht="21" customHeight="1" x14ac:dyDescent="0.3">
      <c r="A4" s="12" t="s">
        <v>8</v>
      </c>
      <c r="B4" s="37">
        <v>-2500</v>
      </c>
    </row>
    <row r="5" spans="1:4" ht="21" customHeight="1" x14ac:dyDescent="0.3">
      <c r="A5" s="24" t="s">
        <v>10</v>
      </c>
      <c r="B5" s="59">
        <f>FV(Int_Rate/12,Period*12,Installment,0,0)</f>
        <v>337810.36696704366</v>
      </c>
      <c r="C5" s="25"/>
    </row>
    <row r="6" spans="1:4" ht="21" customHeight="1" thickBot="1" x14ac:dyDescent="0.35">
      <c r="A6" s="13" t="s">
        <v>9</v>
      </c>
      <c r="B6" s="60">
        <f>B5+Installment*Period*12</f>
        <v>37810.366967043665</v>
      </c>
    </row>
    <row r="7" spans="1:4" ht="31.5" customHeight="1" thickBot="1" x14ac:dyDescent="0.35"/>
    <row r="8" spans="1:4" ht="15" thickBot="1" x14ac:dyDescent="0.35">
      <c r="B8" s="20" t="s">
        <v>1</v>
      </c>
      <c r="C8" s="23" t="s">
        <v>0</v>
      </c>
      <c r="D8" s="21" t="s">
        <v>7</v>
      </c>
    </row>
    <row r="9" spans="1:4" x14ac:dyDescent="0.3">
      <c r="A9" s="17" t="s">
        <v>2</v>
      </c>
      <c r="B9" s="9">
        <v>2.5000000000000001E-2</v>
      </c>
      <c r="C9" s="22">
        <v>15</v>
      </c>
      <c r="D9" s="38" t="s">
        <v>6</v>
      </c>
    </row>
    <row r="10" spans="1:4" x14ac:dyDescent="0.3">
      <c r="A10" s="18" t="s">
        <v>3</v>
      </c>
      <c r="B10" s="7">
        <v>2.1499999999999998E-2</v>
      </c>
      <c r="C10" s="1">
        <v>5</v>
      </c>
      <c r="D10" s="38" t="s">
        <v>6</v>
      </c>
    </row>
    <row r="11" spans="1:4" x14ac:dyDescent="0.3">
      <c r="A11" s="18" t="s">
        <v>4</v>
      </c>
      <c r="B11" s="7" t="s">
        <v>6</v>
      </c>
      <c r="C11" s="1" t="s">
        <v>6</v>
      </c>
      <c r="D11" s="38">
        <v>-1800</v>
      </c>
    </row>
    <row r="12" spans="1:4" ht="15" thickBot="1" x14ac:dyDescent="0.35">
      <c r="A12" s="19" t="s">
        <v>5</v>
      </c>
      <c r="B12" s="8">
        <v>2.5000000000000001E-2</v>
      </c>
      <c r="C12" s="2">
        <v>15</v>
      </c>
      <c r="D12" s="39">
        <v>-1800</v>
      </c>
    </row>
  </sheetData>
  <scenarios current="3" show="3" sqref="B5:B6">
    <scenario name="Option_A" locked="1" count="2" user="M. Chiara Debernardi" comment="Modified by Massimo Ballerini on 21/02/2025_x000a_Modified by M. Chiara Debernardi on 2/24/2025">
      <inputCells r="B2" val="0.025" numFmtId="10"/>
      <inputCells r="B3" val="15"/>
    </scenario>
    <scenario name="Option_B" locked="1" count="2" user="M. Chiara Debernardi" comment="Modified by Massimo Ballerini on 21/02/2025_x000a_Modified by M. Chiara Debernardi on 2/24/2025">
      <inputCells r="B2" val="0.0215" numFmtId="10"/>
      <inputCells r="B3" val="5"/>
    </scenario>
    <scenario name="Option_C" locked="1" count="1" user="M. Chiara Debernardi" comment="Modified by Massimo Ballerini on 21/02/2025_x000a_Modified by M. Chiara Debernardi on 2/24/2025">
      <inputCells r="B4" val="-1800" numFmtId="165"/>
    </scenario>
    <scenario name="Option_D" locked="1" count="3" user="M. Chiara Debernardi" comment="Modified by Massimo Ballerini on 21/02/2025_x000a_Modified by M. Chiara Debernardi on 2/24/2025">
      <inputCells r="B2" val="0.025" numFmtId="10"/>
      <inputCells r="B3" val="15"/>
      <inputCells r="B4" val="-1800" numFmtId="165"/>
    </scenario>
  </scenarios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Case development</vt:lpstr>
      <vt:lpstr>Mortgage</vt:lpstr>
      <vt:lpstr>Repayment plan</vt:lpstr>
      <vt:lpstr>Investment</vt:lpstr>
      <vt:lpstr>Future_Value</vt:lpstr>
      <vt:lpstr>Installment</vt:lpstr>
      <vt:lpstr>Int_Rate</vt:lpstr>
      <vt:lpstr>Interests</vt:lpstr>
      <vt:lpstr>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BalleriniM</dc:creator>
  <cp:lastModifiedBy>PAVEL ANDREEV</cp:lastModifiedBy>
  <dcterms:created xsi:type="dcterms:W3CDTF">2011-11-21T17:49:06Z</dcterms:created>
  <dcterms:modified xsi:type="dcterms:W3CDTF">2026-02-02T12:35:56Z</dcterms:modified>
</cp:coreProperties>
</file>
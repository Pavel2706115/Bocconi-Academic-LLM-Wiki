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occoni-my.sharepoint.com/personal/pavel_andreev_studbocconi_it/Documents/30424 COMPUTER SCIENCE/30424 ENG - 13 - Lesson 11/"/>
    </mc:Choice>
  </mc:AlternateContent>
  <xr:revisionPtr revIDLastSave="1243" documentId="8_{EC262BC8-4217-41CD-B631-959FE36B3591}" xr6:coauthVersionLast="47" xr6:coauthVersionMax="47" xr10:uidLastSave="{34509B72-B48B-4E0F-B400-E2A900672C98}"/>
  <bookViews>
    <workbookView xWindow="-108" yWindow="-108" windowWidth="23256" windowHeight="12456" xr2:uid="{00000000-000D-0000-FFFF-FFFF00000000}"/>
  </bookViews>
  <sheets>
    <sheet name="Sales" sheetId="4" r:id="rId1"/>
    <sheet name="AVG-SUM" sheetId="5" state="hidden" r:id="rId2"/>
  </sheets>
  <definedNames>
    <definedName name="_xlnm._FilterDatabase" localSheetId="0" hidden="1">Sales!$A$1:$J$185</definedName>
    <definedName name="_xleta.RANK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4" l="1"/>
  <c r="H17" i="4"/>
  <c r="I17" i="4"/>
  <c r="F18" i="4"/>
  <c r="H18" i="4"/>
  <c r="I18" i="4"/>
  <c r="F19" i="4"/>
  <c r="H19" i="4"/>
  <c r="I19" i="4"/>
  <c r="F20" i="4"/>
  <c r="H20" i="4"/>
  <c r="I20" i="4"/>
  <c r="F21" i="4"/>
  <c r="H21" i="4"/>
  <c r="I21" i="4"/>
  <c r="F22" i="4"/>
  <c r="H22" i="4"/>
  <c r="I22" i="4"/>
  <c r="F23" i="4"/>
  <c r="H23" i="4"/>
  <c r="I23" i="4"/>
  <c r="F24" i="4"/>
  <c r="H24" i="4"/>
  <c r="I24" i="4"/>
  <c r="F25" i="4"/>
  <c r="H25" i="4"/>
  <c r="I25" i="4"/>
  <c r="F26" i="4"/>
  <c r="H26" i="4"/>
  <c r="I26" i="4"/>
  <c r="F27" i="4"/>
  <c r="H27" i="4"/>
  <c r="I27" i="4"/>
  <c r="F28" i="4"/>
  <c r="H28" i="4"/>
  <c r="I28" i="4"/>
  <c r="F29" i="4"/>
  <c r="H29" i="4"/>
  <c r="I29" i="4"/>
  <c r="F30" i="4"/>
  <c r="H30" i="4"/>
  <c r="I30" i="4"/>
  <c r="F31" i="4"/>
  <c r="H31" i="4"/>
  <c r="I31" i="4"/>
  <c r="F32" i="4"/>
  <c r="H32" i="4"/>
  <c r="I32" i="4"/>
  <c r="F33" i="4"/>
  <c r="H33" i="4"/>
  <c r="I33" i="4"/>
  <c r="F34" i="4"/>
  <c r="H34" i="4"/>
  <c r="I34" i="4"/>
  <c r="F35" i="4"/>
  <c r="H35" i="4"/>
  <c r="I35" i="4"/>
  <c r="F36" i="4"/>
  <c r="H36" i="4"/>
  <c r="I36" i="4"/>
  <c r="F37" i="4"/>
  <c r="H37" i="4"/>
  <c r="I37" i="4"/>
  <c r="F38" i="4"/>
  <c r="H38" i="4"/>
  <c r="I38" i="4"/>
  <c r="F39" i="4"/>
  <c r="H39" i="4"/>
  <c r="I39" i="4"/>
  <c r="F40" i="4"/>
  <c r="H40" i="4"/>
  <c r="I40" i="4"/>
  <c r="F41" i="4"/>
  <c r="H41" i="4"/>
  <c r="I41" i="4"/>
  <c r="F42" i="4"/>
  <c r="H42" i="4"/>
  <c r="I42" i="4"/>
  <c r="F43" i="4"/>
  <c r="H43" i="4"/>
  <c r="I43" i="4"/>
  <c r="F44" i="4"/>
  <c r="H44" i="4"/>
  <c r="I44" i="4"/>
  <c r="F45" i="4"/>
  <c r="H45" i="4"/>
  <c r="I45" i="4"/>
  <c r="F46" i="4"/>
  <c r="H46" i="4"/>
  <c r="I46" i="4"/>
  <c r="F47" i="4"/>
  <c r="H47" i="4"/>
  <c r="I47" i="4"/>
  <c r="F48" i="4"/>
  <c r="H48" i="4"/>
  <c r="I48" i="4"/>
  <c r="F49" i="4"/>
  <c r="H49" i="4"/>
  <c r="I49" i="4"/>
  <c r="F50" i="4"/>
  <c r="H50" i="4"/>
  <c r="I50" i="4"/>
  <c r="F51" i="4"/>
  <c r="H51" i="4"/>
  <c r="I51" i="4"/>
  <c r="F52" i="4"/>
  <c r="H52" i="4"/>
  <c r="I52" i="4"/>
  <c r="F53" i="4"/>
  <c r="H53" i="4"/>
  <c r="I53" i="4"/>
  <c r="F54" i="4"/>
  <c r="H54" i="4"/>
  <c r="I54" i="4"/>
  <c r="F55" i="4"/>
  <c r="H55" i="4"/>
  <c r="I55" i="4"/>
  <c r="F56" i="4"/>
  <c r="H56" i="4"/>
  <c r="I56" i="4"/>
  <c r="F57" i="4"/>
  <c r="H57" i="4"/>
  <c r="I57" i="4"/>
  <c r="F58" i="4"/>
  <c r="H58" i="4"/>
  <c r="I58" i="4"/>
  <c r="F59" i="4"/>
  <c r="H59" i="4"/>
  <c r="I59" i="4"/>
  <c r="F60" i="4"/>
  <c r="H60" i="4"/>
  <c r="I60" i="4"/>
  <c r="F61" i="4"/>
  <c r="H61" i="4"/>
  <c r="I61" i="4"/>
  <c r="F62" i="4"/>
  <c r="H62" i="4"/>
  <c r="I62" i="4"/>
  <c r="F63" i="4"/>
  <c r="H63" i="4"/>
  <c r="I63" i="4"/>
  <c r="F64" i="4"/>
  <c r="H64" i="4"/>
  <c r="I64" i="4"/>
  <c r="F65" i="4"/>
  <c r="H65" i="4"/>
  <c r="I65" i="4"/>
  <c r="F66" i="4"/>
  <c r="H66" i="4"/>
  <c r="I66" i="4"/>
  <c r="F67" i="4"/>
  <c r="H67" i="4"/>
  <c r="I67" i="4"/>
  <c r="F68" i="4"/>
  <c r="H68" i="4"/>
  <c r="I68" i="4"/>
  <c r="F69" i="4"/>
  <c r="H69" i="4"/>
  <c r="I69" i="4"/>
  <c r="F70" i="4"/>
  <c r="H70" i="4"/>
  <c r="I70" i="4"/>
  <c r="F71" i="4"/>
  <c r="H71" i="4"/>
  <c r="I71" i="4"/>
  <c r="F72" i="4"/>
  <c r="H72" i="4"/>
  <c r="I72" i="4"/>
  <c r="F73" i="4"/>
  <c r="H73" i="4"/>
  <c r="I73" i="4"/>
  <c r="F74" i="4"/>
  <c r="H74" i="4"/>
  <c r="I74" i="4"/>
  <c r="F75" i="4"/>
  <c r="H75" i="4"/>
  <c r="I75" i="4"/>
  <c r="F76" i="4"/>
  <c r="H76" i="4"/>
  <c r="I76" i="4"/>
  <c r="F77" i="4"/>
  <c r="H77" i="4"/>
  <c r="I77" i="4"/>
  <c r="F78" i="4"/>
  <c r="H78" i="4"/>
  <c r="I78" i="4"/>
  <c r="F79" i="4"/>
  <c r="H79" i="4"/>
  <c r="I79" i="4"/>
  <c r="F80" i="4"/>
  <c r="H80" i="4"/>
  <c r="I80" i="4"/>
  <c r="F81" i="4"/>
  <c r="H81" i="4"/>
  <c r="I81" i="4"/>
  <c r="F82" i="4"/>
  <c r="H82" i="4"/>
  <c r="I82" i="4"/>
  <c r="F83" i="4"/>
  <c r="H83" i="4"/>
  <c r="I83" i="4"/>
  <c r="F84" i="4"/>
  <c r="H84" i="4"/>
  <c r="I84" i="4"/>
  <c r="F85" i="4"/>
  <c r="H85" i="4"/>
  <c r="I85" i="4"/>
  <c r="F86" i="4"/>
  <c r="H86" i="4"/>
  <c r="I86" i="4"/>
  <c r="F87" i="4"/>
  <c r="H87" i="4"/>
  <c r="I87" i="4"/>
  <c r="F88" i="4"/>
  <c r="H88" i="4"/>
  <c r="I88" i="4"/>
  <c r="F89" i="4"/>
  <c r="H89" i="4"/>
  <c r="I89" i="4"/>
  <c r="F90" i="4"/>
  <c r="H90" i="4"/>
  <c r="I90" i="4"/>
  <c r="F91" i="4"/>
  <c r="H91" i="4"/>
  <c r="I91" i="4"/>
  <c r="F92" i="4"/>
  <c r="H92" i="4"/>
  <c r="I92" i="4"/>
  <c r="F93" i="4"/>
  <c r="H93" i="4"/>
  <c r="I93" i="4"/>
  <c r="F94" i="4"/>
  <c r="H94" i="4"/>
  <c r="I94" i="4"/>
  <c r="F95" i="4"/>
  <c r="H95" i="4"/>
  <c r="I95" i="4"/>
  <c r="F96" i="4"/>
  <c r="H96" i="4"/>
  <c r="I96" i="4"/>
  <c r="F97" i="4"/>
  <c r="H97" i="4"/>
  <c r="I97" i="4"/>
  <c r="F98" i="4"/>
  <c r="H98" i="4"/>
  <c r="I98" i="4"/>
  <c r="F99" i="4"/>
  <c r="H99" i="4"/>
  <c r="I99" i="4"/>
  <c r="F100" i="4"/>
  <c r="H100" i="4"/>
  <c r="I100" i="4"/>
  <c r="F101" i="4"/>
  <c r="H101" i="4"/>
  <c r="I101" i="4"/>
  <c r="F102" i="4"/>
  <c r="H102" i="4"/>
  <c r="I102" i="4"/>
  <c r="F103" i="4"/>
  <c r="H103" i="4"/>
  <c r="I103" i="4"/>
  <c r="F104" i="4"/>
  <c r="H104" i="4"/>
  <c r="I104" i="4"/>
  <c r="F105" i="4"/>
  <c r="H105" i="4"/>
  <c r="I105" i="4"/>
  <c r="F106" i="4"/>
  <c r="H106" i="4"/>
  <c r="I106" i="4"/>
  <c r="F107" i="4"/>
  <c r="H107" i="4"/>
  <c r="I107" i="4"/>
  <c r="F108" i="4"/>
  <c r="H108" i="4"/>
  <c r="I108" i="4"/>
  <c r="F109" i="4"/>
  <c r="H109" i="4"/>
  <c r="I109" i="4"/>
  <c r="F110" i="4"/>
  <c r="H110" i="4"/>
  <c r="I110" i="4"/>
  <c r="F111" i="4"/>
  <c r="H111" i="4"/>
  <c r="I111" i="4"/>
  <c r="F112" i="4"/>
  <c r="H112" i="4"/>
  <c r="I112" i="4"/>
  <c r="F113" i="4"/>
  <c r="H113" i="4"/>
  <c r="I113" i="4"/>
  <c r="F114" i="4"/>
  <c r="H114" i="4"/>
  <c r="I114" i="4"/>
  <c r="F115" i="4"/>
  <c r="H115" i="4"/>
  <c r="I115" i="4"/>
  <c r="F116" i="4"/>
  <c r="H116" i="4"/>
  <c r="I116" i="4"/>
  <c r="F117" i="4"/>
  <c r="H117" i="4"/>
  <c r="I117" i="4"/>
  <c r="F118" i="4"/>
  <c r="H118" i="4"/>
  <c r="I118" i="4"/>
  <c r="F119" i="4"/>
  <c r="H119" i="4"/>
  <c r="I119" i="4"/>
  <c r="F120" i="4"/>
  <c r="H120" i="4"/>
  <c r="I120" i="4"/>
  <c r="F121" i="4"/>
  <c r="H121" i="4"/>
  <c r="I121" i="4"/>
  <c r="F122" i="4"/>
  <c r="H122" i="4"/>
  <c r="I122" i="4"/>
  <c r="F123" i="4"/>
  <c r="H123" i="4"/>
  <c r="I123" i="4"/>
  <c r="F124" i="4"/>
  <c r="H124" i="4"/>
  <c r="I124" i="4"/>
  <c r="F125" i="4"/>
  <c r="H125" i="4"/>
  <c r="I125" i="4"/>
  <c r="F126" i="4"/>
  <c r="H126" i="4"/>
  <c r="I126" i="4"/>
  <c r="F127" i="4"/>
  <c r="H127" i="4"/>
  <c r="I127" i="4"/>
  <c r="F128" i="4"/>
  <c r="H128" i="4"/>
  <c r="I128" i="4"/>
  <c r="F129" i="4"/>
  <c r="H129" i="4"/>
  <c r="I129" i="4"/>
  <c r="F130" i="4"/>
  <c r="H130" i="4"/>
  <c r="I130" i="4"/>
  <c r="F131" i="4"/>
  <c r="H131" i="4"/>
  <c r="I131" i="4"/>
  <c r="F132" i="4"/>
  <c r="H132" i="4"/>
  <c r="I132" i="4"/>
  <c r="F133" i="4"/>
  <c r="H133" i="4"/>
  <c r="I133" i="4"/>
  <c r="F134" i="4"/>
  <c r="H134" i="4"/>
  <c r="I134" i="4"/>
  <c r="F135" i="4"/>
  <c r="H135" i="4"/>
  <c r="I135" i="4"/>
  <c r="F136" i="4"/>
  <c r="H136" i="4"/>
  <c r="I136" i="4"/>
  <c r="F137" i="4"/>
  <c r="H137" i="4"/>
  <c r="I137" i="4"/>
  <c r="F138" i="4"/>
  <c r="H138" i="4"/>
  <c r="I138" i="4"/>
  <c r="F139" i="4"/>
  <c r="H139" i="4"/>
  <c r="I139" i="4"/>
  <c r="F140" i="4"/>
  <c r="H140" i="4"/>
  <c r="I140" i="4"/>
  <c r="F141" i="4"/>
  <c r="H141" i="4"/>
  <c r="I141" i="4"/>
  <c r="F142" i="4"/>
  <c r="H142" i="4"/>
  <c r="I142" i="4"/>
  <c r="F143" i="4"/>
  <c r="H143" i="4"/>
  <c r="I143" i="4"/>
  <c r="F144" i="4"/>
  <c r="H144" i="4"/>
  <c r="I144" i="4"/>
  <c r="F145" i="4"/>
  <c r="H145" i="4"/>
  <c r="I145" i="4"/>
  <c r="F146" i="4"/>
  <c r="H146" i="4"/>
  <c r="I146" i="4"/>
  <c r="F147" i="4"/>
  <c r="H147" i="4"/>
  <c r="I147" i="4"/>
  <c r="F148" i="4"/>
  <c r="H148" i="4"/>
  <c r="I148" i="4"/>
  <c r="F149" i="4"/>
  <c r="H149" i="4"/>
  <c r="I149" i="4"/>
  <c r="F150" i="4"/>
  <c r="H150" i="4"/>
  <c r="I150" i="4"/>
  <c r="F151" i="4"/>
  <c r="H151" i="4"/>
  <c r="I151" i="4"/>
  <c r="F152" i="4"/>
  <c r="H152" i="4"/>
  <c r="I152" i="4"/>
  <c r="F153" i="4"/>
  <c r="H153" i="4"/>
  <c r="I153" i="4"/>
  <c r="F154" i="4"/>
  <c r="H154" i="4"/>
  <c r="I154" i="4"/>
  <c r="F155" i="4"/>
  <c r="H155" i="4"/>
  <c r="I155" i="4"/>
  <c r="F156" i="4"/>
  <c r="H156" i="4"/>
  <c r="I156" i="4"/>
  <c r="F157" i="4"/>
  <c r="H157" i="4"/>
  <c r="I157" i="4"/>
  <c r="F158" i="4"/>
  <c r="H158" i="4"/>
  <c r="I158" i="4"/>
  <c r="F159" i="4"/>
  <c r="H159" i="4"/>
  <c r="I159" i="4"/>
  <c r="F160" i="4"/>
  <c r="H160" i="4"/>
  <c r="I160" i="4"/>
  <c r="F161" i="4"/>
  <c r="H161" i="4"/>
  <c r="I161" i="4"/>
  <c r="F162" i="4"/>
  <c r="H162" i="4"/>
  <c r="I162" i="4"/>
  <c r="F163" i="4"/>
  <c r="H163" i="4"/>
  <c r="I163" i="4"/>
  <c r="F164" i="4"/>
  <c r="H164" i="4"/>
  <c r="I164" i="4"/>
  <c r="F165" i="4"/>
  <c r="H165" i="4"/>
  <c r="I165" i="4"/>
  <c r="F166" i="4"/>
  <c r="H166" i="4"/>
  <c r="I166" i="4"/>
  <c r="F167" i="4"/>
  <c r="H167" i="4"/>
  <c r="I167" i="4"/>
  <c r="F168" i="4"/>
  <c r="H168" i="4"/>
  <c r="I168" i="4"/>
  <c r="F169" i="4"/>
  <c r="H169" i="4"/>
  <c r="I169" i="4"/>
  <c r="F170" i="4"/>
  <c r="H170" i="4"/>
  <c r="I170" i="4"/>
  <c r="F171" i="4"/>
  <c r="H171" i="4"/>
  <c r="I171" i="4"/>
  <c r="F172" i="4"/>
  <c r="H172" i="4"/>
  <c r="I172" i="4"/>
  <c r="F173" i="4"/>
  <c r="H173" i="4"/>
  <c r="I173" i="4"/>
  <c r="F174" i="4"/>
  <c r="H174" i="4"/>
  <c r="I174" i="4"/>
  <c r="F175" i="4"/>
  <c r="H175" i="4"/>
  <c r="I175" i="4"/>
  <c r="F176" i="4"/>
  <c r="H176" i="4"/>
  <c r="I176" i="4"/>
  <c r="F177" i="4"/>
  <c r="H177" i="4"/>
  <c r="I177" i="4"/>
  <c r="F178" i="4"/>
  <c r="H178" i="4"/>
  <c r="I178" i="4"/>
  <c r="F179" i="4"/>
  <c r="H179" i="4"/>
  <c r="I179" i="4"/>
  <c r="F180" i="4"/>
  <c r="H180" i="4"/>
  <c r="I180" i="4"/>
  <c r="F181" i="4"/>
  <c r="H181" i="4"/>
  <c r="I181" i="4"/>
  <c r="F182" i="4"/>
  <c r="H182" i="4"/>
  <c r="I182" i="4"/>
  <c r="F183" i="4"/>
  <c r="H183" i="4"/>
  <c r="I183" i="4"/>
  <c r="F184" i="4"/>
  <c r="H184" i="4"/>
  <c r="I184" i="4"/>
  <c r="F185" i="4"/>
  <c r="H185" i="4"/>
  <c r="I185" i="4"/>
  <c r="I9" i="4"/>
  <c r="I10" i="4"/>
  <c r="I7" i="4"/>
  <c r="I11" i="4"/>
  <c r="I5" i="4"/>
  <c r="I3" i="4"/>
  <c r="I6" i="4"/>
  <c r="I15" i="4"/>
  <c r="I2" i="4"/>
  <c r="I4" i="4"/>
  <c r="I14" i="4"/>
  <c r="I13" i="4"/>
  <c r="I12" i="4"/>
  <c r="I16" i="4"/>
  <c r="I8" i="4"/>
  <c r="H9" i="4"/>
  <c r="H10" i="4"/>
  <c r="H7" i="4"/>
  <c r="H11" i="4"/>
  <c r="H5" i="4"/>
  <c r="H3" i="4"/>
  <c r="H6" i="4"/>
  <c r="H15" i="4"/>
  <c r="H2" i="4"/>
  <c r="H4" i="4"/>
  <c r="H14" i="4"/>
  <c r="H13" i="4"/>
  <c r="H12" i="4"/>
  <c r="H16" i="4"/>
  <c r="H8" i="4"/>
  <c r="F9" i="4"/>
  <c r="F10" i="4"/>
  <c r="F7" i="4"/>
  <c r="F11" i="4"/>
  <c r="F5" i="4"/>
  <c r="F3" i="4"/>
  <c r="F6" i="4"/>
  <c r="F15" i="4"/>
  <c r="F2" i="4"/>
  <c r="F4" i="4"/>
  <c r="F14" i="4"/>
  <c r="F13" i="4"/>
  <c r="F12" i="4"/>
  <c r="F16" i="4"/>
  <c r="F8" i="4"/>
  <c r="E187" i="4"/>
  <c r="D187" i="4"/>
  <c r="C187" i="4"/>
  <c r="D11" i="5"/>
  <c r="C11" i="5"/>
  <c r="B11" i="5"/>
  <c r="G7" i="5"/>
  <c r="G6" i="5"/>
  <c r="G5" i="5"/>
  <c r="G4" i="5"/>
  <c r="G3" i="5"/>
  <c r="G172" i="4" l="1"/>
  <c r="G116" i="4"/>
  <c r="G31" i="4"/>
  <c r="G168" i="4"/>
  <c r="G163" i="4"/>
  <c r="G142" i="4"/>
  <c r="G82" i="4"/>
  <c r="G87" i="4"/>
  <c r="G39" i="4"/>
  <c r="G138" i="4"/>
  <c r="G112" i="4"/>
  <c r="G91" i="4"/>
  <c r="G176" i="4"/>
  <c r="G151" i="4"/>
  <c r="G146" i="4"/>
  <c r="J109" i="4"/>
  <c r="J176" i="4"/>
  <c r="J95" i="4"/>
  <c r="G44" i="4"/>
  <c r="G19" i="4"/>
  <c r="J128" i="4"/>
  <c r="J31" i="4"/>
  <c r="G56" i="4"/>
  <c r="G99" i="4"/>
  <c r="G74" i="4"/>
  <c r="J93" i="4"/>
  <c r="G134" i="4"/>
  <c r="J159" i="4"/>
  <c r="G108" i="4"/>
  <c r="G78" i="4"/>
  <c r="G52" i="4"/>
  <c r="G27" i="4"/>
  <c r="G22" i="4"/>
  <c r="J112" i="4"/>
  <c r="J96" i="4"/>
  <c r="G104" i="4"/>
  <c r="G48" i="4"/>
  <c r="G18" i="4"/>
  <c r="J48" i="4"/>
  <c r="G159" i="4"/>
  <c r="J157" i="4"/>
  <c r="J164" i="4"/>
  <c r="J24" i="4"/>
  <c r="J129" i="4"/>
  <c r="J143" i="4"/>
  <c r="J178" i="4"/>
  <c r="J98" i="4"/>
  <c r="J33" i="4"/>
  <c r="J117" i="4"/>
  <c r="J57" i="4"/>
  <c r="J97" i="4"/>
  <c r="J52" i="4"/>
  <c r="J37" i="4"/>
  <c r="J126" i="4"/>
  <c r="J61" i="4"/>
  <c r="J172" i="4"/>
  <c r="J167" i="4"/>
  <c r="J162" i="4"/>
  <c r="J147" i="4"/>
  <c r="J87" i="4"/>
  <c r="J82" i="4"/>
  <c r="J67" i="4"/>
  <c r="J27" i="4"/>
  <c r="J22" i="4"/>
  <c r="J17" i="4"/>
  <c r="J125" i="4"/>
  <c r="J137" i="4"/>
  <c r="J132" i="4"/>
  <c r="J47" i="4"/>
  <c r="J179" i="4"/>
  <c r="J99" i="4"/>
  <c r="J44" i="4"/>
  <c r="J34" i="4"/>
  <c r="J69" i="4"/>
  <c r="J113" i="4"/>
  <c r="J142" i="4"/>
  <c r="J183" i="4"/>
  <c r="J103" i="4"/>
  <c r="J23" i="4"/>
  <c r="J168" i="4"/>
  <c r="J148" i="4"/>
  <c r="J73" i="4"/>
  <c r="J138" i="4"/>
  <c r="J62" i="4"/>
  <c r="J116" i="4"/>
  <c r="J106" i="4"/>
  <c r="J56" i="4"/>
  <c r="J46" i="4"/>
  <c r="J66" i="4"/>
  <c r="J146" i="4"/>
  <c r="J173" i="4"/>
  <c r="G58" i="4"/>
  <c r="G71" i="4"/>
  <c r="G88" i="4"/>
  <c r="G118" i="4"/>
  <c r="G135" i="4"/>
  <c r="G152" i="4"/>
  <c r="G182" i="4"/>
  <c r="G24" i="4"/>
  <c r="G114" i="4"/>
  <c r="G131" i="4"/>
  <c r="G148" i="4"/>
  <c r="G178" i="4"/>
  <c r="G20" i="4"/>
  <c r="G50" i="4"/>
  <c r="G80" i="4"/>
  <c r="G64" i="4"/>
  <c r="G90" i="4"/>
  <c r="G124" i="4"/>
  <c r="G26" i="4"/>
  <c r="G43" i="4"/>
  <c r="G150" i="4"/>
  <c r="G28" i="4"/>
  <c r="G54" i="4"/>
  <c r="G84" i="4"/>
  <c r="G110" i="4"/>
  <c r="G127" i="4"/>
  <c r="G144" i="4"/>
  <c r="G175" i="4"/>
  <c r="G47" i="4"/>
  <c r="G60" i="4"/>
  <c r="G86" i="4"/>
  <c r="G120" i="4"/>
  <c r="G167" i="4"/>
  <c r="G174" i="4"/>
  <c r="G30" i="4"/>
  <c r="G103" i="4"/>
  <c r="G42" i="4"/>
  <c r="G59" i="4"/>
  <c r="G72" i="4"/>
  <c r="G102" i="4"/>
  <c r="G119" i="4"/>
  <c r="G136" i="4"/>
  <c r="G166" i="4"/>
  <c r="G183" i="4"/>
  <c r="G38" i="4"/>
  <c r="G55" i="4"/>
  <c r="G68" i="4"/>
  <c r="G98" i="4"/>
  <c r="G115" i="4"/>
  <c r="G132" i="4"/>
  <c r="G162" i="4"/>
  <c r="G179" i="4"/>
  <c r="G34" i="4"/>
  <c r="G51" i="4"/>
  <c r="G94" i="4"/>
  <c r="G111" i="4"/>
  <c r="G128" i="4"/>
  <c r="G158" i="4"/>
  <c r="G107" i="4"/>
  <c r="G154" i="4"/>
  <c r="G171" i="4"/>
  <c r="G184" i="4"/>
  <c r="G180" i="4"/>
  <c r="J120" i="4"/>
  <c r="J115" i="4"/>
  <c r="J100" i="4"/>
  <c r="G95" i="4"/>
  <c r="J55" i="4"/>
  <c r="J50" i="4"/>
  <c r="J40" i="4"/>
  <c r="G35" i="4"/>
  <c r="J160" i="4"/>
  <c r="J119" i="4"/>
  <c r="J39" i="4"/>
  <c r="J144" i="4"/>
  <c r="J154" i="4"/>
  <c r="J79" i="4"/>
  <c r="J78" i="4"/>
  <c r="J83" i="4"/>
  <c r="J141" i="4"/>
  <c r="J163" i="4"/>
  <c r="J63" i="4"/>
  <c r="J127" i="4"/>
  <c r="J177" i="4"/>
  <c r="J51" i="4"/>
  <c r="J111" i="4"/>
  <c r="J161" i="4"/>
  <c r="J81" i="4"/>
  <c r="J110" i="4"/>
  <c r="J49" i="4"/>
  <c r="J53" i="4"/>
  <c r="J101" i="4"/>
  <c r="J165" i="4"/>
  <c r="J102" i="4"/>
  <c r="J166" i="4"/>
  <c r="J139" i="4"/>
  <c r="J60" i="4"/>
  <c r="J156" i="4"/>
  <c r="J19" i="4"/>
  <c r="J36" i="4"/>
  <c r="J85" i="4"/>
  <c r="J149" i="4"/>
  <c r="J38" i="4"/>
  <c r="J54" i="4"/>
  <c r="J118" i="4"/>
  <c r="J182" i="4"/>
  <c r="J107" i="4"/>
  <c r="J59" i="4"/>
  <c r="J76" i="4"/>
  <c r="J124" i="4"/>
  <c r="J77" i="4"/>
  <c r="J72" i="4"/>
  <c r="J88" i="4"/>
  <c r="J136" i="4"/>
  <c r="J152" i="4"/>
  <c r="J25" i="4"/>
  <c r="J41" i="4"/>
  <c r="J89" i="4"/>
  <c r="J105" i="4"/>
  <c r="J153" i="4"/>
  <c r="J169" i="4"/>
  <c r="J185" i="4"/>
  <c r="J42" i="4"/>
  <c r="J58" i="4"/>
  <c r="J122" i="4"/>
  <c r="J75" i="4"/>
  <c r="J123" i="4"/>
  <c r="J171" i="4"/>
  <c r="J28" i="4"/>
  <c r="J92" i="4"/>
  <c r="J140" i="4"/>
  <c r="J180" i="4"/>
  <c r="J170" i="4"/>
  <c r="G155" i="4"/>
  <c r="J90" i="4"/>
  <c r="G70" i="4"/>
  <c r="J65" i="4"/>
  <c r="J35" i="4"/>
  <c r="J20" i="4"/>
  <c r="J30" i="4"/>
  <c r="J114" i="4"/>
  <c r="J184" i="4"/>
  <c r="J104" i="4"/>
  <c r="J84" i="4"/>
  <c r="J80" i="4"/>
  <c r="J74" i="4"/>
  <c r="J134" i="4"/>
  <c r="J108" i="4"/>
  <c r="J43" i="4"/>
  <c r="J64" i="4"/>
  <c r="J18" i="4"/>
  <c r="J133" i="4"/>
  <c r="J181" i="4"/>
  <c r="J121" i="4"/>
  <c r="J175" i="4"/>
  <c r="J91" i="4"/>
  <c r="J86" i="4"/>
  <c r="J71" i="4"/>
  <c r="J26" i="4"/>
  <c r="J21" i="4"/>
  <c r="J174" i="4"/>
  <c r="J45" i="4"/>
  <c r="J151" i="4"/>
  <c r="J131" i="4"/>
  <c r="J32" i="4"/>
  <c r="J155" i="4"/>
  <c r="J150" i="4"/>
  <c r="J145" i="4"/>
  <c r="J135" i="4"/>
  <c r="J130" i="4"/>
  <c r="J70" i="4"/>
  <c r="J158" i="4"/>
  <c r="J94" i="4"/>
  <c r="J29" i="4"/>
  <c r="G67" i="4"/>
  <c r="G170" i="4"/>
  <c r="G140" i="4"/>
  <c r="G123" i="4"/>
  <c r="G106" i="4"/>
  <c r="G76" i="4"/>
  <c r="G63" i="4"/>
  <c r="G46" i="4"/>
  <c r="G156" i="4"/>
  <c r="G139" i="4"/>
  <c r="G122" i="4"/>
  <c r="G92" i="4"/>
  <c r="G75" i="4"/>
  <c r="G62" i="4"/>
  <c r="G32" i="4"/>
  <c r="G160" i="4"/>
  <c r="G143" i="4"/>
  <c r="G126" i="4"/>
  <c r="G96" i="4"/>
  <c r="G79" i="4"/>
  <c r="G66" i="4"/>
  <c r="G36" i="4"/>
  <c r="J68" i="4"/>
  <c r="G17" i="4"/>
  <c r="G164" i="4"/>
  <c r="G147" i="4"/>
  <c r="G130" i="4"/>
  <c r="G100" i="4"/>
  <c r="G83" i="4"/>
  <c r="G40" i="4"/>
  <c r="G23" i="4"/>
  <c r="G33" i="4"/>
  <c r="G185" i="4"/>
  <c r="G181" i="4"/>
  <c r="G177" i="4"/>
  <c r="G173" i="4"/>
  <c r="G169" i="4"/>
  <c r="G165" i="4"/>
  <c r="G161" i="4"/>
  <c r="G157" i="4"/>
  <c r="G153" i="4"/>
  <c r="G149" i="4"/>
  <c r="G145" i="4"/>
  <c r="G141" i="4"/>
  <c r="G137" i="4"/>
  <c r="G133" i="4"/>
  <c r="G129" i="4"/>
  <c r="G125" i="4"/>
  <c r="G121" i="4"/>
  <c r="G117" i="4"/>
  <c r="G113" i="4"/>
  <c r="G109" i="4"/>
  <c r="G105" i="4"/>
  <c r="G101" i="4"/>
  <c r="G97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29" i="4"/>
  <c r="G25" i="4"/>
  <c r="G21" i="4"/>
  <c r="G13" i="4"/>
  <c r="G8" i="4"/>
  <c r="J5" i="4"/>
  <c r="G6" i="4"/>
  <c r="J11" i="4"/>
  <c r="J15" i="4"/>
  <c r="J9" i="4"/>
  <c r="J4" i="4"/>
  <c r="G3" i="4"/>
  <c r="G16" i="4"/>
  <c r="G11" i="4"/>
  <c r="G4" i="4"/>
  <c r="J2" i="4"/>
  <c r="J8" i="4"/>
  <c r="J10" i="4"/>
  <c r="J12" i="4"/>
  <c r="J6" i="4"/>
  <c r="J13" i="4"/>
  <c r="J16" i="4"/>
  <c r="J7" i="4"/>
  <c r="J14" i="4"/>
  <c r="G9" i="4"/>
  <c r="G14" i="4"/>
  <c r="G2" i="4"/>
  <c r="J3" i="4"/>
  <c r="G12" i="4"/>
  <c r="G10" i="4"/>
  <c r="G15" i="4"/>
  <c r="G5" i="4"/>
  <c r="G7" i="4"/>
  <c r="G9" i="5"/>
  <c r="G11" i="5"/>
</calcChain>
</file>

<file path=xl/sharedStrings.xml><?xml version="1.0" encoding="utf-8"?>
<sst xmlns="http://schemas.openxmlformats.org/spreadsheetml/2006/main" count="204" uniqueCount="199">
  <si>
    <t>Akron, OH</t>
  </si>
  <si>
    <t>Albany-Schenectady-Troy, NY</t>
  </si>
  <si>
    <t>Albuquerque, NM</t>
  </si>
  <si>
    <t>Allentown-Bethlehem-Easton, PA-NJ</t>
  </si>
  <si>
    <t>Anchorage, AK</t>
  </si>
  <si>
    <t>Asheville, NC</t>
  </si>
  <si>
    <t>Baltimore-Towson, MD</t>
  </si>
  <si>
    <t>Ann Arbor, MI</t>
  </si>
  <si>
    <t>Atlanta-Sandy Springs-Marietta, GA</t>
  </si>
  <si>
    <t>Augusta-Richmond County, GA-SC</t>
  </si>
  <si>
    <t>Baton Rouge, LA</t>
  </si>
  <si>
    <t>Birmingham-Hoover, AL</t>
  </si>
  <si>
    <t>Beaumont-Port Arthur, TX</t>
  </si>
  <si>
    <t>Boston-Cambridge-Quincy, MA-NH</t>
  </si>
  <si>
    <t>Bridgeport-Stamford-Norwalk, CT</t>
  </si>
  <si>
    <t>Brownsville-Harlingen, TX</t>
  </si>
  <si>
    <t>Canton-Massillon, OH</t>
  </si>
  <si>
    <t>Charleston, WV</t>
  </si>
  <si>
    <t>Chattanooga, TN-GA</t>
  </si>
  <si>
    <t>Cincinnati-Middletown, OH-KY-IN</t>
  </si>
  <si>
    <t>Cleveland-Elyria-Mentor, OH</t>
  </si>
  <si>
    <t>Columbia, SC</t>
  </si>
  <si>
    <t>Columbus, GA-AL</t>
  </si>
  <si>
    <t>Columbus, OH</t>
  </si>
  <si>
    <t>Dayton, OH</t>
  </si>
  <si>
    <t>Detroit-Warren-Livonia, MI</t>
  </si>
  <si>
    <t>Duluth, MN-WI</t>
  </si>
  <si>
    <t>Erie, PA</t>
  </si>
  <si>
    <t>Eugene-Springfield, OR</t>
  </si>
  <si>
    <t>Evansville, IN-KY</t>
  </si>
  <si>
    <t>Fayetteville, NC</t>
  </si>
  <si>
    <t>Fayetteville-Springdale-Rogers, AR-MO</t>
  </si>
  <si>
    <t>Flint, MI</t>
  </si>
  <si>
    <t>Fresno, CA</t>
  </si>
  <si>
    <t>Harrisburg-Carlisle, PA</t>
  </si>
  <si>
    <t>Hickory-Lenoir-Morganton, NC</t>
  </si>
  <si>
    <t>Honolulu, HI</t>
  </si>
  <si>
    <t>Huntington-Ashland, WV-KY-OH</t>
  </si>
  <si>
    <t>Huntsville, AL</t>
  </si>
  <si>
    <t>Jackson, MS</t>
  </si>
  <si>
    <t>Jacksonville, FL</t>
  </si>
  <si>
    <t>Kalamazoo-Portage, MI</t>
  </si>
  <si>
    <t>Kingsport-Bristol-Bristol, TN-VA</t>
  </si>
  <si>
    <t>Knoxville, TN</t>
  </si>
  <si>
    <t>Lancaster, PA</t>
  </si>
  <si>
    <t>Lexington-Fayette, KY</t>
  </si>
  <si>
    <t>Lincoln, NE</t>
  </si>
  <si>
    <t>Lubbock, TX</t>
  </si>
  <si>
    <t>Madison, WI</t>
  </si>
  <si>
    <t>Manchester-Nashua, NH</t>
  </si>
  <si>
    <t>McAllen-Edinburg-Mission, TX</t>
  </si>
  <si>
    <t>Memphis, TN-MS-AR</t>
  </si>
  <si>
    <t>Mobile, AL</t>
  </si>
  <si>
    <t>Modesto, CA</t>
  </si>
  <si>
    <t>Montgomery, AL</t>
  </si>
  <si>
    <t>Ocala, FL</t>
  </si>
  <si>
    <t>Ogden-Clearfield, UT</t>
  </si>
  <si>
    <t>Peoria, IL</t>
  </si>
  <si>
    <t>Pittsburgh, PA</t>
  </si>
  <si>
    <t>Poughkeepsie-Newburgh-Middletown, NY</t>
  </si>
  <si>
    <t>Provo-Orem, UT</t>
  </si>
  <si>
    <t>Raleigh-Cary, NC</t>
  </si>
  <si>
    <t>Reading, PA</t>
  </si>
  <si>
    <t>Reno-Sparks, NV</t>
  </si>
  <si>
    <t>Richmond, VA</t>
  </si>
  <si>
    <t>Roanoke, VA</t>
  </si>
  <si>
    <t>Rochester, NY</t>
  </si>
  <si>
    <t>Rockford, IL</t>
  </si>
  <si>
    <t>Sacramento--Arden-Arcade--Roseville, CA</t>
  </si>
  <si>
    <t>Salem, OR</t>
  </si>
  <si>
    <t>Salinas, CA</t>
  </si>
  <si>
    <t>Savannah, GA</t>
  </si>
  <si>
    <t>Scranton--Wilkes-Barre, PA</t>
  </si>
  <si>
    <t>Seattle-Tacoma-Bellevue, WA</t>
  </si>
  <si>
    <t>Spartanburg, SC</t>
  </si>
  <si>
    <t>Spokane, WA</t>
  </si>
  <si>
    <t>Springfield, MA</t>
  </si>
  <si>
    <t>Springfield, MO</t>
  </si>
  <si>
    <t>Stockton, CA</t>
  </si>
  <si>
    <t>Syracuse, NY</t>
  </si>
  <si>
    <t>Tallahassee, FL</t>
  </si>
  <si>
    <t>Toledo, OH</t>
  </si>
  <si>
    <t>Trenton-Ewing, NJ</t>
  </si>
  <si>
    <t>Tucson, AZ</t>
  </si>
  <si>
    <t>Tulsa, OK</t>
  </si>
  <si>
    <t>Utica-Rome, NY</t>
  </si>
  <si>
    <t>Vallejo-Fairfield, CA</t>
  </si>
  <si>
    <t>Visalia-Porterville, CA</t>
  </si>
  <si>
    <t>Washington-Arlington-Alexandria, DC-VA-MD-WV</t>
  </si>
  <si>
    <t>Wichita, KS</t>
  </si>
  <si>
    <t>Wilmington, NC</t>
  </si>
  <si>
    <t>Winston-Salem, NC</t>
  </si>
  <si>
    <t>Worcester, MA</t>
  </si>
  <si>
    <t>York-Hanover, PA</t>
  </si>
  <si>
    <t>Youngstown-Warren-Boardman, OH-PA</t>
  </si>
  <si>
    <t>Boise City-Nampa, ID</t>
  </si>
  <si>
    <t>Buffalo-Niagara Falls, NY</t>
  </si>
  <si>
    <t>Cape Coral-Fort Myers, FL</t>
  </si>
  <si>
    <t>Colorado Springs, CO</t>
  </si>
  <si>
    <t>Corpus Christi, TX</t>
  </si>
  <si>
    <t>Dallas-Fort Worth-Arlington, TX</t>
  </si>
  <si>
    <t>Davenport-Moline-Rock Island, IA-IL</t>
  </si>
  <si>
    <t>El Paso, TX</t>
  </si>
  <si>
    <t>Fort Collins-Loveland, CO</t>
  </si>
  <si>
    <t>Fort Smith, AR-OK</t>
  </si>
  <si>
    <t>Fort Wayne, IN</t>
  </si>
  <si>
    <t>Grand Rapids-Wyoming, MI</t>
  </si>
  <si>
    <t>Green Bay, WI</t>
  </si>
  <si>
    <t>Greensboro-High Point, NC</t>
  </si>
  <si>
    <t>Hartford-West Hartford-East Hartford, CT</t>
  </si>
  <si>
    <t>Holland-Grand Haven, MI</t>
  </si>
  <si>
    <t>Houston-Sugar Land-Baytown, TX</t>
  </si>
  <si>
    <t>Kansas City, MO-KS</t>
  </si>
  <si>
    <t>Killeen-Temple-Fort Hood, TX</t>
  </si>
  <si>
    <t>Lansing-East Lansing, MI</t>
  </si>
  <si>
    <t>Las Vegas-Paradise, NV</t>
  </si>
  <si>
    <t>Los Angeles-Long Beach-Santa Ana, CA</t>
  </si>
  <si>
    <t>Shreveport-Bossier City, LA</t>
  </si>
  <si>
    <t>Oklahoma City, OK</t>
  </si>
  <si>
    <t>Tampa-St. Petersburg-Clearwater, FL</t>
  </si>
  <si>
    <t>Minneapolis-St. Paul-Bloomington, MN-WI</t>
  </si>
  <si>
    <t>Riverside-San Bernardino-Ontario, CA</t>
  </si>
  <si>
    <t>San Diego-Carlsbad-San Marcos, CA</t>
  </si>
  <si>
    <t>San Francisco-Oakland-Fremont, CA</t>
  </si>
  <si>
    <t>South Bend-Mishawaka, IN-MI</t>
  </si>
  <si>
    <t>Portland-South Portland-Biddeford, ME</t>
  </si>
  <si>
    <t>New Haven-Milford, CT</t>
  </si>
  <si>
    <t>New Orleans-Metairie-Kenner, LA</t>
  </si>
  <si>
    <t>Norwich-New London, CT</t>
  </si>
  <si>
    <t>Milwaukee-Waukesha-West Allis, WI</t>
  </si>
  <si>
    <t>Naples-Marco Island, FL</t>
  </si>
  <si>
    <t>Omaha-Council Bluffs, NE-IA</t>
  </si>
  <si>
    <t>Oxnard-Thousand Oaks-Ventura, CA</t>
  </si>
  <si>
    <t>Palm Bay-Melbourne-Titusville, FL</t>
  </si>
  <si>
    <t>Pensacola-Ferry Pass-Brent, FL</t>
  </si>
  <si>
    <t>Providence-New Bedford-Fall River, RI-MA</t>
  </si>
  <si>
    <t>Salt Lake City, UT</t>
  </si>
  <si>
    <t>San Jose-Sunnyvale-Santa Clara, CA</t>
  </si>
  <si>
    <t>Santa Rosa-Petaluma, CA</t>
  </si>
  <si>
    <t>San Luis Obispo-Paso Robles, CA</t>
  </si>
  <si>
    <t>Deltona-Daytona Beach-Ormond Beach, FL</t>
  </si>
  <si>
    <t>Virginia Beach-Norfolk-Newport News, VA-NC</t>
  </si>
  <si>
    <t>Indianapolis-Carmel, IN</t>
  </si>
  <si>
    <t>Des Moines-West Des Moines, IA</t>
  </si>
  <si>
    <t>Hagerstown-Martinsburg, MD-WV</t>
  </si>
  <si>
    <t>Lafayette, LA</t>
  </si>
  <si>
    <t>New York-Northern New Jersey-Long Island, NY-NJ-PA</t>
  </si>
  <si>
    <t>Miami-Fort Lauderdale-Pompano Beach, FL</t>
  </si>
  <si>
    <t>Nashville-Davidson--Murfreesboro--Franklin, TN</t>
  </si>
  <si>
    <t>Louisville/Jefferson County, KY-IN</t>
  </si>
  <si>
    <t>Little Rock-North Little Rock-Conway, AR</t>
  </si>
  <si>
    <t>Greenville-Mauldin-Easley, SC</t>
  </si>
  <si>
    <t>Santa Barbara-Santa Maria-Goleta, CA</t>
  </si>
  <si>
    <t>Port St. Lucie, FL</t>
  </si>
  <si>
    <t>Clarksville, TN-KY</t>
  </si>
  <si>
    <t>Gainesville, FL</t>
  </si>
  <si>
    <t>Cedar Rapids, IA</t>
  </si>
  <si>
    <t>Santa Cruz-Watsonville, CA</t>
  </si>
  <si>
    <t>Atlantic City-Hammonton, NJ</t>
  </si>
  <si>
    <t>Charleston-North Charleston-Summerville, SC</t>
  </si>
  <si>
    <t>Lakeland-Winter Haven, FL</t>
  </si>
  <si>
    <t>Myrtle Beach-North Myrtle Beach-Conway, SC</t>
  </si>
  <si>
    <t>Philadelphia-Camden-Wilmington, PA-NJ-DE-MD</t>
  </si>
  <si>
    <t>Durham-Chapel Hill, NC</t>
  </si>
  <si>
    <t>Olympia, WA</t>
  </si>
  <si>
    <t>Austin-Round Rock-San Marcos, TX</t>
  </si>
  <si>
    <t>Bakersfield-Delano, CA</t>
  </si>
  <si>
    <t>Binghamton, NY</t>
  </si>
  <si>
    <t>Bremerton-Silverdale, WA</t>
  </si>
  <si>
    <t>Charlotte-Gastonia-Rock Hill, NC-SC</t>
  </si>
  <si>
    <t>Chicago-Joliet-Naperville, IL-IN-WI</t>
  </si>
  <si>
    <t>Denver-Aurora-Broomfield, CO \1</t>
  </si>
  <si>
    <t>Greeley, CO \1</t>
  </si>
  <si>
    <t>Kennewick-Pasco-Richland, WA</t>
  </si>
  <si>
    <t>Laredo, TX</t>
  </si>
  <si>
    <t>Lynchburg, VA</t>
  </si>
  <si>
    <t>Merced, CA</t>
  </si>
  <si>
    <t>North Port-Bradenton-Sarasota, FL</t>
  </si>
  <si>
    <t>Orlando-Kissimmee-Sanford, FL</t>
  </si>
  <si>
    <t>Phoenix-Mesa-Glendale, AZ</t>
  </si>
  <si>
    <t>Portland-Vancouver-Hillsboro, OR-WA</t>
  </si>
  <si>
    <t>St. Louis, MO-IL \2</t>
  </si>
  <si>
    <t>San Antonio-New Braunfels, TX</t>
  </si>
  <si>
    <t>Boulder, CO</t>
  </si>
  <si>
    <t>Stores</t>
  </si>
  <si>
    <t>Expected 
Tax Rate</t>
  </si>
  <si>
    <t>Total amount of expected TAXATION</t>
  </si>
  <si>
    <t>Ranking on Average Sales</t>
  </si>
  <si>
    <t>Not available</t>
  </si>
  <si>
    <t>Not existing</t>
  </si>
  <si>
    <t>Closed</t>
  </si>
  <si>
    <t>Sales 2022</t>
  </si>
  <si>
    <t>Sales 2023</t>
  </si>
  <si>
    <t>Sales 2024</t>
  </si>
  <si>
    <t>Average
Sales</t>
  </si>
  <si>
    <t>% on
Grand Avg.</t>
  </si>
  <si>
    <t>Var. %
2022-2023</t>
  </si>
  <si>
    <t>Var. %
2023-2024</t>
  </si>
  <si>
    <t>Total amount of US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</si>
</sst>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_);\(0\)"/>
    <numFmt numFmtId="165" formatCode="_(* #,##0_);_(* \(#,##0\);_(* &quot;-&quot;??_);_(@_)"/>
    <numFmt numFmtId="166" formatCode="[$$-409]#,##0"/>
    <numFmt numFmtId="167" formatCode="[$$-409]#,##0.00"/>
  </numFmts>
  <fonts count="9" x14ac:knownFonts="1">
    <font>
      <sz val="10"/>
      <name val="Arial"/>
    </font>
    <font>
      <sz val="10"/>
      <name val="Arial"/>
      <family val="2"/>
    </font>
    <font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4"/>
      <name val="Calibri"/>
      <family val="2"/>
      <scheme val="minor"/>
    </font>
    <font>
      <i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6F0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7">
    <xf numFmtId="0" fontId="0" fillId="0" borderId="0" xfId="0"/>
    <xf numFmtId="0" fontId="3" fillId="6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0" borderId="0" xfId="0" applyFont="1" applyAlignment="1">
      <alignment vertical="center"/>
    </xf>
    <xf numFmtId="1" fontId="2" fillId="2" borderId="5" xfId="0" applyNumberFormat="1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3" fontId="2" fillId="0" borderId="0" xfId="1" applyNumberFormat="1" applyFont="1" applyAlignment="1" applyProtection="1">
      <alignment vertical="center"/>
    </xf>
    <xf numFmtId="165" fontId="0" fillId="8" borderId="3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65" fontId="5" fillId="9" borderId="3" xfId="0" applyNumberFormat="1" applyFont="1" applyFill="1" applyBorder="1" applyAlignment="1">
      <alignment vertical="center"/>
    </xf>
    <xf numFmtId="165" fontId="6" fillId="3" borderId="3" xfId="0" applyNumberFormat="1" applyFont="1" applyFill="1" applyBorder="1" applyAlignment="1">
      <alignment vertical="center"/>
    </xf>
    <xf numFmtId="165" fontId="5" fillId="10" borderId="3" xfId="0" applyNumberFormat="1" applyFont="1" applyFill="1" applyBorder="1" applyAlignment="1">
      <alignment vertical="center"/>
    </xf>
    <xf numFmtId="165" fontId="6" fillId="4" borderId="3" xfId="0" applyNumberFormat="1" applyFont="1" applyFill="1" applyBorder="1" applyAlignment="1">
      <alignment vertical="center"/>
    </xf>
    <xf numFmtId="10" fontId="2" fillId="13" borderId="7" xfId="2" applyNumberFormat="1" applyFont="1" applyFill="1" applyBorder="1" applyAlignment="1" applyProtection="1">
      <alignment horizontal="center" vertical="center"/>
    </xf>
    <xf numFmtId="164" fontId="3" fillId="11" borderId="1" xfId="1" applyNumberFormat="1" applyFont="1" applyFill="1" applyBorder="1" applyAlignment="1" applyProtection="1">
      <alignment horizontal="center" vertical="center" wrapText="1"/>
    </xf>
    <xf numFmtId="10" fontId="2" fillId="13" borderId="8" xfId="2" applyNumberFormat="1" applyFont="1" applyFill="1" applyBorder="1" applyAlignment="1" applyProtection="1">
      <alignment horizontal="center" vertical="center"/>
    </xf>
    <xf numFmtId="3" fontId="8" fillId="0" borderId="0" xfId="1" applyNumberFormat="1" applyFont="1" applyAlignment="1" applyProtection="1">
      <alignment vertical="center"/>
    </xf>
    <xf numFmtId="10" fontId="2" fillId="7" borderId="4" xfId="2" quotePrefix="1" applyNumberFormat="1" applyFont="1" applyFill="1" applyBorder="1" applyAlignment="1" applyProtection="1">
      <alignment horizontal="center" vertical="center"/>
    </xf>
    <xf numFmtId="10" fontId="2" fillId="14" borderId="4" xfId="2" quotePrefix="1" applyNumberFormat="1" applyFont="1" applyFill="1" applyBorder="1" applyAlignment="1" applyProtection="1">
      <alignment horizontal="center" vertical="center"/>
    </xf>
    <xf numFmtId="3" fontId="2" fillId="0" borderId="0" xfId="1" applyNumberFormat="1" applyFont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10" fontId="2" fillId="13" borderId="4" xfId="2" applyNumberFormat="1" applyFont="1" applyFill="1" applyBorder="1" applyAlignment="1" applyProtection="1">
      <alignment horizontal="center" vertical="center"/>
    </xf>
    <xf numFmtId="3" fontId="2" fillId="12" borderId="4" xfId="0" quotePrefix="1" applyNumberFormat="1" applyFont="1" applyFill="1" applyBorder="1" applyAlignment="1">
      <alignment horizontal="center" vertical="center"/>
    </xf>
    <xf numFmtId="166" fontId="2" fillId="0" borderId="4" xfId="0" quotePrefix="1" applyNumberFormat="1" applyFont="1" applyBorder="1" applyAlignment="1">
      <alignment vertical="center"/>
    </xf>
    <xf numFmtId="166" fontId="2" fillId="0" borderId="5" xfId="0" applyNumberFormat="1" applyFont="1" applyBorder="1" applyAlignment="1">
      <alignment vertical="center"/>
    </xf>
    <xf numFmtId="166" fontId="2" fillId="0" borderId="5" xfId="0" quotePrefix="1" applyNumberFormat="1" applyFont="1" applyBorder="1" applyAlignment="1">
      <alignment vertical="center"/>
    </xf>
    <xf numFmtId="166" fontId="2" fillId="0" borderId="6" xfId="0" quotePrefix="1" applyNumberFormat="1" applyFont="1" applyBorder="1" applyAlignment="1">
      <alignment vertical="center"/>
    </xf>
    <xf numFmtId="167" fontId="2" fillId="7" borderId="4" xfId="1" quotePrefix="1" applyNumberFormat="1" applyFont="1" applyFill="1" applyBorder="1" applyAlignment="1" applyProtection="1">
      <alignment vertical="center"/>
    </xf>
    <xf numFmtId="1" fontId="3" fillId="5" borderId="3" xfId="0" applyNumberFormat="1" applyFont="1" applyFill="1" applyBorder="1" applyAlignment="1">
      <alignment horizontal="right" vertical="center" indent="1"/>
    </xf>
    <xf numFmtId="1" fontId="3" fillId="5" borderId="0" xfId="0" applyNumberFormat="1" applyFont="1" applyFill="1" applyAlignment="1">
      <alignment horizontal="right" vertical="center" indent="1"/>
    </xf>
    <xf numFmtId="166" fontId="7" fillId="0" borderId="3" xfId="0" applyNumberFormat="1" applyFont="1" applyBorder="1" applyAlignment="1">
      <alignment vertical="center"/>
    </xf>
    <xf numFmtId="0" fontId="3" fillId="5" borderId="3" xfId="0" applyFont="1" applyFill="1" applyBorder="1" applyAlignment="1">
      <alignment horizontal="center" vertical="center" wrapText="1"/>
    </xf>
    <xf numFmtId="0" fontId="3" fillId="5" borderId="2" xfId="1" applyNumberFormat="1" applyFont="1" applyFill="1" applyBorder="1" applyAlignment="1" applyProtection="1">
      <alignment horizontal="center" vertical="center" wrapText="1"/>
    </xf>
    <xf numFmtId="10" fontId="2" fillId="0" borderId="0" xfId="1" applyNumberFormat="1" applyFont="1" applyAlignment="1" applyProtection="1">
      <alignment horizontal="center" vertical="center"/>
    </xf>
    <xf numFmtId="0" fontId="2" fillId="2" borderId="4" xfId="0" quotePrefix="1" applyFont="1" applyFill="1" applyBorder="1" applyAlignment="1">
      <alignment vertical="center"/>
    </xf>
    <xf numFmtId="1" fontId="2" fillId="2" borderId="6" xfId="0" applyNumberFormat="1" applyFont="1" applyFill="1" applyBorder="1" applyAlignment="1">
      <alignment vertical="center"/>
    </xf>
    <xf numFmtId="166" fontId="2" fillId="0" borderId="6" xfId="0" applyNumberFormat="1" applyFont="1" applyBorder="1" applyAlignme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color rgb="FFFF0000"/>
      </font>
    </dxf>
  </dxfs>
  <tableStyles count="0" defaultTableStyle="TableStyleMedium9" defaultPivotStyle="PivotStyleLight16"/>
  <colors>
    <mruColors>
      <color rgb="FFFEF6F0"/>
      <color rgb="FFFEF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149860</xdr:colOff>
          <xdr:row>1</xdr:row>
          <xdr:rowOff>160020</xdr:rowOff>
        </xdr:from>
        <xdr:to>
          <xdr:col>14</xdr:col>
          <xdr:colOff>5080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BE83EDB-4290-9A44-7A6D-556B14CC3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170</xdr:row>
          <xdr:rowOff>30480</xdr:rowOff>
        </xdr:from>
        <xdr:to>
          <xdr:col>14</xdr:col>
          <xdr:colOff>457200</xdr:colOff>
          <xdr:row>174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388620</xdr:colOff>
          <xdr:row>176</xdr:row>
          <xdr:rowOff>190500</xdr:rowOff>
        </xdr:from>
        <xdr:to>
          <xdr:col>14</xdr:col>
          <xdr:colOff>480060</xdr:colOff>
          <xdr:row>182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Top15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139700</xdr:colOff>
          <xdr:row>5</xdr:row>
          <xdr:rowOff>129540</xdr:rowOff>
        </xdr:from>
        <xdr:to>
          <xdr:col>14</xdr:col>
          <xdr:colOff>30480</xdr:colOff>
          <xdr:row>9</xdr:row>
          <xdr:rowOff>193040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Top15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157480</xdr:colOff>
          <xdr:row>10</xdr:row>
          <xdr:rowOff>129540</xdr:rowOff>
        </xdr:from>
        <xdr:to>
          <xdr:col>14</xdr:col>
          <xdr:colOff>50800</xdr:colOff>
          <xdr:row>14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91D3BE2-BA40-101F-1B67-DF2006DE3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Bottom15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88"/>
  <sheetViews>
    <sheetView showGridLines="0" tabSelected="1" zoomScale="75" zoomScaleNormal="75" workbookViewId="0">
      <selection activeCell="K1" sqref="K1"/>
    </sheetView>
  </sheetViews>
  <sheetFormatPr defaultColWidth="9.109375" defaultRowHeight="15.75" customHeight="1" x14ac:dyDescent="0.25"/>
  <cols>
    <col min="1" max="1" width="60.6640625" style="3" customWidth="1"/>
    <col min="2" max="3" width="18.6640625" style="3" customWidth="1"/>
    <col min="4" max="6" width="18.6640625" style="6" customWidth="1"/>
    <col min="7" max="7" width="18.6640625" style="19" customWidth="1"/>
    <col min="8" max="9" width="18.6640625" style="20" customWidth="1"/>
    <col min="10" max="10" width="18.6640625" style="19" customWidth="1"/>
    <col min="11" max="16384" width="9.109375" style="3"/>
  </cols>
  <sheetData>
    <row r="1" spans="1:10" ht="39" customHeight="1" x14ac:dyDescent="0.25">
      <c r="A1" s="31" t="s">
        <v>184</v>
      </c>
      <c r="B1" s="32" t="s">
        <v>185</v>
      </c>
      <c r="C1" s="32" t="s">
        <v>191</v>
      </c>
      <c r="D1" s="32" t="s">
        <v>192</v>
      </c>
      <c r="E1" s="32" t="s">
        <v>193</v>
      </c>
      <c r="F1" s="1" t="s">
        <v>194</v>
      </c>
      <c r="G1" s="1" t="s">
        <v>195</v>
      </c>
      <c r="H1" s="2" t="s">
        <v>196</v>
      </c>
      <c r="I1" s="2" t="s">
        <v>197</v>
      </c>
      <c r="J1" s="14" t="s">
        <v>187</v>
      </c>
    </row>
    <row r="2" spans="1:10" ht="17.100000000000001" customHeight="1" x14ac:dyDescent="0.25">
      <c r="A2" s="34" t="s">
        <v>146</v>
      </c>
      <c r="B2" s="21">
        <v>7.0000000000000007E-2</v>
      </c>
      <c r="C2" s="23">
        <v>16846046</v>
      </c>
      <c r="D2" s="23">
        <v>17309992</v>
      </c>
      <c r="E2" s="23">
        <v>18897109</v>
      </c>
      <c r="F2" s="27">
        <f t="shared" ref="F2:F33" si="0">AVERAGE(C2,D2,E2)</f>
        <v>17684382.333333332</v>
      </c>
      <c r="G2" s="17">
        <f t="shared" ref="G2:G33" si="1">_xlfn.PERCENTOF(F2,$C$187+$D$187+$E$187)</f>
        <v>2.9926536245893573E-2</v>
      </c>
      <c r="H2" s="18">
        <f t="shared" ref="H2:H33" si="2">IFERROR((D2-C2)/C2,"Not available")</f>
        <v>2.7540349824522622E-2</v>
      </c>
      <c r="I2" s="18">
        <f t="shared" ref="I2:I33" si="3">IFERROR((E2-D2)/D2,"Not available")</f>
        <v>9.1687910658768648E-2</v>
      </c>
      <c r="J2" s="22">
        <f t="shared" ref="J2:J33" si="4">_xlfn.RANK.AVG(F2,$F$2:$F$185)</f>
        <v>1</v>
      </c>
    </row>
    <row r="3" spans="1:10" ht="17.100000000000001" customHeight="1" x14ac:dyDescent="0.25">
      <c r="A3" s="4" t="s">
        <v>116</v>
      </c>
      <c r="B3" s="13">
        <v>4.5600000000000002E-2</v>
      </c>
      <c r="C3" s="24">
        <v>11273720</v>
      </c>
      <c r="D3" s="25">
        <v>12807280</v>
      </c>
      <c r="E3" s="25">
        <v>12828837</v>
      </c>
      <c r="F3" s="27">
        <f t="shared" si="0"/>
        <v>12303279</v>
      </c>
      <c r="G3" s="17">
        <f t="shared" si="1"/>
        <v>2.08203214563412E-2</v>
      </c>
      <c r="H3" s="18">
        <f t="shared" si="2"/>
        <v>0.13602963351937072</v>
      </c>
      <c r="I3" s="18">
        <f t="shared" si="3"/>
        <v>1.6831833144898838E-3</v>
      </c>
      <c r="J3" s="22">
        <f t="shared" si="4"/>
        <v>2</v>
      </c>
    </row>
    <row r="4" spans="1:10" ht="17.100000000000001" customHeight="1" x14ac:dyDescent="0.25">
      <c r="A4" s="4" t="s">
        <v>162</v>
      </c>
      <c r="B4" s="13">
        <v>4.19E-2</v>
      </c>
      <c r="C4" s="24">
        <v>5435550</v>
      </c>
      <c r="D4" s="25">
        <v>5788213</v>
      </c>
      <c r="E4" s="25">
        <v>5965343</v>
      </c>
      <c r="F4" s="27">
        <f t="shared" si="0"/>
        <v>5729702</v>
      </c>
      <c r="G4" s="17">
        <f t="shared" si="1"/>
        <v>9.6961336477081501E-3</v>
      </c>
      <c r="H4" s="18">
        <f t="shared" si="2"/>
        <v>6.4880830826687275E-2</v>
      </c>
      <c r="I4" s="18">
        <f t="shared" si="3"/>
        <v>3.0601845509140732E-2</v>
      </c>
      <c r="J4" s="22">
        <f t="shared" si="4"/>
        <v>3</v>
      </c>
    </row>
    <row r="5" spans="1:10" ht="17.100000000000001" customHeight="1" x14ac:dyDescent="0.25">
      <c r="A5" s="4" t="s">
        <v>111</v>
      </c>
      <c r="B5" s="13">
        <v>7.5300000000000006E-2</v>
      </c>
      <c r="C5" s="24">
        <v>3767233</v>
      </c>
      <c r="D5" s="25">
        <v>5662253</v>
      </c>
      <c r="E5" s="25">
        <v>5946800</v>
      </c>
      <c r="F5" s="27">
        <f t="shared" si="0"/>
        <v>5125428.666666667</v>
      </c>
      <c r="G5" s="17">
        <f t="shared" si="1"/>
        <v>8.6735473073110241E-3</v>
      </c>
      <c r="H5" s="18">
        <f t="shared" si="2"/>
        <v>0.50302702275118105</v>
      </c>
      <c r="I5" s="18">
        <f t="shared" si="3"/>
        <v>5.0253317893071893E-2</v>
      </c>
      <c r="J5" s="22">
        <f t="shared" si="4"/>
        <v>4</v>
      </c>
    </row>
    <row r="6" spans="1:10" ht="17.100000000000001" customHeight="1" x14ac:dyDescent="0.25">
      <c r="A6" s="4" t="s">
        <v>147</v>
      </c>
      <c r="B6" s="13">
        <v>8.2600000000000007E-2</v>
      </c>
      <c r="C6" s="24">
        <v>4056228</v>
      </c>
      <c r="D6" s="25">
        <v>5314116</v>
      </c>
      <c r="E6" s="25">
        <v>5564635</v>
      </c>
      <c r="F6" s="27">
        <f t="shared" si="0"/>
        <v>4978326.333333333</v>
      </c>
      <c r="G6" s="17">
        <f t="shared" si="1"/>
        <v>8.4246122171632784E-3</v>
      </c>
      <c r="H6" s="18">
        <f t="shared" si="2"/>
        <v>0.3101127451415453</v>
      </c>
      <c r="I6" s="18">
        <f t="shared" si="3"/>
        <v>4.7142177551261585E-2</v>
      </c>
      <c r="J6" s="22">
        <f t="shared" si="4"/>
        <v>5</v>
      </c>
    </row>
    <row r="7" spans="1:10" ht="17.100000000000001" customHeight="1" x14ac:dyDescent="0.25">
      <c r="A7" s="4" t="s">
        <v>100</v>
      </c>
      <c r="B7" s="13">
        <v>4.5600000000000002E-2</v>
      </c>
      <c r="C7" s="24">
        <v>3989294</v>
      </c>
      <c r="D7" s="25">
        <v>4160094</v>
      </c>
      <c r="E7" s="25">
        <v>6371773</v>
      </c>
      <c r="F7" s="27">
        <f t="shared" si="0"/>
        <v>4840387</v>
      </c>
      <c r="G7" s="17">
        <f t="shared" si="1"/>
        <v>8.1911832864307969E-3</v>
      </c>
      <c r="H7" s="18">
        <f t="shared" si="2"/>
        <v>4.2814593258857329E-2</v>
      </c>
      <c r="I7" s="18">
        <f t="shared" si="3"/>
        <v>0.53164159271401079</v>
      </c>
      <c r="J7" s="22">
        <f t="shared" si="4"/>
        <v>6</v>
      </c>
    </row>
    <row r="8" spans="1:10" ht="17.100000000000001" customHeight="1" x14ac:dyDescent="0.25">
      <c r="A8" s="4" t="s">
        <v>88</v>
      </c>
      <c r="B8" s="13">
        <v>8.6800000000000002E-2</v>
      </c>
      <c r="C8" s="24">
        <v>4122259</v>
      </c>
      <c r="D8" s="25">
        <v>4735383</v>
      </c>
      <c r="E8" s="25">
        <v>5582170</v>
      </c>
      <c r="F8" s="27">
        <f t="shared" si="0"/>
        <v>4813270.666666667</v>
      </c>
      <c r="G8" s="17">
        <f t="shared" si="1"/>
        <v>8.1452954563070307E-3</v>
      </c>
      <c r="H8" s="18">
        <f t="shared" si="2"/>
        <v>0.14873495333505246</v>
      </c>
      <c r="I8" s="18">
        <f t="shared" si="3"/>
        <v>0.17882122734317371</v>
      </c>
      <c r="J8" s="22">
        <f t="shared" si="4"/>
        <v>7</v>
      </c>
    </row>
    <row r="9" spans="1:10" ht="17.100000000000001" customHeight="1" x14ac:dyDescent="0.25">
      <c r="A9" s="4" t="s">
        <v>8</v>
      </c>
      <c r="B9" s="13">
        <v>4.5699999999999998E-2</v>
      </c>
      <c r="C9" s="24">
        <v>3068975</v>
      </c>
      <c r="D9" s="25">
        <v>5205495</v>
      </c>
      <c r="E9" s="25">
        <v>5268860</v>
      </c>
      <c r="F9" s="27">
        <f t="shared" si="0"/>
        <v>4514443.333333333</v>
      </c>
      <c r="G9" s="17">
        <f t="shared" si="1"/>
        <v>7.6396025316857793E-3</v>
      </c>
      <c r="H9" s="18">
        <f t="shared" si="2"/>
        <v>0.69616728712355103</v>
      </c>
      <c r="I9" s="18">
        <f t="shared" si="3"/>
        <v>1.2172713642026359E-2</v>
      </c>
      <c r="J9" s="22">
        <f t="shared" si="4"/>
        <v>8</v>
      </c>
    </row>
    <row r="10" spans="1:10" ht="17.100000000000001" customHeight="1" x14ac:dyDescent="0.25">
      <c r="A10" s="4" t="s">
        <v>13</v>
      </c>
      <c r="B10" s="13">
        <v>9.8699999999999996E-2</v>
      </c>
      <c r="C10" s="24">
        <v>4133895</v>
      </c>
      <c r="D10" s="25">
        <v>4495101</v>
      </c>
      <c r="E10" s="25">
        <v>4552402</v>
      </c>
      <c r="F10" s="27">
        <f t="shared" si="0"/>
        <v>4393799.333333333</v>
      </c>
      <c r="G10" s="17">
        <f t="shared" si="1"/>
        <v>7.4354417659436688E-3</v>
      </c>
      <c r="H10" s="18">
        <f t="shared" si="2"/>
        <v>8.7376675024401926E-2</v>
      </c>
      <c r="I10" s="18">
        <f t="shared" si="3"/>
        <v>1.2747433261232618E-2</v>
      </c>
      <c r="J10" s="22">
        <f t="shared" si="4"/>
        <v>9</v>
      </c>
    </row>
    <row r="11" spans="1:10" ht="17.100000000000001" customHeight="1" x14ac:dyDescent="0.25">
      <c r="A11" s="4" t="s">
        <v>25</v>
      </c>
      <c r="B11" s="13">
        <v>7.6799999999999993E-2</v>
      </c>
      <c r="C11" s="24">
        <v>4248699</v>
      </c>
      <c r="D11" s="25">
        <v>4263136</v>
      </c>
      <c r="E11" s="25">
        <v>4296250</v>
      </c>
      <c r="F11" s="27">
        <f t="shared" si="0"/>
        <v>4269361.666666667</v>
      </c>
      <c r="G11" s="17">
        <f t="shared" si="1"/>
        <v>7.2248611377000093E-3</v>
      </c>
      <c r="H11" s="18">
        <f t="shared" si="2"/>
        <v>3.3979813585288108E-3</v>
      </c>
      <c r="I11" s="18">
        <f t="shared" si="3"/>
        <v>7.767521373936933E-3</v>
      </c>
      <c r="J11" s="22">
        <f t="shared" si="4"/>
        <v>10</v>
      </c>
    </row>
    <row r="12" spans="1:10" ht="17.100000000000001" customHeight="1" x14ac:dyDescent="0.25">
      <c r="A12" s="4" t="s">
        <v>123</v>
      </c>
      <c r="B12" s="13">
        <v>3.5999999999999997E-2</v>
      </c>
      <c r="C12" s="24">
        <v>3684112</v>
      </c>
      <c r="D12" s="25">
        <v>4225963</v>
      </c>
      <c r="E12" s="25">
        <v>4335391</v>
      </c>
      <c r="F12" s="27">
        <f t="shared" si="0"/>
        <v>4081822</v>
      </c>
      <c r="G12" s="17">
        <f t="shared" si="1"/>
        <v>6.9074956495390819E-3</v>
      </c>
      <c r="H12" s="18">
        <f t="shared" si="2"/>
        <v>0.14707777613709899</v>
      </c>
      <c r="I12" s="18">
        <f t="shared" si="3"/>
        <v>2.5894216300521324E-2</v>
      </c>
      <c r="J12" s="22">
        <f t="shared" si="4"/>
        <v>11</v>
      </c>
    </row>
    <row r="13" spans="1:10" ht="17.100000000000001" customHeight="1" x14ac:dyDescent="0.25">
      <c r="A13" s="4" t="s">
        <v>121</v>
      </c>
      <c r="B13" s="13">
        <v>5.5500000000000001E-2</v>
      </c>
      <c r="C13" s="24">
        <v>2588793</v>
      </c>
      <c r="D13" s="25">
        <v>3501046</v>
      </c>
      <c r="E13" s="25">
        <v>4224851</v>
      </c>
      <c r="F13" s="27">
        <f t="shared" si="0"/>
        <v>3438230</v>
      </c>
      <c r="G13" s="17">
        <f t="shared" si="1"/>
        <v>5.8183719836667931E-3</v>
      </c>
      <c r="H13" s="18">
        <f t="shared" si="2"/>
        <v>0.35238545530677812</v>
      </c>
      <c r="I13" s="18">
        <f t="shared" si="3"/>
        <v>0.2067396429524205</v>
      </c>
      <c r="J13" s="22">
        <f t="shared" si="4"/>
        <v>12</v>
      </c>
    </row>
    <row r="14" spans="1:10" ht="17.100000000000001" customHeight="1" x14ac:dyDescent="0.25">
      <c r="A14" s="4" t="s">
        <v>179</v>
      </c>
      <c r="B14" s="13">
        <v>6.7599999999999993E-2</v>
      </c>
      <c r="C14" s="24">
        <v>2238498</v>
      </c>
      <c r="D14" s="25">
        <v>3756451</v>
      </c>
      <c r="E14" s="25">
        <v>4192887</v>
      </c>
      <c r="F14" s="27">
        <f t="shared" si="0"/>
        <v>3395945.3333333335</v>
      </c>
      <c r="G14" s="17">
        <f t="shared" si="1"/>
        <v>5.7468154211703865E-3</v>
      </c>
      <c r="H14" s="18">
        <f t="shared" si="2"/>
        <v>0.6781122877929755</v>
      </c>
      <c r="I14" s="18">
        <f t="shared" si="3"/>
        <v>0.11618306747512479</v>
      </c>
      <c r="J14" s="22">
        <f t="shared" si="4"/>
        <v>13</v>
      </c>
    </row>
    <row r="15" spans="1:10" ht="17.100000000000001" customHeight="1" x14ac:dyDescent="0.25">
      <c r="A15" s="4" t="s">
        <v>120</v>
      </c>
      <c r="B15" s="13">
        <v>8.1500000000000003E-2</v>
      </c>
      <c r="C15" s="24">
        <v>2538776</v>
      </c>
      <c r="D15" s="25">
        <v>3146194</v>
      </c>
      <c r="E15" s="25">
        <v>3279833</v>
      </c>
      <c r="F15" s="27">
        <f t="shared" si="0"/>
        <v>2988267.6666666665</v>
      </c>
      <c r="G15" s="17">
        <f t="shared" si="1"/>
        <v>5.056919656750908E-3</v>
      </c>
      <c r="H15" s="18">
        <f t="shared" si="2"/>
        <v>0.23925624001487331</v>
      </c>
      <c r="I15" s="18">
        <f t="shared" si="3"/>
        <v>4.2476401645925206E-2</v>
      </c>
      <c r="J15" s="22">
        <f t="shared" si="4"/>
        <v>14</v>
      </c>
    </row>
    <row r="16" spans="1:10" ht="17.100000000000001" customHeight="1" x14ac:dyDescent="0.25">
      <c r="A16" s="4" t="s">
        <v>73</v>
      </c>
      <c r="B16" s="13">
        <v>5.7700000000000001E-2</v>
      </c>
      <c r="C16" s="24">
        <v>2559136</v>
      </c>
      <c r="D16" s="25">
        <v>2586873</v>
      </c>
      <c r="E16" s="25">
        <v>3439809</v>
      </c>
      <c r="F16" s="27">
        <f t="shared" si="0"/>
        <v>2861939.3333333335</v>
      </c>
      <c r="G16" s="17">
        <f t="shared" si="1"/>
        <v>4.8431395328470432E-3</v>
      </c>
      <c r="H16" s="18">
        <f t="shared" si="2"/>
        <v>1.0838423592962625E-2</v>
      </c>
      <c r="I16" s="18">
        <f t="shared" si="3"/>
        <v>0.32971699808997196</v>
      </c>
      <c r="J16" s="22">
        <f t="shared" si="4"/>
        <v>15</v>
      </c>
    </row>
    <row r="17" spans="1:10" ht="17.100000000000001" customHeight="1" x14ac:dyDescent="0.25">
      <c r="A17" s="4" t="s">
        <v>122</v>
      </c>
      <c r="B17" s="13">
        <v>9.1899999999999996E-2</v>
      </c>
      <c r="C17" s="24">
        <v>2498016</v>
      </c>
      <c r="D17" s="25">
        <v>2571881</v>
      </c>
      <c r="E17" s="25">
        <v>3095313</v>
      </c>
      <c r="F17" s="27">
        <f t="shared" si="0"/>
        <v>2721736.6666666665</v>
      </c>
      <c r="G17" s="17">
        <f t="shared" si="1"/>
        <v>4.6058804583323336E-3</v>
      </c>
      <c r="H17" s="18">
        <f t="shared" si="2"/>
        <v>2.9569466328478282E-2</v>
      </c>
      <c r="I17" s="18">
        <f t="shared" si="3"/>
        <v>0.20352108048545015</v>
      </c>
      <c r="J17" s="22">
        <f t="shared" si="4"/>
        <v>16</v>
      </c>
    </row>
    <row r="18" spans="1:10" ht="17.100000000000001" customHeight="1" x14ac:dyDescent="0.25">
      <c r="A18" s="5" t="s">
        <v>181</v>
      </c>
      <c r="B18" s="13">
        <v>5.2600000000000001E-2</v>
      </c>
      <c r="C18" s="24">
        <v>2580720</v>
      </c>
      <c r="D18" s="25">
        <v>2674048</v>
      </c>
      <c r="E18" s="25">
        <v>2812896</v>
      </c>
      <c r="F18" s="27">
        <f t="shared" si="0"/>
        <v>2689221.3333333335</v>
      </c>
      <c r="G18" s="17">
        <f t="shared" si="1"/>
        <v>4.550856127642923E-3</v>
      </c>
      <c r="H18" s="18">
        <f t="shared" si="2"/>
        <v>3.6163551257013545E-2</v>
      </c>
      <c r="I18" s="18">
        <f t="shared" si="3"/>
        <v>5.1924273610645735E-2</v>
      </c>
      <c r="J18" s="22">
        <f t="shared" si="4"/>
        <v>17</v>
      </c>
    </row>
    <row r="19" spans="1:10" ht="17.100000000000001" customHeight="1" x14ac:dyDescent="0.25">
      <c r="A19" s="4" t="s">
        <v>6</v>
      </c>
      <c r="B19" s="13">
        <v>4.8300000000000003E-2</v>
      </c>
      <c r="C19" s="24">
        <v>2382172</v>
      </c>
      <c r="D19" s="25">
        <v>2649739</v>
      </c>
      <c r="E19" s="25">
        <v>2710489</v>
      </c>
      <c r="F19" s="27">
        <f t="shared" si="0"/>
        <v>2580800</v>
      </c>
      <c r="G19" s="17">
        <f t="shared" si="1"/>
        <v>4.367379266496791E-3</v>
      </c>
      <c r="H19" s="18">
        <f t="shared" si="2"/>
        <v>0.11232060489334943</v>
      </c>
      <c r="I19" s="18">
        <f t="shared" si="3"/>
        <v>2.2926786374054198E-2</v>
      </c>
      <c r="J19" s="22">
        <f t="shared" si="4"/>
        <v>18</v>
      </c>
    </row>
    <row r="20" spans="1:10" ht="17.100000000000001" customHeight="1" x14ac:dyDescent="0.25">
      <c r="A20" s="4" t="s">
        <v>119</v>
      </c>
      <c r="B20" s="13">
        <v>7.3999999999999996E-2</v>
      </c>
      <c r="C20" s="24">
        <v>2067959</v>
      </c>
      <c r="D20" s="25">
        <v>2519733</v>
      </c>
      <c r="E20" s="25">
        <v>2783243</v>
      </c>
      <c r="F20" s="27">
        <f t="shared" si="0"/>
        <v>2456978.3333333335</v>
      </c>
      <c r="G20" s="17">
        <f t="shared" si="1"/>
        <v>4.1578410691381906E-3</v>
      </c>
      <c r="H20" s="18">
        <f t="shared" si="2"/>
        <v>0.21846371228829972</v>
      </c>
      <c r="I20" s="18">
        <f t="shared" si="3"/>
        <v>0.10457854066284007</v>
      </c>
      <c r="J20" s="22">
        <f t="shared" si="4"/>
        <v>19</v>
      </c>
    </row>
    <row r="21" spans="1:10" ht="17.100000000000001" customHeight="1" x14ac:dyDescent="0.25">
      <c r="A21" s="4" t="s">
        <v>58</v>
      </c>
      <c r="B21" s="13">
        <v>8.0600000000000005E-2</v>
      </c>
      <c r="C21" s="24">
        <v>2468289</v>
      </c>
      <c r="D21" s="25">
        <v>2380513</v>
      </c>
      <c r="E21" s="25">
        <v>2356285</v>
      </c>
      <c r="F21" s="27">
        <f t="shared" si="0"/>
        <v>2401695.6666666665</v>
      </c>
      <c r="G21" s="17">
        <f t="shared" si="1"/>
        <v>4.0642885380638514E-3</v>
      </c>
      <c r="H21" s="18">
        <f t="shared" si="2"/>
        <v>-3.5561475985996779E-2</v>
      </c>
      <c r="I21" s="18">
        <f t="shared" si="3"/>
        <v>-1.0177638181349986E-2</v>
      </c>
      <c r="J21" s="22">
        <f t="shared" si="4"/>
        <v>20</v>
      </c>
    </row>
    <row r="22" spans="1:10" ht="17.100000000000001" customHeight="1" x14ac:dyDescent="0.25">
      <c r="A22" s="4" t="s">
        <v>20</v>
      </c>
      <c r="B22" s="13">
        <v>4.6300000000000001E-2</v>
      </c>
      <c r="C22" s="24">
        <v>2102248</v>
      </c>
      <c r="D22" s="25">
        <v>2090807</v>
      </c>
      <c r="E22" s="25">
        <v>2077240</v>
      </c>
      <c r="F22" s="27">
        <f t="shared" si="0"/>
        <v>2090098.3333333333</v>
      </c>
      <c r="G22" s="17">
        <f t="shared" si="1"/>
        <v>3.5369854796727749E-3</v>
      </c>
      <c r="H22" s="18">
        <f t="shared" si="2"/>
        <v>-5.4422694182608335E-3</v>
      </c>
      <c r="I22" s="18">
        <f t="shared" si="3"/>
        <v>-6.4888820441102403E-3</v>
      </c>
      <c r="J22" s="22">
        <f t="shared" si="4"/>
        <v>21</v>
      </c>
    </row>
    <row r="23" spans="1:10" ht="17.100000000000001" customHeight="1" x14ac:dyDescent="0.25">
      <c r="A23" s="4" t="s">
        <v>171</v>
      </c>
      <c r="B23" s="13">
        <v>7.1999999999999995E-2</v>
      </c>
      <c r="C23" s="24">
        <v>1666883</v>
      </c>
      <c r="D23" s="25">
        <v>2038114</v>
      </c>
      <c r="E23" s="25">
        <v>2543482</v>
      </c>
      <c r="F23" s="27">
        <f t="shared" si="0"/>
        <v>2082826.3333333333</v>
      </c>
      <c r="G23" s="17">
        <f t="shared" si="1"/>
        <v>3.5246793800036941E-3</v>
      </c>
      <c r="H23" s="18">
        <f t="shared" si="2"/>
        <v>0.22270969228194179</v>
      </c>
      <c r="I23" s="18">
        <f t="shared" si="3"/>
        <v>0.2479586519694188</v>
      </c>
      <c r="J23" s="22">
        <f t="shared" si="4"/>
        <v>22</v>
      </c>
    </row>
    <row r="24" spans="1:10" ht="17.100000000000001" customHeight="1" x14ac:dyDescent="0.25">
      <c r="A24" s="4" t="s">
        <v>19</v>
      </c>
      <c r="B24" s="13">
        <v>8.5199999999999998E-2</v>
      </c>
      <c r="C24" s="24">
        <v>1844915</v>
      </c>
      <c r="D24" s="25">
        <v>2008870</v>
      </c>
      <c r="E24" s="25">
        <v>2130151</v>
      </c>
      <c r="F24" s="27">
        <f t="shared" si="0"/>
        <v>1994645.3333333333</v>
      </c>
      <c r="G24" s="17">
        <f t="shared" si="1"/>
        <v>3.3754543834526424E-3</v>
      </c>
      <c r="H24" s="18">
        <f t="shared" si="2"/>
        <v>8.8868592862001772E-2</v>
      </c>
      <c r="I24" s="18">
        <f t="shared" si="3"/>
        <v>6.0372746867642005E-2</v>
      </c>
      <c r="J24" s="22">
        <f t="shared" si="4"/>
        <v>23</v>
      </c>
    </row>
    <row r="25" spans="1:10" ht="17.100000000000001" customHeight="1" x14ac:dyDescent="0.25">
      <c r="A25" s="4" t="s">
        <v>180</v>
      </c>
      <c r="B25" s="13">
        <v>8.0699999999999994E-2</v>
      </c>
      <c r="C25" s="24">
        <v>1523741</v>
      </c>
      <c r="D25" s="25">
        <v>1907084</v>
      </c>
      <c r="E25" s="25">
        <v>2226009</v>
      </c>
      <c r="F25" s="27">
        <f t="shared" si="0"/>
        <v>1885611.3333333333</v>
      </c>
      <c r="G25" s="17">
        <f t="shared" si="1"/>
        <v>3.1909407322812185E-3</v>
      </c>
      <c r="H25" s="18">
        <f t="shared" si="2"/>
        <v>0.25158015699518488</v>
      </c>
      <c r="I25" s="18">
        <f t="shared" si="3"/>
        <v>0.16723175277019786</v>
      </c>
      <c r="J25" s="22">
        <f t="shared" si="4"/>
        <v>24</v>
      </c>
    </row>
    <row r="26" spans="1:10" ht="17.100000000000001" customHeight="1" x14ac:dyDescent="0.25">
      <c r="A26" s="4" t="s">
        <v>68</v>
      </c>
      <c r="B26" s="13">
        <v>5.8299999999999998E-2</v>
      </c>
      <c r="C26" s="24">
        <v>1481220</v>
      </c>
      <c r="D26" s="25">
        <v>1976893</v>
      </c>
      <c r="E26" s="25">
        <v>2149127</v>
      </c>
      <c r="F26" s="27">
        <f t="shared" si="0"/>
        <v>1869080</v>
      </c>
      <c r="G26" s="17">
        <f t="shared" si="1"/>
        <v>3.1629654523495899E-3</v>
      </c>
      <c r="H26" s="18">
        <f t="shared" si="2"/>
        <v>0.33463833866677467</v>
      </c>
      <c r="I26" s="18">
        <f t="shared" si="3"/>
        <v>8.7123582308197764E-2</v>
      </c>
      <c r="J26" s="22">
        <f t="shared" si="4"/>
        <v>25</v>
      </c>
    </row>
    <row r="27" spans="1:10" ht="17.100000000000001" customHeight="1" x14ac:dyDescent="0.25">
      <c r="A27" s="4" t="s">
        <v>112</v>
      </c>
      <c r="B27" s="13">
        <v>4.2099999999999999E-2</v>
      </c>
      <c r="C27" s="24">
        <v>1636527</v>
      </c>
      <c r="D27" s="25">
        <v>1801913</v>
      </c>
      <c r="E27" s="25">
        <v>2035334</v>
      </c>
      <c r="F27" s="27">
        <f t="shared" si="0"/>
        <v>1824591.3333333333</v>
      </c>
      <c r="G27" s="17">
        <f t="shared" si="1"/>
        <v>3.0876791533748196E-3</v>
      </c>
      <c r="H27" s="18">
        <f t="shared" si="2"/>
        <v>0.10105913315209587</v>
      </c>
      <c r="I27" s="18">
        <f t="shared" si="3"/>
        <v>0.12954066039814352</v>
      </c>
      <c r="J27" s="22">
        <f t="shared" si="4"/>
        <v>26</v>
      </c>
    </row>
    <row r="28" spans="1:10" ht="17.100000000000001" customHeight="1" x14ac:dyDescent="0.25">
      <c r="A28" s="4" t="s">
        <v>178</v>
      </c>
      <c r="B28" s="13">
        <v>8.4599999999999995E-2</v>
      </c>
      <c r="C28" s="24">
        <v>1224844</v>
      </c>
      <c r="D28" s="25">
        <v>1917461</v>
      </c>
      <c r="E28" s="25">
        <v>2134411</v>
      </c>
      <c r="F28" s="27">
        <f t="shared" si="0"/>
        <v>1758905.3333333333</v>
      </c>
      <c r="G28" s="17">
        <f t="shared" si="1"/>
        <v>2.9765214989656797E-3</v>
      </c>
      <c r="H28" s="18">
        <f t="shared" si="2"/>
        <v>0.56547364399058164</v>
      </c>
      <c r="I28" s="18">
        <f t="shared" si="3"/>
        <v>0.11314441336746875</v>
      </c>
      <c r="J28" s="22">
        <f t="shared" si="4"/>
        <v>27</v>
      </c>
    </row>
    <row r="29" spans="1:10" ht="17.100000000000001" customHeight="1" x14ac:dyDescent="0.25">
      <c r="A29" s="4" t="s">
        <v>23</v>
      </c>
      <c r="B29" s="13">
        <v>5.3100000000000001E-2</v>
      </c>
      <c r="C29" s="24">
        <v>1405168</v>
      </c>
      <c r="D29" s="25">
        <v>1761922</v>
      </c>
      <c r="E29" s="25">
        <v>1836536</v>
      </c>
      <c r="F29" s="27">
        <f t="shared" si="0"/>
        <v>1667875.3333333333</v>
      </c>
      <c r="G29" s="17">
        <f t="shared" si="1"/>
        <v>2.8224752595712274E-3</v>
      </c>
      <c r="H29" s="18">
        <f t="shared" si="2"/>
        <v>0.25388707969438529</v>
      </c>
      <c r="I29" s="18">
        <f t="shared" si="3"/>
        <v>4.2348072162104795E-2</v>
      </c>
      <c r="J29" s="22">
        <f t="shared" si="4"/>
        <v>28</v>
      </c>
    </row>
    <row r="30" spans="1:10" ht="17.100000000000001" customHeight="1" x14ac:dyDescent="0.25">
      <c r="A30" s="4" t="s">
        <v>182</v>
      </c>
      <c r="B30" s="13">
        <v>7.3200000000000001E-2</v>
      </c>
      <c r="C30" s="24">
        <v>1407745</v>
      </c>
      <c r="D30" s="25">
        <v>1424051</v>
      </c>
      <c r="E30" s="25">
        <v>2142508</v>
      </c>
      <c r="F30" s="27">
        <f t="shared" si="0"/>
        <v>1658101.3333333333</v>
      </c>
      <c r="G30" s="17">
        <f t="shared" si="1"/>
        <v>2.8059351305605561E-3</v>
      </c>
      <c r="H30" s="18">
        <f t="shared" si="2"/>
        <v>1.158306369406391E-2</v>
      </c>
      <c r="I30" s="18">
        <f t="shared" si="3"/>
        <v>0.50451634105800991</v>
      </c>
      <c r="J30" s="22">
        <f t="shared" si="4"/>
        <v>29</v>
      </c>
    </row>
    <row r="31" spans="1:10" ht="17.100000000000001" customHeight="1" x14ac:dyDescent="0.25">
      <c r="A31" s="4" t="s">
        <v>137</v>
      </c>
      <c r="B31" s="13">
        <v>3.7499999999999999E-2</v>
      </c>
      <c r="C31" s="24">
        <v>1534274</v>
      </c>
      <c r="D31" s="25">
        <v>1591400</v>
      </c>
      <c r="E31" s="25">
        <v>1836911</v>
      </c>
      <c r="F31" s="27">
        <f t="shared" si="0"/>
        <v>1654195</v>
      </c>
      <c r="G31" s="17">
        <f t="shared" si="1"/>
        <v>2.7993246069988602E-3</v>
      </c>
      <c r="H31" s="18">
        <f t="shared" si="2"/>
        <v>3.7233245170028302E-2</v>
      </c>
      <c r="I31" s="18">
        <f t="shared" si="3"/>
        <v>0.15427359557622219</v>
      </c>
      <c r="J31" s="22">
        <f t="shared" si="4"/>
        <v>30</v>
      </c>
    </row>
    <row r="32" spans="1:10" ht="17.100000000000001" customHeight="1" x14ac:dyDescent="0.25">
      <c r="A32" s="4" t="s">
        <v>142</v>
      </c>
      <c r="B32" s="13">
        <v>8.5500000000000007E-2</v>
      </c>
      <c r="C32" s="24">
        <v>1294217</v>
      </c>
      <c r="D32" s="25">
        <v>1734207</v>
      </c>
      <c r="E32" s="25">
        <v>1756241</v>
      </c>
      <c r="F32" s="27">
        <f t="shared" si="0"/>
        <v>1594888.3333333333</v>
      </c>
      <c r="G32" s="17">
        <f t="shared" si="1"/>
        <v>2.6989624300130279E-3</v>
      </c>
      <c r="H32" s="18">
        <f t="shared" si="2"/>
        <v>0.339966172597022</v>
      </c>
      <c r="I32" s="18">
        <f t="shared" si="3"/>
        <v>1.2705519006669908E-2</v>
      </c>
      <c r="J32" s="22">
        <f t="shared" si="4"/>
        <v>31</v>
      </c>
    </row>
    <row r="33" spans="1:10" ht="17.100000000000001" customHeight="1" x14ac:dyDescent="0.25">
      <c r="A33" s="4" t="s">
        <v>141</v>
      </c>
      <c r="B33" s="13">
        <v>5.7599999999999998E-2</v>
      </c>
      <c r="C33" s="24">
        <v>1450855</v>
      </c>
      <c r="D33" s="25">
        <v>1625811</v>
      </c>
      <c r="E33" s="25">
        <v>1671683</v>
      </c>
      <c r="F33" s="27">
        <f t="shared" si="0"/>
        <v>1582783</v>
      </c>
      <c r="G33" s="17">
        <f t="shared" si="1"/>
        <v>2.6784770836808702E-3</v>
      </c>
      <c r="H33" s="18">
        <f t="shared" si="2"/>
        <v>0.12058820488608442</v>
      </c>
      <c r="I33" s="18">
        <f t="shared" si="3"/>
        <v>2.8214841700542066E-2</v>
      </c>
      <c r="J33" s="22">
        <f t="shared" si="4"/>
        <v>32</v>
      </c>
    </row>
    <row r="34" spans="1:10" ht="17.100000000000001" customHeight="1" x14ac:dyDescent="0.25">
      <c r="A34" s="4" t="s">
        <v>135</v>
      </c>
      <c r="B34" s="13">
        <v>5.9200000000000003E-2</v>
      </c>
      <c r="C34" s="24">
        <v>1509789</v>
      </c>
      <c r="D34" s="25">
        <v>1598956</v>
      </c>
      <c r="E34" s="25">
        <v>1600852</v>
      </c>
      <c r="F34" s="27">
        <f t="shared" ref="F34:F65" si="5">AVERAGE(C34,D34,E34)</f>
        <v>1569865.6666666667</v>
      </c>
      <c r="G34" s="17">
        <f t="shared" ref="G34:G65" si="6">_xlfn.PERCENTOF(F34,$C$187+$D$187+$E$187)</f>
        <v>2.6566176239093157E-3</v>
      </c>
      <c r="H34" s="18">
        <f t="shared" ref="H34:H65" si="7">IFERROR((D34-C34)/C34,"Not available")</f>
        <v>5.9059246027093851E-2</v>
      </c>
      <c r="I34" s="18">
        <f t="shared" ref="I34:I65" si="8">IFERROR((E34-D34)/D34,"Not available")</f>
        <v>1.1857737173505713E-3</v>
      </c>
      <c r="J34" s="22">
        <f t="shared" ref="J34:J65" si="9">_xlfn.RANK.AVG(F34,$F$2:$F$185)</f>
        <v>33</v>
      </c>
    </row>
    <row r="35" spans="1:10" ht="17.100000000000001" customHeight="1" x14ac:dyDescent="0.25">
      <c r="A35" s="4" t="s">
        <v>129</v>
      </c>
      <c r="B35" s="13">
        <v>7.2599999999999998E-2</v>
      </c>
      <c r="C35" s="24">
        <v>1432149</v>
      </c>
      <c r="D35" s="25">
        <v>1546007</v>
      </c>
      <c r="E35" s="25">
        <v>1555908</v>
      </c>
      <c r="F35" s="27">
        <f t="shared" si="5"/>
        <v>1511354.6666666667</v>
      </c>
      <c r="G35" s="17">
        <f t="shared" si="6"/>
        <v>2.5576019201500187E-3</v>
      </c>
      <c r="H35" s="18">
        <f t="shared" si="7"/>
        <v>7.9501504382574723E-2</v>
      </c>
      <c r="I35" s="18">
        <f t="shared" si="8"/>
        <v>6.4042400842945733E-3</v>
      </c>
      <c r="J35" s="22">
        <f t="shared" si="9"/>
        <v>34</v>
      </c>
    </row>
    <row r="36" spans="1:10" ht="17.100000000000001" customHeight="1" x14ac:dyDescent="0.25">
      <c r="A36" s="4" t="s">
        <v>115</v>
      </c>
      <c r="B36" s="13">
        <v>8.77E-2</v>
      </c>
      <c r="C36" s="24">
        <v>741368</v>
      </c>
      <c r="D36" s="25">
        <v>1336838</v>
      </c>
      <c r="E36" s="25">
        <v>1951269</v>
      </c>
      <c r="F36" s="27">
        <f t="shared" si="5"/>
        <v>1343158.3333333333</v>
      </c>
      <c r="G36" s="17">
        <f t="shared" si="6"/>
        <v>2.272970341220701E-3</v>
      </c>
      <c r="H36" s="18">
        <f t="shared" si="7"/>
        <v>0.80320434655933359</v>
      </c>
      <c r="I36" s="18">
        <f t="shared" si="8"/>
        <v>0.4596151515740875</v>
      </c>
      <c r="J36" s="22">
        <f t="shared" si="9"/>
        <v>35</v>
      </c>
    </row>
    <row r="37" spans="1:10" ht="17.100000000000001" customHeight="1" x14ac:dyDescent="0.25">
      <c r="A37" s="4" t="s">
        <v>169</v>
      </c>
      <c r="B37" s="13">
        <v>5.2999999999999999E-2</v>
      </c>
      <c r="C37" s="24">
        <v>1024690</v>
      </c>
      <c r="D37" s="25">
        <v>1235693</v>
      </c>
      <c r="E37" s="25">
        <v>1758038</v>
      </c>
      <c r="F37" s="27">
        <f t="shared" si="5"/>
        <v>1339473.6666666667</v>
      </c>
      <c r="G37" s="17">
        <f t="shared" si="6"/>
        <v>2.2667349348335529E-3</v>
      </c>
      <c r="H37" s="18">
        <f t="shared" si="7"/>
        <v>0.20591886326596337</v>
      </c>
      <c r="I37" s="18">
        <f t="shared" si="8"/>
        <v>0.4227142178518451</v>
      </c>
      <c r="J37" s="22">
        <f t="shared" si="9"/>
        <v>36</v>
      </c>
    </row>
    <row r="38" spans="1:10" ht="17.100000000000001" customHeight="1" x14ac:dyDescent="0.25">
      <c r="A38" s="4" t="s">
        <v>148</v>
      </c>
      <c r="B38" s="13">
        <v>6.0299999999999999E-2</v>
      </c>
      <c r="C38" s="24">
        <v>1048216</v>
      </c>
      <c r="D38" s="25">
        <v>1316611</v>
      </c>
      <c r="E38" s="25">
        <v>1589934</v>
      </c>
      <c r="F38" s="27">
        <f t="shared" si="5"/>
        <v>1318253.6666666667</v>
      </c>
      <c r="G38" s="17">
        <f t="shared" si="6"/>
        <v>2.2308252215527636E-3</v>
      </c>
      <c r="H38" s="18">
        <f t="shared" si="7"/>
        <v>0.25604932571149458</v>
      </c>
      <c r="I38" s="18">
        <f t="shared" si="8"/>
        <v>0.20759586544545047</v>
      </c>
      <c r="J38" s="22">
        <f t="shared" si="9"/>
        <v>37</v>
      </c>
    </row>
    <row r="39" spans="1:10" ht="17.100000000000001" customHeight="1" x14ac:dyDescent="0.25">
      <c r="A39" s="4" t="s">
        <v>165</v>
      </c>
      <c r="B39" s="13">
        <v>6.1899999999999997E-2</v>
      </c>
      <c r="C39" s="24">
        <v>846227</v>
      </c>
      <c r="D39" s="25">
        <v>1157747</v>
      </c>
      <c r="E39" s="25">
        <v>1716289</v>
      </c>
      <c r="F39" s="27">
        <f t="shared" si="5"/>
        <v>1240087.6666666667</v>
      </c>
      <c r="G39" s="17">
        <f t="shared" si="6"/>
        <v>2.0985481881735835E-3</v>
      </c>
      <c r="H39" s="18">
        <f t="shared" si="7"/>
        <v>0.36812817364607842</v>
      </c>
      <c r="I39" s="18">
        <f t="shared" si="8"/>
        <v>0.48243873661516723</v>
      </c>
      <c r="J39" s="22">
        <f t="shared" si="9"/>
        <v>38</v>
      </c>
    </row>
    <row r="40" spans="1:10" ht="17.100000000000001" customHeight="1" x14ac:dyDescent="0.25">
      <c r="A40" s="4" t="s">
        <v>127</v>
      </c>
      <c r="B40" s="13">
        <v>4.7899999999999998E-2</v>
      </c>
      <c r="C40" s="24">
        <v>1264383</v>
      </c>
      <c r="D40" s="25">
        <v>1260272</v>
      </c>
      <c r="E40" s="25">
        <v>1167764</v>
      </c>
      <c r="F40" s="27">
        <f t="shared" si="5"/>
        <v>1230806.3333333333</v>
      </c>
      <c r="G40" s="17">
        <f t="shared" si="6"/>
        <v>2.0828417782365691E-3</v>
      </c>
      <c r="H40" s="18">
        <f t="shared" si="7"/>
        <v>-3.2513882265104797E-3</v>
      </c>
      <c r="I40" s="18">
        <f t="shared" si="8"/>
        <v>-7.3403201848489849E-2</v>
      </c>
      <c r="J40" s="22">
        <f t="shared" si="9"/>
        <v>39</v>
      </c>
    </row>
    <row r="41" spans="1:10" ht="17.100000000000001" customHeight="1" x14ac:dyDescent="0.25">
      <c r="A41" s="4" t="s">
        <v>51</v>
      </c>
      <c r="B41" s="13">
        <v>4.9799999999999997E-2</v>
      </c>
      <c r="C41" s="24">
        <v>1067263</v>
      </c>
      <c r="D41" s="25">
        <v>1248477</v>
      </c>
      <c r="E41" s="25">
        <v>1316100</v>
      </c>
      <c r="F41" s="27">
        <f t="shared" si="5"/>
        <v>1210613.3333333333</v>
      </c>
      <c r="G41" s="17">
        <f t="shared" si="6"/>
        <v>2.0486700138501891E-3</v>
      </c>
      <c r="H41" s="18">
        <f t="shared" si="7"/>
        <v>0.16979319998913109</v>
      </c>
      <c r="I41" s="18">
        <f t="shared" si="8"/>
        <v>5.4164393897524747E-2</v>
      </c>
      <c r="J41" s="22">
        <f t="shared" si="9"/>
        <v>40</v>
      </c>
    </row>
    <row r="42" spans="1:10" ht="17.100000000000001" customHeight="1" x14ac:dyDescent="0.25">
      <c r="A42" s="4" t="s">
        <v>40</v>
      </c>
      <c r="B42" s="13">
        <v>8.8099999999999998E-2</v>
      </c>
      <c r="C42" s="24">
        <v>925213</v>
      </c>
      <c r="D42" s="25">
        <v>1300431</v>
      </c>
      <c r="E42" s="25">
        <v>1345596</v>
      </c>
      <c r="F42" s="27">
        <f t="shared" si="5"/>
        <v>1190413.3333333333</v>
      </c>
      <c r="G42" s="17">
        <f t="shared" si="6"/>
        <v>2.0144864036582967E-3</v>
      </c>
      <c r="H42" s="18">
        <f t="shared" si="7"/>
        <v>0.40554769550362996</v>
      </c>
      <c r="I42" s="18">
        <f t="shared" si="8"/>
        <v>3.4730793098595773E-2</v>
      </c>
      <c r="J42" s="22">
        <f t="shared" si="9"/>
        <v>41</v>
      </c>
    </row>
    <row r="43" spans="1:10" ht="17.100000000000001" customHeight="1" x14ac:dyDescent="0.25">
      <c r="A43" s="4" t="s">
        <v>109</v>
      </c>
      <c r="B43" s="13">
        <v>3.5999999999999997E-2</v>
      </c>
      <c r="C43" s="24">
        <v>1123678</v>
      </c>
      <c r="D43" s="25">
        <v>1197571</v>
      </c>
      <c r="E43" s="25">
        <v>1212381</v>
      </c>
      <c r="F43" s="27">
        <f t="shared" si="5"/>
        <v>1177876.6666666667</v>
      </c>
      <c r="G43" s="17">
        <f t="shared" si="6"/>
        <v>1.9932711300722069E-3</v>
      </c>
      <c r="H43" s="18">
        <f t="shared" si="7"/>
        <v>6.5759941905065331E-2</v>
      </c>
      <c r="I43" s="18">
        <f t="shared" si="8"/>
        <v>1.2366698926410208E-2</v>
      </c>
      <c r="J43" s="22">
        <f t="shared" si="9"/>
        <v>42</v>
      </c>
    </row>
    <row r="44" spans="1:10" ht="17.100000000000001" customHeight="1" x14ac:dyDescent="0.25">
      <c r="A44" s="4" t="s">
        <v>96</v>
      </c>
      <c r="B44" s="13">
        <v>0.09</v>
      </c>
      <c r="C44" s="24">
        <v>1189340</v>
      </c>
      <c r="D44" s="25">
        <v>1169281</v>
      </c>
      <c r="E44" s="25">
        <v>1135509</v>
      </c>
      <c r="F44" s="27">
        <f t="shared" si="5"/>
        <v>1164710</v>
      </c>
      <c r="G44" s="17">
        <f t="shared" si="6"/>
        <v>1.9709897339900331E-3</v>
      </c>
      <c r="H44" s="18">
        <f t="shared" si="7"/>
        <v>-1.6865656582642476E-2</v>
      </c>
      <c r="I44" s="18">
        <f t="shared" si="8"/>
        <v>-2.8882706552146149E-2</v>
      </c>
      <c r="J44" s="22">
        <f t="shared" si="9"/>
        <v>43</v>
      </c>
    </row>
    <row r="45" spans="1:10" ht="17.100000000000001" customHeight="1" x14ac:dyDescent="0.25">
      <c r="A45" s="4" t="s">
        <v>149</v>
      </c>
      <c r="B45" s="13">
        <v>4.48E-2</v>
      </c>
      <c r="C45" s="24">
        <v>1056156</v>
      </c>
      <c r="D45" s="25">
        <v>1112033</v>
      </c>
      <c r="E45" s="25">
        <v>1283566</v>
      </c>
      <c r="F45" s="27">
        <f t="shared" si="5"/>
        <v>1150585</v>
      </c>
      <c r="G45" s="17">
        <f t="shared" si="6"/>
        <v>1.947086590724663E-3</v>
      </c>
      <c r="H45" s="18">
        <f t="shared" si="7"/>
        <v>5.290601009699325E-2</v>
      </c>
      <c r="I45" s="18">
        <f t="shared" si="8"/>
        <v>0.15425171735011461</v>
      </c>
      <c r="J45" s="22">
        <f t="shared" si="9"/>
        <v>44</v>
      </c>
    </row>
    <row r="46" spans="1:10" ht="17.100000000000001" customHeight="1" x14ac:dyDescent="0.25">
      <c r="A46" s="4" t="s">
        <v>118</v>
      </c>
      <c r="B46" s="13">
        <v>8.0699999999999994E-2</v>
      </c>
      <c r="C46" s="24">
        <v>971042</v>
      </c>
      <c r="D46" s="25">
        <v>1052197</v>
      </c>
      <c r="E46" s="25">
        <v>1252987</v>
      </c>
      <c r="F46" s="27">
        <f t="shared" si="5"/>
        <v>1092075.3333333333</v>
      </c>
      <c r="G46" s="17">
        <f t="shared" si="6"/>
        <v>1.8480731433092729E-3</v>
      </c>
      <c r="H46" s="18">
        <f t="shared" si="7"/>
        <v>8.3575169766086324E-2</v>
      </c>
      <c r="I46" s="18">
        <f t="shared" si="8"/>
        <v>0.19082928386984566</v>
      </c>
      <c r="J46" s="22">
        <f t="shared" si="9"/>
        <v>45</v>
      </c>
    </row>
    <row r="47" spans="1:10" ht="17.100000000000001" customHeight="1" x14ac:dyDescent="0.25">
      <c r="A47" s="4" t="s">
        <v>64</v>
      </c>
      <c r="B47" s="13">
        <v>8.0299999999999996E-2</v>
      </c>
      <c r="C47" s="24">
        <v>949244</v>
      </c>
      <c r="D47" s="25">
        <v>998932</v>
      </c>
      <c r="E47" s="25">
        <v>1258251</v>
      </c>
      <c r="F47" s="27">
        <f t="shared" si="5"/>
        <v>1068809</v>
      </c>
      <c r="G47" s="17">
        <f t="shared" si="6"/>
        <v>1.8087005062171297E-3</v>
      </c>
      <c r="H47" s="18">
        <f t="shared" si="7"/>
        <v>5.2344813346199712E-2</v>
      </c>
      <c r="I47" s="18">
        <f t="shared" si="8"/>
        <v>0.25959624879371168</v>
      </c>
      <c r="J47" s="22">
        <f t="shared" si="9"/>
        <v>46</v>
      </c>
    </row>
    <row r="48" spans="1:10" ht="17.100000000000001" customHeight="1" x14ac:dyDescent="0.25">
      <c r="A48" s="4" t="s">
        <v>11</v>
      </c>
      <c r="B48" s="13">
        <v>4.6300000000000001E-2</v>
      </c>
      <c r="C48" s="24">
        <v>956646</v>
      </c>
      <c r="D48" s="25">
        <v>988593</v>
      </c>
      <c r="E48" s="25">
        <v>1128047</v>
      </c>
      <c r="F48" s="27">
        <f t="shared" si="5"/>
        <v>1024428.6666666666</v>
      </c>
      <c r="G48" s="17">
        <f t="shared" si="6"/>
        <v>1.7335975351848078E-3</v>
      </c>
      <c r="H48" s="18">
        <f t="shared" si="7"/>
        <v>3.3394798075777249E-2</v>
      </c>
      <c r="I48" s="18">
        <f t="shared" si="8"/>
        <v>0.14106310685995146</v>
      </c>
      <c r="J48" s="22">
        <f t="shared" si="9"/>
        <v>47</v>
      </c>
    </row>
    <row r="49" spans="1:10" ht="17.100000000000001" customHeight="1" x14ac:dyDescent="0.25">
      <c r="A49" s="4" t="s">
        <v>66</v>
      </c>
      <c r="B49" s="13">
        <v>6.6900000000000001E-2</v>
      </c>
      <c r="C49" s="24">
        <v>1002410</v>
      </c>
      <c r="D49" s="25">
        <v>1005061</v>
      </c>
      <c r="E49" s="25">
        <v>1054323</v>
      </c>
      <c r="F49" s="27">
        <f t="shared" si="5"/>
        <v>1020598</v>
      </c>
      <c r="G49" s="17">
        <f t="shared" si="6"/>
        <v>1.7271150591398371E-3</v>
      </c>
      <c r="H49" s="18">
        <f t="shared" si="7"/>
        <v>2.6446264502548856E-3</v>
      </c>
      <c r="I49" s="18">
        <f t="shared" si="8"/>
        <v>4.901394044739573E-2</v>
      </c>
      <c r="J49" s="22">
        <f t="shared" si="9"/>
        <v>48</v>
      </c>
    </row>
    <row r="50" spans="1:10" ht="17.100000000000001" customHeight="1" x14ac:dyDescent="0.25">
      <c r="A50" s="4" t="s">
        <v>136</v>
      </c>
      <c r="B50" s="13">
        <v>5.2999999999999999E-2</v>
      </c>
      <c r="C50" s="24">
        <v>768075</v>
      </c>
      <c r="D50" s="25">
        <v>1112541</v>
      </c>
      <c r="E50" s="25">
        <v>1124197</v>
      </c>
      <c r="F50" s="27">
        <f t="shared" si="5"/>
        <v>1001604.3333333334</v>
      </c>
      <c r="G50" s="17">
        <f t="shared" si="6"/>
        <v>1.6949728760978537E-3</v>
      </c>
      <c r="H50" s="18">
        <f t="shared" si="7"/>
        <v>0.44847964066009177</v>
      </c>
      <c r="I50" s="18">
        <f t="shared" si="8"/>
        <v>1.0476917255184303E-2</v>
      </c>
      <c r="J50" s="22">
        <f t="shared" si="9"/>
        <v>49</v>
      </c>
    </row>
    <row r="51" spans="1:10" ht="17.100000000000001" customHeight="1" x14ac:dyDescent="0.25">
      <c r="A51" s="4" t="s">
        <v>36</v>
      </c>
      <c r="B51" s="13">
        <v>8.3400000000000002E-2</v>
      </c>
      <c r="C51" s="24">
        <v>836231</v>
      </c>
      <c r="D51" s="25">
        <v>947734</v>
      </c>
      <c r="E51" s="25">
        <v>953207</v>
      </c>
      <c r="F51" s="27">
        <f t="shared" si="5"/>
        <v>912390.66666666663</v>
      </c>
      <c r="G51" s="17">
        <f t="shared" si="6"/>
        <v>1.5440003411907874E-3</v>
      </c>
      <c r="H51" s="18">
        <f t="shared" si="7"/>
        <v>0.13333995032473084</v>
      </c>
      <c r="I51" s="18">
        <f t="shared" si="8"/>
        <v>5.7748271139370332E-3</v>
      </c>
      <c r="J51" s="22">
        <f t="shared" si="9"/>
        <v>50</v>
      </c>
    </row>
    <row r="52" spans="1:10" ht="17.100000000000001" customHeight="1" x14ac:dyDescent="0.25">
      <c r="A52" s="4" t="s">
        <v>61</v>
      </c>
      <c r="B52" s="13">
        <v>6.9699999999999998E-2</v>
      </c>
      <c r="C52" s="24">
        <v>544021</v>
      </c>
      <c r="D52" s="25">
        <v>1009651</v>
      </c>
      <c r="E52" s="25">
        <v>1130490</v>
      </c>
      <c r="F52" s="27">
        <f t="shared" si="5"/>
        <v>894720.66666666663</v>
      </c>
      <c r="G52" s="17">
        <f t="shared" si="6"/>
        <v>1.5140981435625334E-3</v>
      </c>
      <c r="H52" s="18">
        <f t="shared" si="7"/>
        <v>0.85590445957049455</v>
      </c>
      <c r="I52" s="18">
        <f t="shared" si="8"/>
        <v>0.11968393038782708</v>
      </c>
      <c r="J52" s="22">
        <f t="shared" si="9"/>
        <v>51</v>
      </c>
    </row>
    <row r="53" spans="1:10" ht="17.100000000000001" customHeight="1" x14ac:dyDescent="0.25">
      <c r="A53" s="4" t="s">
        <v>14</v>
      </c>
      <c r="B53" s="13">
        <v>8.8599999999999998E-2</v>
      </c>
      <c r="C53" s="24">
        <v>827645</v>
      </c>
      <c r="D53" s="25">
        <v>853765</v>
      </c>
      <c r="E53" s="25">
        <v>916829</v>
      </c>
      <c r="F53" s="27">
        <f t="shared" si="5"/>
        <v>866079.66666666663</v>
      </c>
      <c r="G53" s="17">
        <f t="shared" si="6"/>
        <v>1.465630184181049E-3</v>
      </c>
      <c r="H53" s="18">
        <f t="shared" si="7"/>
        <v>3.155942463254173E-2</v>
      </c>
      <c r="I53" s="18">
        <f t="shared" si="8"/>
        <v>7.3865759313159945E-2</v>
      </c>
      <c r="J53" s="22">
        <f t="shared" si="9"/>
        <v>52</v>
      </c>
    </row>
    <row r="54" spans="1:10" ht="17.100000000000001" customHeight="1" x14ac:dyDescent="0.25">
      <c r="A54" s="4" t="s">
        <v>1</v>
      </c>
      <c r="B54" s="13">
        <v>8.1600000000000006E-2</v>
      </c>
      <c r="C54" s="24">
        <v>809642</v>
      </c>
      <c r="D54" s="25">
        <v>865137</v>
      </c>
      <c r="E54" s="25">
        <v>870716</v>
      </c>
      <c r="F54" s="27">
        <f t="shared" si="5"/>
        <v>848498.33333333337</v>
      </c>
      <c r="G54" s="17">
        <f t="shared" si="6"/>
        <v>1.4358780334226143E-3</v>
      </c>
      <c r="H54" s="18">
        <f t="shared" si="7"/>
        <v>6.8542639833407845E-2</v>
      </c>
      <c r="I54" s="18">
        <f t="shared" si="8"/>
        <v>6.4486896295037665E-3</v>
      </c>
      <c r="J54" s="22">
        <f t="shared" si="9"/>
        <v>53</v>
      </c>
    </row>
    <row r="55" spans="1:10" ht="17.100000000000001" customHeight="1" x14ac:dyDescent="0.25">
      <c r="A55" s="4" t="s">
        <v>24</v>
      </c>
      <c r="B55" s="13">
        <v>3.9699999999999999E-2</v>
      </c>
      <c r="C55" s="24" t="s">
        <v>189</v>
      </c>
      <c r="D55" s="25">
        <v>843614</v>
      </c>
      <c r="E55" s="25">
        <v>841502</v>
      </c>
      <c r="F55" s="27">
        <f t="shared" si="5"/>
        <v>842558</v>
      </c>
      <c r="G55" s="17">
        <f t="shared" si="6"/>
        <v>1.4258254572307048E-3</v>
      </c>
      <c r="H55" s="18" t="str">
        <f t="shared" si="7"/>
        <v>Not available</v>
      </c>
      <c r="I55" s="18">
        <f t="shared" si="8"/>
        <v>-2.5035146405820671E-3</v>
      </c>
      <c r="J55" s="22">
        <f t="shared" si="9"/>
        <v>54</v>
      </c>
    </row>
    <row r="56" spans="1:10" ht="17.100000000000001" customHeight="1" x14ac:dyDescent="0.25">
      <c r="A56" s="4" t="s">
        <v>83</v>
      </c>
      <c r="B56" s="13">
        <v>4.7800000000000002E-2</v>
      </c>
      <c r="C56" s="24">
        <v>666957</v>
      </c>
      <c r="D56" s="25">
        <v>879000</v>
      </c>
      <c r="E56" s="25">
        <v>980263</v>
      </c>
      <c r="F56" s="27">
        <f t="shared" si="5"/>
        <v>842073.33333333337</v>
      </c>
      <c r="G56" s="17">
        <f t="shared" si="6"/>
        <v>1.4250052762204901E-3</v>
      </c>
      <c r="H56" s="18">
        <f t="shared" si="7"/>
        <v>0.31792604320818285</v>
      </c>
      <c r="I56" s="18">
        <f t="shared" si="8"/>
        <v>0.11520250284414107</v>
      </c>
      <c r="J56" s="22">
        <f t="shared" si="9"/>
        <v>55</v>
      </c>
    </row>
    <row r="57" spans="1:10" ht="17.100000000000001" customHeight="1" x14ac:dyDescent="0.25">
      <c r="A57" s="4" t="s">
        <v>126</v>
      </c>
      <c r="B57" s="13">
        <v>7.0099999999999996E-2</v>
      </c>
      <c r="C57" s="24">
        <v>804219</v>
      </c>
      <c r="D57" s="25">
        <v>825733</v>
      </c>
      <c r="E57" s="25">
        <v>862477</v>
      </c>
      <c r="F57" s="27">
        <f t="shared" si="5"/>
        <v>830809.66666666663</v>
      </c>
      <c r="G57" s="17">
        <f t="shared" si="6"/>
        <v>1.4059442469796612E-3</v>
      </c>
      <c r="H57" s="18">
        <f t="shared" si="7"/>
        <v>2.6751419700355251E-2</v>
      </c>
      <c r="I57" s="18">
        <f t="shared" si="8"/>
        <v>4.4498645445925016E-2</v>
      </c>
      <c r="J57" s="22">
        <f t="shared" si="9"/>
        <v>56</v>
      </c>
    </row>
    <row r="58" spans="1:10" ht="17.100000000000001" customHeight="1" x14ac:dyDescent="0.25">
      <c r="A58" s="4" t="s">
        <v>84</v>
      </c>
      <c r="B58" s="13">
        <v>7.3899999999999993E-2</v>
      </c>
      <c r="C58" s="24">
        <v>761019</v>
      </c>
      <c r="D58" s="25">
        <v>787427</v>
      </c>
      <c r="E58" s="25">
        <v>937478</v>
      </c>
      <c r="F58" s="27">
        <f t="shared" si="5"/>
        <v>828641.33333333337</v>
      </c>
      <c r="G58" s="17">
        <f t="shared" si="6"/>
        <v>1.4022748677008123E-3</v>
      </c>
      <c r="H58" s="18">
        <f t="shared" si="7"/>
        <v>3.4700841897508473E-2</v>
      </c>
      <c r="I58" s="18">
        <f t="shared" si="8"/>
        <v>0.19055861686226153</v>
      </c>
      <c r="J58" s="22">
        <f t="shared" si="9"/>
        <v>57</v>
      </c>
    </row>
    <row r="59" spans="1:10" ht="17.100000000000001" customHeight="1" x14ac:dyDescent="0.25">
      <c r="A59" s="4" t="s">
        <v>3</v>
      </c>
      <c r="B59" s="13">
        <v>4.1000000000000002E-2</v>
      </c>
      <c r="C59" s="24"/>
      <c r="D59" s="25">
        <v>808838</v>
      </c>
      <c r="E59" s="25">
        <v>821173</v>
      </c>
      <c r="F59" s="27">
        <f t="shared" si="5"/>
        <v>815005.5</v>
      </c>
      <c r="G59" s="17">
        <f t="shared" si="6"/>
        <v>1.379199520606343E-3</v>
      </c>
      <c r="H59" s="18" t="str">
        <f t="shared" si="7"/>
        <v>Not available</v>
      </c>
      <c r="I59" s="18">
        <f t="shared" si="8"/>
        <v>1.5250272613304519E-2</v>
      </c>
      <c r="J59" s="22">
        <f t="shared" si="9"/>
        <v>58</v>
      </c>
    </row>
    <row r="60" spans="1:10" ht="17.100000000000001" customHeight="1" x14ac:dyDescent="0.25">
      <c r="A60" s="4" t="s">
        <v>33</v>
      </c>
      <c r="B60" s="13">
        <v>5.7000000000000002E-2</v>
      </c>
      <c r="C60" s="24">
        <v>667490</v>
      </c>
      <c r="D60" s="25">
        <v>748502</v>
      </c>
      <c r="E60" s="25">
        <v>930450</v>
      </c>
      <c r="F60" s="27">
        <f t="shared" si="5"/>
        <v>782147.33333333337</v>
      </c>
      <c r="G60" s="17">
        <f t="shared" si="6"/>
        <v>1.3235950274898304E-3</v>
      </c>
      <c r="H60" s="18">
        <f t="shared" si="7"/>
        <v>0.12136811038367616</v>
      </c>
      <c r="I60" s="18">
        <f t="shared" si="8"/>
        <v>0.24308285081402589</v>
      </c>
      <c r="J60" s="22">
        <f t="shared" si="9"/>
        <v>59</v>
      </c>
    </row>
    <row r="61" spans="1:10" ht="17.100000000000001" customHeight="1" x14ac:dyDescent="0.25">
      <c r="A61" s="4" t="s">
        <v>2</v>
      </c>
      <c r="B61" s="13">
        <v>6.0600000000000001E-2</v>
      </c>
      <c r="C61" s="24">
        <v>599416</v>
      </c>
      <c r="D61" s="25">
        <v>843819</v>
      </c>
      <c r="E61" s="25">
        <v>887077</v>
      </c>
      <c r="F61" s="27">
        <f t="shared" si="5"/>
        <v>776770.66666666663</v>
      </c>
      <c r="G61" s="17">
        <f t="shared" si="6"/>
        <v>1.3144963206846287E-3</v>
      </c>
      <c r="H61" s="18">
        <f t="shared" si="7"/>
        <v>0.40773519559037463</v>
      </c>
      <c r="I61" s="18">
        <f t="shared" si="8"/>
        <v>5.1264548439890548E-2</v>
      </c>
      <c r="J61" s="22">
        <f t="shared" si="9"/>
        <v>60</v>
      </c>
    </row>
    <row r="62" spans="1:10" ht="17.100000000000001" customHeight="1" x14ac:dyDescent="0.25">
      <c r="A62" s="5" t="s">
        <v>106</v>
      </c>
      <c r="B62" s="13">
        <v>5.79E-2</v>
      </c>
      <c r="C62" s="25" t="s">
        <v>188</v>
      </c>
      <c r="D62" s="25">
        <v>760353</v>
      </c>
      <c r="E62" s="25">
        <v>774160</v>
      </c>
      <c r="F62" s="27">
        <f t="shared" si="5"/>
        <v>767256.5</v>
      </c>
      <c r="G62" s="17">
        <f t="shared" si="6"/>
        <v>1.2983958966928451E-3</v>
      </c>
      <c r="H62" s="18" t="str">
        <f t="shared" si="7"/>
        <v>Not available</v>
      </c>
      <c r="I62" s="18">
        <f t="shared" si="8"/>
        <v>1.8158671038320359E-2</v>
      </c>
      <c r="J62" s="22">
        <f t="shared" si="9"/>
        <v>61</v>
      </c>
    </row>
    <row r="63" spans="1:10" ht="17.100000000000001" customHeight="1" x14ac:dyDescent="0.25">
      <c r="A63" s="4" t="s">
        <v>132</v>
      </c>
      <c r="B63" s="13">
        <v>4.6100000000000002E-2</v>
      </c>
      <c r="C63" s="24">
        <v>669016</v>
      </c>
      <c r="D63" s="25">
        <v>761638</v>
      </c>
      <c r="E63" s="25">
        <v>823318</v>
      </c>
      <c r="F63" s="27">
        <f t="shared" si="5"/>
        <v>751324</v>
      </c>
      <c r="G63" s="17">
        <f t="shared" si="6"/>
        <v>1.2714339972184729E-3</v>
      </c>
      <c r="H63" s="18">
        <f t="shared" si="7"/>
        <v>0.13844511939923709</v>
      </c>
      <c r="I63" s="18">
        <f t="shared" si="8"/>
        <v>8.0983354296923216E-2</v>
      </c>
      <c r="J63" s="22">
        <f t="shared" si="9"/>
        <v>62</v>
      </c>
    </row>
    <row r="64" spans="1:10" ht="17.100000000000001" customHeight="1" x14ac:dyDescent="0.25">
      <c r="A64" s="4" t="s">
        <v>131</v>
      </c>
      <c r="B64" s="13">
        <v>6.7400000000000002E-2</v>
      </c>
      <c r="C64" s="24">
        <v>685797</v>
      </c>
      <c r="D64" s="25">
        <v>697688</v>
      </c>
      <c r="E64" s="25">
        <v>865350</v>
      </c>
      <c r="F64" s="27">
        <f t="shared" si="5"/>
        <v>749611.66666666663</v>
      </c>
      <c r="G64" s="17">
        <f t="shared" si="6"/>
        <v>1.2685362875558366E-3</v>
      </c>
      <c r="H64" s="18">
        <f t="shared" si="7"/>
        <v>1.7338950155804122E-2</v>
      </c>
      <c r="I64" s="18">
        <f t="shared" si="8"/>
        <v>0.24031085528201718</v>
      </c>
      <c r="J64" s="22">
        <f t="shared" si="9"/>
        <v>63</v>
      </c>
    </row>
    <row r="65" spans="1:10" ht="17.100000000000001" customHeight="1" x14ac:dyDescent="0.25">
      <c r="A65" s="4" t="s">
        <v>92</v>
      </c>
      <c r="B65" s="13">
        <v>4.0800000000000003E-2</v>
      </c>
      <c r="C65" s="24">
        <v>709705</v>
      </c>
      <c r="D65" s="25">
        <v>712393</v>
      </c>
      <c r="E65" s="25">
        <v>798552</v>
      </c>
      <c r="F65" s="27">
        <f t="shared" si="5"/>
        <v>740216.66666666663</v>
      </c>
      <c r="G65" s="17">
        <f t="shared" si="6"/>
        <v>1.2526375243007463E-3</v>
      </c>
      <c r="H65" s="18">
        <f t="shared" si="7"/>
        <v>3.787489168034606E-3</v>
      </c>
      <c r="I65" s="18">
        <f t="shared" si="8"/>
        <v>0.12094307496002908</v>
      </c>
      <c r="J65" s="22">
        <f t="shared" si="9"/>
        <v>64</v>
      </c>
    </row>
    <row r="66" spans="1:10" ht="17.100000000000001" customHeight="1" x14ac:dyDescent="0.25">
      <c r="A66" s="4" t="s">
        <v>10</v>
      </c>
      <c r="B66" s="13">
        <v>7.9899999999999999E-2</v>
      </c>
      <c r="C66" s="24">
        <v>623850</v>
      </c>
      <c r="D66" s="25">
        <v>660638</v>
      </c>
      <c r="E66" s="25">
        <v>802484</v>
      </c>
      <c r="F66" s="27">
        <f t="shared" ref="F66:F97" si="10">AVERAGE(C66,D66,E66)</f>
        <v>695657.33333333337</v>
      </c>
      <c r="G66" s="17">
        <f t="shared" ref="G66" si="11">_xlfn.PERCENTOF(F66,$C$187+$D$187+$E$187)</f>
        <v>1.1772316390989022E-3</v>
      </c>
      <c r="H66" s="18">
        <f t="shared" ref="H66:H97" si="12">IFERROR((D66-C66)/C66,"Not available")</f>
        <v>5.8969303518473994E-2</v>
      </c>
      <c r="I66" s="18">
        <f t="shared" ref="I66:I97" si="13">IFERROR((E66-D66)/D66,"Not available")</f>
        <v>0.21471062821091128</v>
      </c>
      <c r="J66" s="22">
        <f t="shared" ref="J66:J97" si="14">_xlfn.RANK.AVG(F66,$F$2:$F$185)</f>
        <v>65</v>
      </c>
    </row>
    <row r="67" spans="1:10" ht="17.100000000000001" customHeight="1" x14ac:dyDescent="0.25">
      <c r="A67" s="4" t="s">
        <v>0</v>
      </c>
      <c r="B67" s="13">
        <v>4.0800000000000003E-2</v>
      </c>
      <c r="C67" s="24">
        <v>657575</v>
      </c>
      <c r="D67" s="25">
        <v>697523</v>
      </c>
      <c r="E67" s="25">
        <v>703200</v>
      </c>
      <c r="F67" s="27">
        <f t="shared" si="10"/>
        <v>686099.33333333337</v>
      </c>
      <c r="G67" s="17">
        <f>_xlfn.PERCENTOF(F67,F67:F250)</f>
        <v>1.5149403398831533E-2</v>
      </c>
      <c r="H67" s="18">
        <f t="shared" si="12"/>
        <v>6.0750484735581492E-2</v>
      </c>
      <c r="I67" s="18">
        <f t="shared" si="13"/>
        <v>8.1387997241668016E-3</v>
      </c>
      <c r="J67" s="22">
        <f t="shared" si="14"/>
        <v>66</v>
      </c>
    </row>
    <row r="68" spans="1:10" ht="17.100000000000001" customHeight="1" x14ac:dyDescent="0.25">
      <c r="A68" s="4" t="s">
        <v>76</v>
      </c>
      <c r="B68" s="13">
        <v>4.3799999999999999E-2</v>
      </c>
      <c r="C68" s="24">
        <v>672970</v>
      </c>
      <c r="D68" s="25">
        <v>676102</v>
      </c>
      <c r="E68" s="25">
        <v>692942</v>
      </c>
      <c r="F68" s="27">
        <f t="shared" si="10"/>
        <v>680671.33333333337</v>
      </c>
      <c r="G68" s="17">
        <f t="shared" ref="G68:G99" si="15">_xlfn.PERCENTOF(F68,$C$187+$D$187+$E$187)</f>
        <v>1.151871461755551E-3</v>
      </c>
      <c r="H68" s="18">
        <f t="shared" si="12"/>
        <v>4.653996463438192E-3</v>
      </c>
      <c r="I68" s="18">
        <f t="shared" si="13"/>
        <v>2.4907484373659597E-2</v>
      </c>
      <c r="J68" s="22">
        <f t="shared" si="14"/>
        <v>67</v>
      </c>
    </row>
    <row r="69" spans="1:10" ht="17.100000000000001" customHeight="1" x14ac:dyDescent="0.25">
      <c r="A69" s="4" t="s">
        <v>78</v>
      </c>
      <c r="B69" s="13">
        <v>3.5700000000000003E-2</v>
      </c>
      <c r="C69" s="24" t="s">
        <v>189</v>
      </c>
      <c r="D69" s="25">
        <v>641439</v>
      </c>
      <c r="E69" s="25">
        <v>685306</v>
      </c>
      <c r="F69" s="27">
        <f t="shared" si="10"/>
        <v>663372.5</v>
      </c>
      <c r="G69" s="17">
        <f t="shared" si="15"/>
        <v>1.1225973738624234E-3</v>
      </c>
      <c r="H69" s="18" t="str">
        <f t="shared" si="12"/>
        <v>Not available</v>
      </c>
      <c r="I69" s="18">
        <f t="shared" si="13"/>
        <v>6.8388420410982184E-2</v>
      </c>
      <c r="J69" s="22">
        <f t="shared" si="14"/>
        <v>68</v>
      </c>
    </row>
    <row r="70" spans="1:10" ht="17.100000000000001" customHeight="1" x14ac:dyDescent="0.25">
      <c r="A70" s="4" t="s">
        <v>79</v>
      </c>
      <c r="B70" s="13">
        <v>3.49E-2</v>
      </c>
      <c r="C70" s="24">
        <v>659924</v>
      </c>
      <c r="D70" s="25">
        <v>661859</v>
      </c>
      <c r="E70" s="25">
        <v>662577</v>
      </c>
      <c r="F70" s="27">
        <f t="shared" si="10"/>
        <v>661453.33333333337</v>
      </c>
      <c r="G70" s="17">
        <f t="shared" si="15"/>
        <v>1.1193496488512054E-3</v>
      </c>
      <c r="H70" s="18">
        <f t="shared" si="12"/>
        <v>2.9321558240039763E-3</v>
      </c>
      <c r="I70" s="18">
        <f t="shared" si="13"/>
        <v>1.0848232025250091E-3</v>
      </c>
      <c r="J70" s="22">
        <f t="shared" si="14"/>
        <v>69</v>
      </c>
    </row>
    <row r="71" spans="1:10" ht="17.100000000000001" customHeight="1" x14ac:dyDescent="0.25">
      <c r="A71" s="4" t="s">
        <v>81</v>
      </c>
      <c r="B71" s="13">
        <v>7.1400000000000005E-2</v>
      </c>
      <c r="C71" s="24">
        <v>654157</v>
      </c>
      <c r="D71" s="25">
        <v>651931</v>
      </c>
      <c r="E71" s="25">
        <v>651429</v>
      </c>
      <c r="F71" s="27">
        <f t="shared" si="10"/>
        <v>652505.66666666663</v>
      </c>
      <c r="G71" s="17">
        <f t="shared" si="15"/>
        <v>1.1042078889769318E-3</v>
      </c>
      <c r="H71" s="18">
        <f t="shared" si="12"/>
        <v>-3.402852831965415E-3</v>
      </c>
      <c r="I71" s="18">
        <f t="shared" si="13"/>
        <v>-7.7002014016820794E-4</v>
      </c>
      <c r="J71" s="22">
        <f t="shared" si="14"/>
        <v>70</v>
      </c>
    </row>
    <row r="72" spans="1:10" ht="17.100000000000001" customHeight="1" x14ac:dyDescent="0.25">
      <c r="A72" s="4" t="s">
        <v>102</v>
      </c>
      <c r="B72" s="13">
        <v>3.9899999999999998E-2</v>
      </c>
      <c r="C72" s="24">
        <v>591610</v>
      </c>
      <c r="D72" s="25">
        <v>700136</v>
      </c>
      <c r="E72" s="25" t="s">
        <v>190</v>
      </c>
      <c r="F72" s="27">
        <f t="shared" si="10"/>
        <v>645873</v>
      </c>
      <c r="G72" s="17">
        <f t="shared" si="15"/>
        <v>1.092983706211284E-3</v>
      </c>
      <c r="H72" s="18">
        <f t="shared" si="12"/>
        <v>0.18344179442538158</v>
      </c>
      <c r="I72" s="18" t="str">
        <f t="shared" si="13"/>
        <v>Not available</v>
      </c>
      <c r="J72" s="22">
        <f t="shared" si="14"/>
        <v>71</v>
      </c>
    </row>
    <row r="73" spans="1:10" ht="17.100000000000001" customHeight="1" x14ac:dyDescent="0.25">
      <c r="A73" s="4" t="s">
        <v>177</v>
      </c>
      <c r="B73" s="13">
        <v>6.1600000000000002E-2</v>
      </c>
      <c r="C73" s="24">
        <v>489483</v>
      </c>
      <c r="D73" s="25">
        <v>684746</v>
      </c>
      <c r="E73" s="25">
        <v>702281</v>
      </c>
      <c r="F73" s="27">
        <f t="shared" si="10"/>
        <v>625503.33333333337</v>
      </c>
      <c r="G73" s="17">
        <f t="shared" si="15"/>
        <v>1.0585129762572191E-3</v>
      </c>
      <c r="H73" s="18">
        <f t="shared" si="12"/>
        <v>0.39891681631435616</v>
      </c>
      <c r="I73" s="18">
        <f t="shared" si="13"/>
        <v>2.5608035680383674E-2</v>
      </c>
      <c r="J73" s="22">
        <f t="shared" si="14"/>
        <v>72</v>
      </c>
    </row>
    <row r="74" spans="1:10" ht="17.100000000000001" customHeight="1" x14ac:dyDescent="0.25">
      <c r="A74" s="4" t="s">
        <v>43</v>
      </c>
      <c r="B74" s="13">
        <v>7.0199999999999999E-2</v>
      </c>
      <c r="C74" s="24">
        <v>534917</v>
      </c>
      <c r="D74" s="25">
        <v>635877</v>
      </c>
      <c r="E74" s="25">
        <v>698030</v>
      </c>
      <c r="F74" s="27">
        <f t="shared" si="10"/>
        <v>622941.33333333337</v>
      </c>
      <c r="G74" s="17">
        <f t="shared" si="15"/>
        <v>1.0541774114398118E-3</v>
      </c>
      <c r="H74" s="18">
        <f t="shared" si="12"/>
        <v>0.18873956146467583</v>
      </c>
      <c r="I74" s="18">
        <f t="shared" si="13"/>
        <v>9.7743746038935209E-2</v>
      </c>
      <c r="J74" s="22">
        <f t="shared" si="14"/>
        <v>73</v>
      </c>
    </row>
    <row r="75" spans="1:10" ht="17.100000000000001" customHeight="1" x14ac:dyDescent="0.25">
      <c r="A75" s="4" t="s">
        <v>21</v>
      </c>
      <c r="B75" s="13">
        <v>8.6999999999999994E-2</v>
      </c>
      <c r="C75" s="24">
        <v>548936</v>
      </c>
      <c r="D75" s="25">
        <v>549522</v>
      </c>
      <c r="E75" s="25">
        <v>767598</v>
      </c>
      <c r="F75" s="27">
        <f t="shared" si="10"/>
        <v>622018.66666666663</v>
      </c>
      <c r="G75" s="17">
        <f t="shared" si="15"/>
        <v>1.0526160214561291E-3</v>
      </c>
      <c r="H75" s="18">
        <f t="shared" si="12"/>
        <v>1.067519710858825E-3</v>
      </c>
      <c r="I75" s="18">
        <f t="shared" si="13"/>
        <v>0.39684671405330452</v>
      </c>
      <c r="J75" s="22">
        <f t="shared" si="14"/>
        <v>74</v>
      </c>
    </row>
    <row r="76" spans="1:10" ht="17.100000000000001" customHeight="1" x14ac:dyDescent="0.25">
      <c r="A76" s="4" t="s">
        <v>108</v>
      </c>
      <c r="B76" s="13">
        <v>4.0399999999999998E-2</v>
      </c>
      <c r="C76" s="24">
        <v>540030</v>
      </c>
      <c r="D76" s="25">
        <v>579059</v>
      </c>
      <c r="E76" s="25">
        <v>723801</v>
      </c>
      <c r="F76" s="27">
        <f t="shared" si="10"/>
        <v>614296.66666666663</v>
      </c>
      <c r="G76" s="17">
        <f t="shared" si="15"/>
        <v>1.0395484057184167E-3</v>
      </c>
      <c r="H76" s="18">
        <f t="shared" si="12"/>
        <v>7.2271910819769275E-2</v>
      </c>
      <c r="I76" s="18">
        <f t="shared" si="13"/>
        <v>0.24996071212087195</v>
      </c>
      <c r="J76" s="22">
        <f t="shared" si="14"/>
        <v>75</v>
      </c>
    </row>
    <row r="77" spans="1:10" ht="17.100000000000001" customHeight="1" x14ac:dyDescent="0.25">
      <c r="A77" s="4" t="s">
        <v>150</v>
      </c>
      <c r="B77" s="13">
        <v>8.0199999999999994E-2</v>
      </c>
      <c r="C77" s="24">
        <v>534943</v>
      </c>
      <c r="D77" s="25">
        <v>605826</v>
      </c>
      <c r="E77" s="25">
        <v>699757</v>
      </c>
      <c r="F77" s="27">
        <f t="shared" si="10"/>
        <v>613508.66666666663</v>
      </c>
      <c r="G77" s="17">
        <f t="shared" si="15"/>
        <v>1.0382149064693468E-3</v>
      </c>
      <c r="H77" s="18">
        <f t="shared" si="12"/>
        <v>0.13250570621542856</v>
      </c>
      <c r="I77" s="18">
        <f t="shared" si="13"/>
        <v>0.1550461683717767</v>
      </c>
      <c r="J77" s="22">
        <f t="shared" si="14"/>
        <v>76</v>
      </c>
    </row>
    <row r="78" spans="1:10" ht="17.100000000000001" customHeight="1" x14ac:dyDescent="0.25">
      <c r="A78" s="4" t="s">
        <v>59</v>
      </c>
      <c r="B78" s="13">
        <v>9.4600000000000004E-2</v>
      </c>
      <c r="C78" s="24">
        <v>567109</v>
      </c>
      <c r="D78" s="25">
        <v>595628</v>
      </c>
      <c r="E78" s="25">
        <v>670301</v>
      </c>
      <c r="F78" s="27">
        <f t="shared" si="10"/>
        <v>611012.66666666663</v>
      </c>
      <c r="G78" s="17">
        <f t="shared" si="15"/>
        <v>1.033991030675339E-3</v>
      </c>
      <c r="H78" s="18">
        <f t="shared" si="12"/>
        <v>5.0288392531241788E-2</v>
      </c>
      <c r="I78" s="18">
        <f t="shared" si="13"/>
        <v>0.1253685186055726</v>
      </c>
      <c r="J78" s="22">
        <f t="shared" si="14"/>
        <v>77</v>
      </c>
    </row>
    <row r="79" spans="1:10" ht="17.100000000000001" customHeight="1" x14ac:dyDescent="0.25">
      <c r="A79" s="4" t="s">
        <v>159</v>
      </c>
      <c r="B79" s="13">
        <v>6.6299999999999998E-2</v>
      </c>
      <c r="C79" s="24">
        <v>506877</v>
      </c>
      <c r="D79" s="25">
        <v>642506</v>
      </c>
      <c r="E79" s="25">
        <v>664607</v>
      </c>
      <c r="F79" s="27">
        <f t="shared" si="10"/>
        <v>604663.33333333337</v>
      </c>
      <c r="G79" s="17">
        <f t="shared" si="15"/>
        <v>1.0232463209899404E-3</v>
      </c>
      <c r="H79" s="18">
        <f t="shared" si="12"/>
        <v>0.26757773582151095</v>
      </c>
      <c r="I79" s="18">
        <f t="shared" si="13"/>
        <v>3.4398122352164807E-2</v>
      </c>
      <c r="J79" s="22">
        <f t="shared" si="14"/>
        <v>78</v>
      </c>
    </row>
    <row r="80" spans="1:10" ht="17.100000000000001" customHeight="1" x14ac:dyDescent="0.25">
      <c r="A80" s="4" t="s">
        <v>94</v>
      </c>
      <c r="B80" s="13">
        <v>9.3899999999999997E-2</v>
      </c>
      <c r="C80" s="24">
        <v>613622</v>
      </c>
      <c r="D80" s="25">
        <v>590968</v>
      </c>
      <c r="E80" s="25">
        <v>565773</v>
      </c>
      <c r="F80" s="27">
        <f t="shared" si="10"/>
        <v>590121</v>
      </c>
      <c r="G80" s="17">
        <f t="shared" si="15"/>
        <v>9.9863694208166182E-4</v>
      </c>
      <c r="H80" s="18">
        <f t="shared" si="12"/>
        <v>-3.6918493795854775E-2</v>
      </c>
      <c r="I80" s="18">
        <f t="shared" si="13"/>
        <v>-4.2633442081466341E-2</v>
      </c>
      <c r="J80" s="22">
        <f t="shared" si="14"/>
        <v>79</v>
      </c>
    </row>
    <row r="81" spans="1:10" ht="17.100000000000001" customHeight="1" x14ac:dyDescent="0.25">
      <c r="A81" s="4" t="s">
        <v>72</v>
      </c>
      <c r="B81" s="13">
        <v>8.9899999999999994E-2</v>
      </c>
      <c r="C81" s="24">
        <v>575322</v>
      </c>
      <c r="D81" s="25">
        <v>572818</v>
      </c>
      <c r="E81" s="25">
        <v>563631</v>
      </c>
      <c r="F81" s="27">
        <f t="shared" si="10"/>
        <v>570590.33333333337</v>
      </c>
      <c r="G81" s="17">
        <f t="shared" si="15"/>
        <v>9.655860165311116E-4</v>
      </c>
      <c r="H81" s="18">
        <f t="shared" si="12"/>
        <v>-4.3523452953302668E-3</v>
      </c>
      <c r="I81" s="18">
        <f t="shared" si="13"/>
        <v>-1.6038252987860019E-2</v>
      </c>
      <c r="J81" s="22">
        <f t="shared" si="14"/>
        <v>80</v>
      </c>
    </row>
    <row r="82" spans="1:10" ht="17.100000000000001" customHeight="1" x14ac:dyDescent="0.25">
      <c r="A82" s="4" t="s">
        <v>89</v>
      </c>
      <c r="B82" s="13">
        <v>4.4400000000000002E-2</v>
      </c>
      <c r="C82" s="24">
        <v>511111</v>
      </c>
      <c r="D82" s="25">
        <v>562934</v>
      </c>
      <c r="E82" s="25">
        <v>623061</v>
      </c>
      <c r="F82" s="27">
        <f t="shared" si="10"/>
        <v>565702</v>
      </c>
      <c r="G82" s="17">
        <f t="shared" si="15"/>
        <v>9.5731369568186899E-4</v>
      </c>
      <c r="H82" s="18">
        <f t="shared" si="12"/>
        <v>0.10139284812888003</v>
      </c>
      <c r="I82" s="18">
        <f t="shared" si="13"/>
        <v>0.10681003456888374</v>
      </c>
      <c r="J82" s="22">
        <f t="shared" si="14"/>
        <v>81</v>
      </c>
    </row>
    <row r="83" spans="1:10" ht="17.100000000000001" customHeight="1" x14ac:dyDescent="0.25">
      <c r="A83" s="4" t="s">
        <v>50</v>
      </c>
      <c r="B83" s="13">
        <v>5.7200000000000001E-2</v>
      </c>
      <c r="C83" s="24">
        <v>383545</v>
      </c>
      <c r="D83" s="25">
        <v>526883</v>
      </c>
      <c r="E83" s="25">
        <v>774769</v>
      </c>
      <c r="F83" s="27">
        <f t="shared" si="10"/>
        <v>561732.33333333337</v>
      </c>
      <c r="G83" s="17">
        <f t="shared" si="15"/>
        <v>9.5059599578458786E-4</v>
      </c>
      <c r="H83" s="18">
        <f t="shared" si="12"/>
        <v>0.37371885958622847</v>
      </c>
      <c r="I83" s="18">
        <f t="shared" si="13"/>
        <v>0.47047636761861744</v>
      </c>
      <c r="J83" s="22">
        <f t="shared" si="14"/>
        <v>82</v>
      </c>
    </row>
    <row r="84" spans="1:10" ht="17.100000000000001" customHeight="1" x14ac:dyDescent="0.25">
      <c r="A84" s="4" t="s">
        <v>151</v>
      </c>
      <c r="B84" s="13">
        <v>8.9899999999999994E-2</v>
      </c>
      <c r="C84" s="24">
        <v>472155</v>
      </c>
      <c r="D84" s="25">
        <v>572024</v>
      </c>
      <c r="E84" s="25">
        <v>636986</v>
      </c>
      <c r="F84" s="27">
        <f t="shared" si="10"/>
        <v>560388.33333333337</v>
      </c>
      <c r="G84" s="17">
        <f t="shared" si="15"/>
        <v>9.4832160112627583E-4</v>
      </c>
      <c r="H84" s="18">
        <f t="shared" si="12"/>
        <v>0.21151740424225096</v>
      </c>
      <c r="I84" s="18">
        <f t="shared" si="13"/>
        <v>0.11356516509796792</v>
      </c>
      <c r="J84" s="22">
        <f t="shared" si="14"/>
        <v>83</v>
      </c>
    </row>
    <row r="85" spans="1:10" ht="17.100000000000001" customHeight="1" x14ac:dyDescent="0.25">
      <c r="A85" s="4" t="s">
        <v>98</v>
      </c>
      <c r="B85" s="13">
        <v>4.2700000000000002E-2</v>
      </c>
      <c r="C85" s="24">
        <v>409482</v>
      </c>
      <c r="D85" s="25">
        <v>572647</v>
      </c>
      <c r="E85" s="25">
        <v>645613</v>
      </c>
      <c r="F85" s="27">
        <f t="shared" si="10"/>
        <v>542580.66666666663</v>
      </c>
      <c r="G85" s="17">
        <f t="shared" si="15"/>
        <v>9.1818643598961798E-4</v>
      </c>
      <c r="H85" s="18">
        <f t="shared" si="12"/>
        <v>0.39846684347541528</v>
      </c>
      <c r="I85" s="18">
        <f t="shared" si="13"/>
        <v>0.12741881123973409</v>
      </c>
      <c r="J85" s="22">
        <f t="shared" si="14"/>
        <v>84</v>
      </c>
    </row>
    <row r="86" spans="1:10" ht="17.100000000000001" customHeight="1" x14ac:dyDescent="0.25">
      <c r="A86" s="4" t="s">
        <v>34</v>
      </c>
      <c r="B86" s="13">
        <v>8.1000000000000003E-2</v>
      </c>
      <c r="C86" s="24">
        <v>474242</v>
      </c>
      <c r="D86" s="25">
        <v>541989</v>
      </c>
      <c r="E86" s="25">
        <v>549475</v>
      </c>
      <c r="F86" s="27">
        <f t="shared" si="10"/>
        <v>521902</v>
      </c>
      <c r="G86" s="17">
        <f t="shared" si="15"/>
        <v>8.83192798335093E-4</v>
      </c>
      <c r="H86" s="18">
        <f t="shared" si="12"/>
        <v>0.14285322683355756</v>
      </c>
      <c r="I86" s="18">
        <f t="shared" si="13"/>
        <v>1.3812088437219205E-2</v>
      </c>
      <c r="J86" s="22">
        <f t="shared" si="14"/>
        <v>85</v>
      </c>
    </row>
    <row r="87" spans="1:10" ht="17.100000000000001" customHeight="1" x14ac:dyDescent="0.25">
      <c r="A87" s="4" t="s">
        <v>160</v>
      </c>
      <c r="B87" s="13">
        <v>8.1900000000000001E-2</v>
      </c>
      <c r="C87" s="24">
        <v>405382</v>
      </c>
      <c r="D87" s="25">
        <v>552227</v>
      </c>
      <c r="E87" s="25">
        <v>602095</v>
      </c>
      <c r="F87" s="27">
        <f t="shared" si="10"/>
        <v>519901.33333333331</v>
      </c>
      <c r="G87" s="17">
        <f t="shared" si="15"/>
        <v>8.7980715430255611E-4</v>
      </c>
      <c r="H87" s="18">
        <f t="shared" si="12"/>
        <v>0.36223857990734665</v>
      </c>
      <c r="I87" s="18">
        <f t="shared" si="13"/>
        <v>9.0303444054709386E-2</v>
      </c>
      <c r="J87" s="22">
        <f t="shared" si="14"/>
        <v>86</v>
      </c>
    </row>
    <row r="88" spans="1:10" ht="17.100000000000001" customHeight="1" x14ac:dyDescent="0.25">
      <c r="A88" s="4" t="s">
        <v>143</v>
      </c>
      <c r="B88" s="13">
        <v>5.79E-2</v>
      </c>
      <c r="C88" s="24">
        <v>416346</v>
      </c>
      <c r="D88" s="25">
        <v>496333</v>
      </c>
      <c r="E88" s="25">
        <v>569633</v>
      </c>
      <c r="F88" s="27">
        <f t="shared" si="10"/>
        <v>494104</v>
      </c>
      <c r="G88" s="17">
        <f t="shared" si="15"/>
        <v>8.3615141238884468E-4</v>
      </c>
      <c r="H88" s="18">
        <f t="shared" si="12"/>
        <v>0.19211665297613043</v>
      </c>
      <c r="I88" s="18">
        <f t="shared" si="13"/>
        <v>0.14768310791343714</v>
      </c>
      <c r="J88" s="22">
        <f t="shared" si="14"/>
        <v>87</v>
      </c>
    </row>
    <row r="89" spans="1:10" ht="17.100000000000001" customHeight="1" x14ac:dyDescent="0.25">
      <c r="A89" s="4" t="s">
        <v>48</v>
      </c>
      <c r="B89" s="13">
        <v>6.4299999999999996E-2</v>
      </c>
      <c r="C89" s="24">
        <v>432323</v>
      </c>
      <c r="D89" s="25">
        <v>470245</v>
      </c>
      <c r="E89" s="25">
        <v>568593</v>
      </c>
      <c r="F89" s="27">
        <f t="shared" si="10"/>
        <v>490387</v>
      </c>
      <c r="G89" s="17">
        <f t="shared" si="15"/>
        <v>8.2986128966195045E-4</v>
      </c>
      <c r="H89" s="18">
        <f t="shared" si="12"/>
        <v>8.7716822838479563E-2</v>
      </c>
      <c r="I89" s="18">
        <f t="shared" si="13"/>
        <v>0.20914204297759678</v>
      </c>
      <c r="J89" s="22">
        <f t="shared" si="14"/>
        <v>88</v>
      </c>
    </row>
    <row r="90" spans="1:10" ht="17.100000000000001" customHeight="1" x14ac:dyDescent="0.25">
      <c r="A90" s="4" t="s">
        <v>39</v>
      </c>
      <c r="B90" s="13">
        <v>8.0699999999999994E-2</v>
      </c>
      <c r="C90" s="24">
        <v>446941</v>
      </c>
      <c r="D90" s="25">
        <v>468320</v>
      </c>
      <c r="E90" s="25">
        <v>539057</v>
      </c>
      <c r="F90" s="27">
        <f t="shared" si="10"/>
        <v>484772.66666666669</v>
      </c>
      <c r="G90" s="17">
        <f t="shared" si="15"/>
        <v>8.2036038955531619E-4</v>
      </c>
      <c r="H90" s="18">
        <f t="shared" si="12"/>
        <v>4.7834054159273817E-2</v>
      </c>
      <c r="I90" s="18">
        <f t="shared" si="13"/>
        <v>0.15104415784079261</v>
      </c>
      <c r="J90" s="22">
        <f t="shared" si="14"/>
        <v>89</v>
      </c>
    </row>
    <row r="91" spans="1:10" ht="17.100000000000001" customHeight="1" x14ac:dyDescent="0.25">
      <c r="A91" s="4" t="s">
        <v>133</v>
      </c>
      <c r="B91" s="13">
        <v>3.6600000000000001E-2</v>
      </c>
      <c r="C91" s="24">
        <v>398978</v>
      </c>
      <c r="D91" s="25">
        <v>510683</v>
      </c>
      <c r="E91" s="25">
        <v>543376</v>
      </c>
      <c r="F91" s="27">
        <f t="shared" si="10"/>
        <v>484345.66666666669</v>
      </c>
      <c r="G91" s="17">
        <f t="shared" si="15"/>
        <v>8.1963779541908163E-4</v>
      </c>
      <c r="H91" s="18">
        <f t="shared" si="12"/>
        <v>0.27997784338986109</v>
      </c>
      <c r="I91" s="18">
        <f t="shared" si="13"/>
        <v>6.4018187407843999E-2</v>
      </c>
      <c r="J91" s="22">
        <f t="shared" si="14"/>
        <v>90</v>
      </c>
    </row>
    <row r="92" spans="1:10" ht="17.100000000000001" customHeight="1" x14ac:dyDescent="0.25">
      <c r="A92" s="4" t="s">
        <v>9</v>
      </c>
      <c r="B92" s="13">
        <v>3.9600000000000003E-2</v>
      </c>
      <c r="C92" s="24">
        <v>435799</v>
      </c>
      <c r="D92" s="25">
        <v>447824</v>
      </c>
      <c r="E92" s="25">
        <v>556877</v>
      </c>
      <c r="F92" s="27">
        <f t="shared" si="10"/>
        <v>480166.66666666669</v>
      </c>
      <c r="G92" s="17">
        <f t="shared" si="15"/>
        <v>8.1256584952839263E-4</v>
      </c>
      <c r="H92" s="18">
        <f t="shared" si="12"/>
        <v>2.7592995853593056E-2</v>
      </c>
      <c r="I92" s="18">
        <f t="shared" si="13"/>
        <v>0.24351754260602379</v>
      </c>
      <c r="J92" s="22">
        <f t="shared" si="14"/>
        <v>91</v>
      </c>
    </row>
    <row r="93" spans="1:10" ht="17.100000000000001" customHeight="1" x14ac:dyDescent="0.25">
      <c r="A93" s="4" t="s">
        <v>44</v>
      </c>
      <c r="B93" s="13">
        <v>3.78E-2</v>
      </c>
      <c r="C93" s="24">
        <v>422822</v>
      </c>
      <c r="D93" s="25">
        <v>488032</v>
      </c>
      <c r="E93" s="25">
        <v>519445</v>
      </c>
      <c r="F93" s="27">
        <f t="shared" si="10"/>
        <v>476766.33333333331</v>
      </c>
      <c r="G93" s="17">
        <f t="shared" si="15"/>
        <v>8.0681160847942412E-4</v>
      </c>
      <c r="H93" s="18">
        <f t="shared" si="12"/>
        <v>0.1542256552402666</v>
      </c>
      <c r="I93" s="18">
        <f t="shared" si="13"/>
        <v>6.4366680873385346E-2</v>
      </c>
      <c r="J93" s="22">
        <f t="shared" si="14"/>
        <v>92</v>
      </c>
    </row>
    <row r="94" spans="1:10" ht="17.100000000000001" customHeight="1" x14ac:dyDescent="0.25">
      <c r="A94" s="4" t="s">
        <v>18</v>
      </c>
      <c r="B94" s="13">
        <v>5.6899999999999999E-2</v>
      </c>
      <c r="C94" s="24">
        <v>433210</v>
      </c>
      <c r="D94" s="25">
        <v>455510</v>
      </c>
      <c r="E94" s="25">
        <v>528143</v>
      </c>
      <c r="F94" s="27">
        <f t="shared" si="10"/>
        <v>472287.66666666669</v>
      </c>
      <c r="G94" s="17">
        <f t="shared" si="15"/>
        <v>7.9923254929562448E-4</v>
      </c>
      <c r="H94" s="18">
        <f t="shared" si="12"/>
        <v>5.1476189376976525E-2</v>
      </c>
      <c r="I94" s="18">
        <f t="shared" si="13"/>
        <v>0.15945423810673751</v>
      </c>
      <c r="J94" s="22">
        <f t="shared" si="14"/>
        <v>93</v>
      </c>
    </row>
    <row r="95" spans="1:10" ht="17.100000000000001" customHeight="1" x14ac:dyDescent="0.25">
      <c r="A95" s="4" t="s">
        <v>125</v>
      </c>
      <c r="B95" s="13">
        <v>8.2000000000000003E-2</v>
      </c>
      <c r="C95" s="24">
        <v>441257</v>
      </c>
      <c r="D95" s="25">
        <v>447497</v>
      </c>
      <c r="E95" s="25">
        <v>514098</v>
      </c>
      <c r="F95" s="27">
        <f t="shared" si="10"/>
        <v>467617.33333333331</v>
      </c>
      <c r="G95" s="17">
        <f t="shared" si="15"/>
        <v>7.9132914067518538E-4</v>
      </c>
      <c r="H95" s="18">
        <f t="shared" si="12"/>
        <v>1.4141418719703031E-2</v>
      </c>
      <c r="I95" s="18">
        <f t="shared" si="13"/>
        <v>0.1488300480226683</v>
      </c>
      <c r="J95" s="22">
        <f t="shared" si="14"/>
        <v>94</v>
      </c>
    </row>
    <row r="96" spans="1:10" ht="17.100000000000001" customHeight="1" x14ac:dyDescent="0.25">
      <c r="A96" s="4" t="s">
        <v>138</v>
      </c>
      <c r="B96" s="13">
        <v>7.2599999999999998E-2</v>
      </c>
      <c r="C96" s="24">
        <v>388222</v>
      </c>
      <c r="D96" s="25">
        <v>475344</v>
      </c>
      <c r="E96" s="25">
        <v>483878</v>
      </c>
      <c r="F96" s="27">
        <f t="shared" si="10"/>
        <v>449148</v>
      </c>
      <c r="G96" s="17">
        <f t="shared" si="15"/>
        <v>7.6007426487465152E-4</v>
      </c>
      <c r="H96" s="18">
        <f t="shared" si="12"/>
        <v>0.22441283595468572</v>
      </c>
      <c r="I96" s="18">
        <f t="shared" si="13"/>
        <v>1.7953313810629777E-2</v>
      </c>
      <c r="J96" s="22">
        <f t="shared" si="14"/>
        <v>95</v>
      </c>
    </row>
    <row r="97" spans="1:10" ht="17.100000000000001" customHeight="1" x14ac:dyDescent="0.25">
      <c r="A97" s="4" t="s">
        <v>140</v>
      </c>
      <c r="B97" s="13">
        <v>8.4099999999999994E-2</v>
      </c>
      <c r="C97" s="24">
        <v>370737</v>
      </c>
      <c r="D97" s="25">
        <v>481837</v>
      </c>
      <c r="E97" s="25">
        <v>494593</v>
      </c>
      <c r="F97" s="27">
        <f t="shared" si="10"/>
        <v>449055.66666666669</v>
      </c>
      <c r="G97" s="17">
        <f t="shared" si="15"/>
        <v>7.5991801305908793E-4</v>
      </c>
      <c r="H97" s="18">
        <f t="shared" si="12"/>
        <v>0.29967335334752127</v>
      </c>
      <c r="I97" s="18">
        <f t="shared" si="13"/>
        <v>2.6473683008984367E-2</v>
      </c>
      <c r="J97" s="22">
        <f t="shared" si="14"/>
        <v>96</v>
      </c>
    </row>
    <row r="98" spans="1:10" ht="17.100000000000001" customHeight="1" x14ac:dyDescent="0.25">
      <c r="A98" s="4" t="s">
        <v>114</v>
      </c>
      <c r="B98" s="13">
        <v>9.4600000000000004E-2</v>
      </c>
      <c r="C98" s="24">
        <v>432684</v>
      </c>
      <c r="D98" s="25">
        <v>440812</v>
      </c>
      <c r="E98" s="25">
        <v>464036</v>
      </c>
      <c r="F98" s="27">
        <f t="shared" ref="F98:F129" si="16">AVERAGE(C98,D98,E98)</f>
        <v>445844</v>
      </c>
      <c r="G98" s="17">
        <f t="shared" si="15"/>
        <v>7.5448304467296771E-4</v>
      </c>
      <c r="H98" s="18">
        <f t="shared" ref="H98:H129" si="17">IFERROR((D98-C98)/C98,"Not available")</f>
        <v>1.8785071784489373E-2</v>
      </c>
      <c r="I98" s="18">
        <f t="shared" ref="I98:I129" si="18">IFERROR((E98-D98)/D98,"Not available")</f>
        <v>5.2684591163579937E-2</v>
      </c>
      <c r="J98" s="22">
        <f t="shared" ref="J98:J129" si="19">_xlfn.RANK.AVG(F98,$F$2:$F$185)</f>
        <v>97</v>
      </c>
    </row>
    <row r="99" spans="1:10" ht="17.100000000000001" customHeight="1" x14ac:dyDescent="0.25">
      <c r="A99" s="4" t="s">
        <v>97</v>
      </c>
      <c r="B99" s="13">
        <v>6.2399999999999997E-2</v>
      </c>
      <c r="C99" s="24">
        <v>335113</v>
      </c>
      <c r="D99" s="25">
        <v>383659</v>
      </c>
      <c r="E99" s="25">
        <v>618754</v>
      </c>
      <c r="F99" s="27">
        <f t="shared" si="16"/>
        <v>445842</v>
      </c>
      <c r="G99" s="17">
        <f t="shared" si="15"/>
        <v>7.5447966015710721E-4</v>
      </c>
      <c r="H99" s="18">
        <f t="shared" si="17"/>
        <v>0.14486456807106857</v>
      </c>
      <c r="I99" s="18">
        <f t="shared" si="18"/>
        <v>0.61277071566156405</v>
      </c>
      <c r="J99" s="22">
        <f t="shared" si="19"/>
        <v>98</v>
      </c>
    </row>
    <row r="100" spans="1:10" ht="17.100000000000001" customHeight="1" x14ac:dyDescent="0.25">
      <c r="A100" s="4" t="s">
        <v>163</v>
      </c>
      <c r="B100" s="13">
        <v>7.22E-2</v>
      </c>
      <c r="C100" s="24">
        <v>344644</v>
      </c>
      <c r="D100" s="25">
        <v>480933</v>
      </c>
      <c r="E100" s="25">
        <v>504357</v>
      </c>
      <c r="F100" s="27">
        <f t="shared" si="16"/>
        <v>443311.33333333331</v>
      </c>
      <c r="G100" s="17">
        <f t="shared" ref="G100:G131" si="20">_xlfn.PERCENTOF(F100,$C$187+$D$187+$E$187)</f>
        <v>7.5019711942151562E-4</v>
      </c>
      <c r="H100" s="18">
        <f t="shared" si="17"/>
        <v>0.39544863685426118</v>
      </c>
      <c r="I100" s="18">
        <f t="shared" si="18"/>
        <v>4.8705329016723746E-2</v>
      </c>
      <c r="J100" s="22">
        <f t="shared" si="19"/>
        <v>99</v>
      </c>
    </row>
    <row r="101" spans="1:10" ht="17.100000000000001" customHeight="1" x14ac:dyDescent="0.25">
      <c r="A101" s="4" t="s">
        <v>75</v>
      </c>
      <c r="B101" s="13">
        <v>4.65E-2</v>
      </c>
      <c r="C101" s="24">
        <v>361333</v>
      </c>
      <c r="D101" s="25">
        <v>462520</v>
      </c>
      <c r="E101" s="25">
        <v>471221</v>
      </c>
      <c r="F101" s="27">
        <f t="shared" si="16"/>
        <v>431691.33333333331</v>
      </c>
      <c r="G101" s="17">
        <f t="shared" si="20"/>
        <v>7.3053308227152619E-4</v>
      </c>
      <c r="H101" s="18">
        <f t="shared" si="17"/>
        <v>0.28003808121594209</v>
      </c>
      <c r="I101" s="18">
        <f t="shared" si="18"/>
        <v>1.8812159474184902E-2</v>
      </c>
      <c r="J101" s="22">
        <f t="shared" si="19"/>
        <v>100</v>
      </c>
    </row>
    <row r="102" spans="1:10" ht="17.100000000000001" customHeight="1" x14ac:dyDescent="0.25">
      <c r="A102" s="4" t="s">
        <v>32</v>
      </c>
      <c r="B102" s="13">
        <v>5.8900000000000001E-2</v>
      </c>
      <c r="C102" s="24">
        <v>430459</v>
      </c>
      <c r="D102" s="25">
        <v>427152</v>
      </c>
      <c r="E102" s="25">
        <v>425790</v>
      </c>
      <c r="F102" s="27">
        <f t="shared" si="16"/>
        <v>427800.33333333331</v>
      </c>
      <c r="G102" s="17">
        <f t="shared" si="20"/>
        <v>7.2394850666476123E-4</v>
      </c>
      <c r="H102" s="18">
        <f t="shared" si="17"/>
        <v>-7.6824970554686973E-3</v>
      </c>
      <c r="I102" s="18">
        <f t="shared" si="18"/>
        <v>-3.1885605124171257E-3</v>
      </c>
      <c r="J102" s="22">
        <f t="shared" si="19"/>
        <v>101</v>
      </c>
    </row>
    <row r="103" spans="1:10" ht="17.100000000000001" customHeight="1" x14ac:dyDescent="0.25">
      <c r="A103" s="4" t="s">
        <v>53</v>
      </c>
      <c r="B103" s="13">
        <v>7.6300000000000007E-2</v>
      </c>
      <c r="C103" s="24">
        <v>370522</v>
      </c>
      <c r="D103" s="25">
        <v>380817</v>
      </c>
      <c r="E103" s="25">
        <v>514453</v>
      </c>
      <c r="F103" s="27">
        <f t="shared" si="16"/>
        <v>421930.66666666669</v>
      </c>
      <c r="G103" s="17">
        <f t="shared" si="20"/>
        <v>7.1401551669992582E-4</v>
      </c>
      <c r="H103" s="18">
        <f t="shared" si="17"/>
        <v>2.7785124769919196E-2</v>
      </c>
      <c r="I103" s="18">
        <f t="shared" si="18"/>
        <v>0.35091920791351228</v>
      </c>
      <c r="J103" s="22">
        <f t="shared" si="19"/>
        <v>102</v>
      </c>
    </row>
    <row r="104" spans="1:10" ht="17.100000000000001" customHeight="1" x14ac:dyDescent="0.25">
      <c r="A104" s="4" t="s">
        <v>152</v>
      </c>
      <c r="B104" s="13">
        <v>5.4600000000000003E-2</v>
      </c>
      <c r="C104" s="24"/>
      <c r="D104" s="25">
        <v>417345</v>
      </c>
      <c r="E104" s="25">
        <v>423895</v>
      </c>
      <c r="F104" s="27">
        <f t="shared" si="16"/>
        <v>420620</v>
      </c>
      <c r="G104" s="17">
        <f t="shared" si="20"/>
        <v>7.1179753063929023E-4</v>
      </c>
      <c r="H104" s="18" t="str">
        <f t="shared" si="17"/>
        <v>Not available</v>
      </c>
      <c r="I104" s="18">
        <f t="shared" si="18"/>
        <v>1.5694449436317676E-2</v>
      </c>
      <c r="J104" s="22">
        <f t="shared" si="19"/>
        <v>103</v>
      </c>
    </row>
    <row r="105" spans="1:10" ht="17.100000000000001" customHeight="1" x14ac:dyDescent="0.25">
      <c r="A105" s="4" t="s">
        <v>56</v>
      </c>
      <c r="B105" s="13">
        <v>7.2599999999999998E-2</v>
      </c>
      <c r="C105" s="24">
        <v>351799</v>
      </c>
      <c r="D105" s="25">
        <v>362507</v>
      </c>
      <c r="E105" s="25">
        <v>547184</v>
      </c>
      <c r="F105" s="27">
        <f t="shared" si="16"/>
        <v>420496.66666666669</v>
      </c>
      <c r="G105" s="17">
        <f t="shared" si="20"/>
        <v>7.1158881882788752E-4</v>
      </c>
      <c r="H105" s="18">
        <f t="shared" si="17"/>
        <v>3.0437835241146224E-2</v>
      </c>
      <c r="I105" s="18">
        <f t="shared" si="18"/>
        <v>0.509443955564996</v>
      </c>
      <c r="J105" s="22">
        <f t="shared" si="19"/>
        <v>104</v>
      </c>
    </row>
    <row r="106" spans="1:10" ht="17.100000000000001" customHeight="1" x14ac:dyDescent="0.25">
      <c r="A106" s="4" t="s">
        <v>134</v>
      </c>
      <c r="B106" s="13">
        <v>8.2199999999999995E-2</v>
      </c>
      <c r="C106" s="24">
        <v>344406</v>
      </c>
      <c r="D106" s="25">
        <v>448916</v>
      </c>
      <c r="E106" s="25">
        <v>448991</v>
      </c>
      <c r="F106" s="27">
        <f t="shared" si="16"/>
        <v>414104.33333333331</v>
      </c>
      <c r="G106" s="17">
        <f t="shared" si="20"/>
        <v>7.007713420514863E-4</v>
      </c>
      <c r="H106" s="18">
        <f t="shared" si="17"/>
        <v>0.30344999796751509</v>
      </c>
      <c r="I106" s="18">
        <f t="shared" si="18"/>
        <v>1.6706911760774843E-4</v>
      </c>
      <c r="J106" s="22">
        <f t="shared" si="19"/>
        <v>105</v>
      </c>
    </row>
    <row r="107" spans="1:10" ht="17.100000000000001" customHeight="1" x14ac:dyDescent="0.25">
      <c r="A107" s="4" t="s">
        <v>91</v>
      </c>
      <c r="B107" s="13">
        <v>8.2000000000000003E-2</v>
      </c>
      <c r="C107" s="24">
        <v>361448</v>
      </c>
      <c r="D107" s="25">
        <v>397795</v>
      </c>
      <c r="E107" s="25">
        <v>477717</v>
      </c>
      <c r="F107" s="27">
        <f t="shared" si="16"/>
        <v>412320</v>
      </c>
      <c r="G107" s="17">
        <f t="shared" si="20"/>
        <v>6.9775178981786913E-4</v>
      </c>
      <c r="H107" s="18">
        <f t="shared" si="17"/>
        <v>0.10055941656891171</v>
      </c>
      <c r="I107" s="18">
        <f t="shared" si="18"/>
        <v>0.20091253032340778</v>
      </c>
      <c r="J107" s="22">
        <f t="shared" si="19"/>
        <v>106</v>
      </c>
    </row>
    <row r="108" spans="1:10" ht="17.100000000000001" customHeight="1" x14ac:dyDescent="0.25">
      <c r="A108" s="4" t="s">
        <v>99</v>
      </c>
      <c r="B108" s="13">
        <v>8.8900000000000007E-2</v>
      </c>
      <c r="C108" s="24">
        <v>367786</v>
      </c>
      <c r="D108" s="25">
        <v>416224</v>
      </c>
      <c r="E108" s="25">
        <v>428185</v>
      </c>
      <c r="F108" s="27">
        <f t="shared" si="16"/>
        <v>404065</v>
      </c>
      <c r="G108" s="17">
        <f t="shared" si="20"/>
        <v>6.8378220060331127E-4</v>
      </c>
      <c r="H108" s="18">
        <f t="shared" si="17"/>
        <v>0.13170158733611392</v>
      </c>
      <c r="I108" s="18">
        <f t="shared" si="18"/>
        <v>2.8736930114553701E-2</v>
      </c>
      <c r="J108" s="22">
        <f t="shared" si="19"/>
        <v>107</v>
      </c>
    </row>
    <row r="109" spans="1:10" ht="17.100000000000001" customHeight="1" x14ac:dyDescent="0.25">
      <c r="A109" s="4" t="s">
        <v>16</v>
      </c>
      <c r="B109" s="13">
        <v>9.4700000000000006E-2</v>
      </c>
      <c r="C109" s="24">
        <v>394106</v>
      </c>
      <c r="D109" s="25">
        <v>402087</v>
      </c>
      <c r="E109" s="25">
        <v>404422</v>
      </c>
      <c r="F109" s="27">
        <f t="shared" si="16"/>
        <v>400205</v>
      </c>
      <c r="G109" s="17">
        <f t="shared" si="20"/>
        <v>6.7725008499238532E-4</v>
      </c>
      <c r="H109" s="18">
        <f t="shared" si="17"/>
        <v>2.0250896966805886E-2</v>
      </c>
      <c r="I109" s="18">
        <f t="shared" si="18"/>
        <v>5.8072009291521487E-3</v>
      </c>
      <c r="J109" s="22">
        <f t="shared" si="19"/>
        <v>108</v>
      </c>
    </row>
    <row r="110" spans="1:10" ht="17.100000000000001" customHeight="1" x14ac:dyDescent="0.25">
      <c r="A110" s="4" t="s">
        <v>93</v>
      </c>
      <c r="B110" s="13">
        <v>8.2500000000000004E-2</v>
      </c>
      <c r="C110" s="24">
        <v>339574</v>
      </c>
      <c r="D110" s="25">
        <v>420733</v>
      </c>
      <c r="E110" s="25">
        <v>434972</v>
      </c>
      <c r="F110" s="27">
        <f t="shared" si="16"/>
        <v>398426.33333333331</v>
      </c>
      <c r="G110" s="17">
        <f t="shared" si="20"/>
        <v>6.7424012222037314E-4</v>
      </c>
      <c r="H110" s="18">
        <f t="shared" si="17"/>
        <v>0.23900239712109878</v>
      </c>
      <c r="I110" s="18">
        <f t="shared" si="18"/>
        <v>3.3843316307491926E-2</v>
      </c>
      <c r="J110" s="22">
        <f t="shared" si="19"/>
        <v>109</v>
      </c>
    </row>
    <row r="111" spans="1:10" ht="17.100000000000001" customHeight="1" x14ac:dyDescent="0.25">
      <c r="A111" s="4" t="s">
        <v>52</v>
      </c>
      <c r="B111" s="13">
        <v>9.1600000000000001E-2</v>
      </c>
      <c r="C111" s="24">
        <v>378643</v>
      </c>
      <c r="D111" s="25">
        <v>387726</v>
      </c>
      <c r="E111" s="25">
        <v>412992</v>
      </c>
      <c r="F111" s="27">
        <f t="shared" si="16"/>
        <v>393120.33333333331</v>
      </c>
      <c r="G111" s="17">
        <f t="shared" si="20"/>
        <v>6.6526100164224547E-4</v>
      </c>
      <c r="H111" s="18">
        <f t="shared" si="17"/>
        <v>2.3988295043088081E-2</v>
      </c>
      <c r="I111" s="18">
        <f t="shared" si="18"/>
        <v>6.5164574983364545E-2</v>
      </c>
      <c r="J111" s="22">
        <f t="shared" si="19"/>
        <v>110</v>
      </c>
    </row>
    <row r="112" spans="1:10" ht="17.100000000000001" customHeight="1" x14ac:dyDescent="0.25">
      <c r="A112" s="4" t="s">
        <v>45</v>
      </c>
      <c r="B112" s="13">
        <v>5.45E-2</v>
      </c>
      <c r="C112" s="24">
        <v>348428</v>
      </c>
      <c r="D112" s="25">
        <v>349987</v>
      </c>
      <c r="E112" s="25">
        <v>472099</v>
      </c>
      <c r="F112" s="27">
        <f t="shared" si="16"/>
        <v>390171.33333333331</v>
      </c>
      <c r="G112" s="17">
        <f t="shared" si="20"/>
        <v>6.6027053300581528E-4</v>
      </c>
      <c r="H112" s="18">
        <f t="shared" si="17"/>
        <v>4.4743820818074322E-3</v>
      </c>
      <c r="I112" s="18">
        <f t="shared" si="18"/>
        <v>0.34890438787726402</v>
      </c>
      <c r="J112" s="22">
        <f t="shared" si="19"/>
        <v>111</v>
      </c>
    </row>
    <row r="113" spans="1:10" ht="17.100000000000001" customHeight="1" x14ac:dyDescent="0.25">
      <c r="A113" s="4" t="s">
        <v>70</v>
      </c>
      <c r="B113" s="13">
        <v>7.4499999999999997E-2</v>
      </c>
      <c r="C113" s="24">
        <v>355660</v>
      </c>
      <c r="D113" s="25">
        <v>394818</v>
      </c>
      <c r="E113" s="25">
        <v>415057</v>
      </c>
      <c r="F113" s="27">
        <f t="shared" si="16"/>
        <v>388511.66666666669</v>
      </c>
      <c r="G113" s="17">
        <f t="shared" si="20"/>
        <v>6.5746194892750789E-4</v>
      </c>
      <c r="H113" s="18">
        <f t="shared" si="17"/>
        <v>0.11009953326210425</v>
      </c>
      <c r="I113" s="18">
        <f t="shared" si="18"/>
        <v>5.1261593949617289E-2</v>
      </c>
      <c r="J113" s="22">
        <f t="shared" si="19"/>
        <v>112</v>
      </c>
    </row>
    <row r="114" spans="1:10" ht="17.100000000000001" customHeight="1" x14ac:dyDescent="0.25">
      <c r="A114" s="4" t="s">
        <v>62</v>
      </c>
      <c r="B114" s="13">
        <v>6.5000000000000002E-2</v>
      </c>
      <c r="C114" s="24">
        <v>336523</v>
      </c>
      <c r="D114" s="25">
        <v>400576</v>
      </c>
      <c r="E114" s="25">
        <v>411442</v>
      </c>
      <c r="F114" s="27">
        <f t="shared" si="16"/>
        <v>382847</v>
      </c>
      <c r="G114" s="17">
        <f t="shared" si="20"/>
        <v>6.4787587183838221E-4</v>
      </c>
      <c r="H114" s="18">
        <f t="shared" si="17"/>
        <v>0.19033765894158794</v>
      </c>
      <c r="I114" s="18">
        <f t="shared" si="18"/>
        <v>2.7125938648346382E-2</v>
      </c>
      <c r="J114" s="22">
        <f t="shared" si="19"/>
        <v>113</v>
      </c>
    </row>
    <row r="115" spans="1:10" ht="17.100000000000001" customHeight="1" x14ac:dyDescent="0.25">
      <c r="A115" s="4" t="s">
        <v>86</v>
      </c>
      <c r="B115" s="13">
        <v>6.1400000000000003E-2</v>
      </c>
      <c r="C115" s="24">
        <v>339471</v>
      </c>
      <c r="D115" s="25">
        <v>395263</v>
      </c>
      <c r="E115" s="25">
        <v>413344</v>
      </c>
      <c r="F115" s="27">
        <f t="shared" si="16"/>
        <v>382692.66666666669</v>
      </c>
      <c r="G115" s="17">
        <f t="shared" si="20"/>
        <v>6.4761470003114061E-4</v>
      </c>
      <c r="H115" s="18">
        <f t="shared" si="17"/>
        <v>0.16434982664204012</v>
      </c>
      <c r="I115" s="18">
        <f t="shared" si="18"/>
        <v>4.5744225996361916E-2</v>
      </c>
      <c r="J115" s="22">
        <f t="shared" si="19"/>
        <v>114</v>
      </c>
    </row>
    <row r="116" spans="1:10" ht="17.100000000000001" customHeight="1" x14ac:dyDescent="0.25">
      <c r="A116" s="4" t="s">
        <v>117</v>
      </c>
      <c r="B116" s="13">
        <v>8.5699999999999998E-2</v>
      </c>
      <c r="C116" s="24">
        <v>359687</v>
      </c>
      <c r="D116" s="25">
        <v>384669</v>
      </c>
      <c r="E116" s="25">
        <v>398604</v>
      </c>
      <c r="F116" s="27">
        <f t="shared" si="16"/>
        <v>380986.66666666669</v>
      </c>
      <c r="G116" s="17">
        <f t="shared" si="20"/>
        <v>6.447277080020629E-4</v>
      </c>
      <c r="H116" s="18">
        <f t="shared" si="17"/>
        <v>6.9454831561885755E-2</v>
      </c>
      <c r="I116" s="18">
        <f t="shared" si="18"/>
        <v>3.6225950102555707E-2</v>
      </c>
      <c r="J116" s="22">
        <f t="shared" si="19"/>
        <v>115</v>
      </c>
    </row>
    <row r="117" spans="1:10" ht="17.100000000000001" customHeight="1" x14ac:dyDescent="0.25">
      <c r="A117" s="4" t="s">
        <v>105</v>
      </c>
      <c r="B117" s="13">
        <v>3.8300000000000001E-2</v>
      </c>
      <c r="C117" s="24">
        <v>354435</v>
      </c>
      <c r="D117" s="25">
        <v>365954</v>
      </c>
      <c r="E117" s="25">
        <v>416257</v>
      </c>
      <c r="F117" s="27">
        <f t="shared" si="16"/>
        <v>378882</v>
      </c>
      <c r="G117" s="17">
        <f t="shared" si="20"/>
        <v>6.4116606914477571E-4</v>
      </c>
      <c r="H117" s="18">
        <f t="shared" si="17"/>
        <v>3.2499612058628523E-2</v>
      </c>
      <c r="I117" s="18">
        <f t="shared" si="18"/>
        <v>0.13745716674773331</v>
      </c>
      <c r="J117" s="22">
        <f t="shared" si="19"/>
        <v>116</v>
      </c>
    </row>
    <row r="118" spans="1:10" ht="17.100000000000001" customHeight="1" x14ac:dyDescent="0.25">
      <c r="A118" s="4" t="s">
        <v>77</v>
      </c>
      <c r="B118" s="13">
        <v>5.8099999999999999E-2</v>
      </c>
      <c r="C118" s="24">
        <v>298818</v>
      </c>
      <c r="D118" s="25">
        <v>398725</v>
      </c>
      <c r="E118" s="25">
        <v>436712</v>
      </c>
      <c r="F118" s="27">
        <f t="shared" si="16"/>
        <v>378085</v>
      </c>
      <c r="G118" s="17">
        <f t="shared" si="20"/>
        <v>6.3981733957433316E-4</v>
      </c>
      <c r="H118" s="18">
        <f t="shared" si="17"/>
        <v>0.33434063543695491</v>
      </c>
      <c r="I118" s="18">
        <f t="shared" si="18"/>
        <v>9.527117687629319E-2</v>
      </c>
      <c r="J118" s="22">
        <f t="shared" si="19"/>
        <v>117</v>
      </c>
    </row>
    <row r="119" spans="1:10" ht="17.100000000000001" customHeight="1" x14ac:dyDescent="0.25">
      <c r="A119" s="4" t="s">
        <v>101</v>
      </c>
      <c r="B119" s="13">
        <v>4.9799999999999997E-2</v>
      </c>
      <c r="C119" s="24">
        <v>368145</v>
      </c>
      <c r="D119" s="25">
        <v>375833</v>
      </c>
      <c r="E119" s="25">
        <v>379690</v>
      </c>
      <c r="F119" s="27">
        <f t="shared" si="16"/>
        <v>374556</v>
      </c>
      <c r="G119" s="17">
        <f t="shared" si="20"/>
        <v>6.3384536133833378E-4</v>
      </c>
      <c r="H119" s="18">
        <f t="shared" si="17"/>
        <v>2.0883075961917179E-2</v>
      </c>
      <c r="I119" s="18">
        <f t="shared" si="18"/>
        <v>1.0262536818214473E-2</v>
      </c>
      <c r="J119" s="22">
        <f t="shared" si="19"/>
        <v>118</v>
      </c>
    </row>
    <row r="120" spans="1:10" ht="17.100000000000001" customHeight="1" x14ac:dyDescent="0.25">
      <c r="A120" s="4" t="s">
        <v>5</v>
      </c>
      <c r="B120" s="13">
        <v>7.2900000000000006E-2</v>
      </c>
      <c r="C120" s="24">
        <v>307999</v>
      </c>
      <c r="D120" s="25">
        <v>388040</v>
      </c>
      <c r="E120" s="25">
        <v>424858</v>
      </c>
      <c r="F120" s="27">
        <f t="shared" si="16"/>
        <v>373632.33333333331</v>
      </c>
      <c r="G120" s="17">
        <f t="shared" si="20"/>
        <v>6.3228227909672106E-4</v>
      </c>
      <c r="H120" s="18">
        <f t="shared" si="17"/>
        <v>0.25987422037084534</v>
      </c>
      <c r="I120" s="18">
        <f t="shared" si="18"/>
        <v>9.488197093083188E-2</v>
      </c>
      <c r="J120" s="22">
        <f t="shared" si="19"/>
        <v>119</v>
      </c>
    </row>
    <row r="121" spans="1:10" ht="17.100000000000001" customHeight="1" x14ac:dyDescent="0.25">
      <c r="A121" s="4" t="s">
        <v>38</v>
      </c>
      <c r="B121" s="13">
        <v>4.4299999999999999E-2</v>
      </c>
      <c r="C121" s="24">
        <v>293047</v>
      </c>
      <c r="D121" s="25">
        <v>410023</v>
      </c>
      <c r="E121" s="25">
        <v>417593</v>
      </c>
      <c r="F121" s="27">
        <f t="shared" si="16"/>
        <v>373554.33333333331</v>
      </c>
      <c r="G121" s="17">
        <f t="shared" si="20"/>
        <v>6.3215028297815832E-4</v>
      </c>
      <c r="H121" s="18">
        <f t="shared" si="17"/>
        <v>0.39917146396311853</v>
      </c>
      <c r="I121" s="18">
        <f t="shared" si="18"/>
        <v>1.8462378939718017E-2</v>
      </c>
      <c r="J121" s="22">
        <f t="shared" si="19"/>
        <v>120</v>
      </c>
    </row>
    <row r="122" spans="1:10" ht="17.100000000000001" customHeight="1" x14ac:dyDescent="0.25">
      <c r="A122" s="4" t="s">
        <v>57</v>
      </c>
      <c r="B122" s="13">
        <v>6.25E-2</v>
      </c>
      <c r="C122" s="24">
        <v>358552</v>
      </c>
      <c r="D122" s="25">
        <v>377777</v>
      </c>
      <c r="E122" s="25">
        <v>379186</v>
      </c>
      <c r="F122" s="27">
        <f t="shared" si="16"/>
        <v>371838.33333333331</v>
      </c>
      <c r="G122" s="17">
        <f t="shared" si="20"/>
        <v>6.292463683697778E-4</v>
      </c>
      <c r="H122" s="18">
        <f t="shared" si="17"/>
        <v>5.3618443071018984E-2</v>
      </c>
      <c r="I122" s="18">
        <f t="shared" si="18"/>
        <v>3.7297135611749788E-3</v>
      </c>
      <c r="J122" s="22">
        <f t="shared" si="19"/>
        <v>121</v>
      </c>
    </row>
    <row r="123" spans="1:10" ht="17.100000000000001" customHeight="1" x14ac:dyDescent="0.25">
      <c r="A123" s="4" t="s">
        <v>49</v>
      </c>
      <c r="B123" s="13">
        <v>4.5699999999999998E-2</v>
      </c>
      <c r="C123" s="24">
        <v>335838</v>
      </c>
      <c r="D123" s="25">
        <v>355862</v>
      </c>
      <c r="E123" s="25">
        <v>400721</v>
      </c>
      <c r="F123" s="27">
        <f t="shared" si="16"/>
        <v>364140.33333333331</v>
      </c>
      <c r="G123" s="17">
        <f t="shared" si="20"/>
        <v>6.1621936682239233E-4</v>
      </c>
      <c r="H123" s="18">
        <f t="shared" si="17"/>
        <v>5.9623985373900512E-2</v>
      </c>
      <c r="I123" s="18">
        <f t="shared" si="18"/>
        <v>0.12605729187156819</v>
      </c>
      <c r="J123" s="22">
        <f t="shared" si="19"/>
        <v>122</v>
      </c>
    </row>
    <row r="124" spans="1:10" ht="17.100000000000001" customHeight="1" x14ac:dyDescent="0.25">
      <c r="A124" s="4" t="s">
        <v>87</v>
      </c>
      <c r="B124" s="13">
        <v>8.3099999999999993E-2</v>
      </c>
      <c r="C124" s="24">
        <v>311921</v>
      </c>
      <c r="D124" s="25">
        <v>331907</v>
      </c>
      <c r="E124" s="25">
        <v>442179</v>
      </c>
      <c r="F124" s="27">
        <f t="shared" si="16"/>
        <v>362002.33333333331</v>
      </c>
      <c r="G124" s="17">
        <f t="shared" si="20"/>
        <v>6.1260131936742871E-4</v>
      </c>
      <c r="H124" s="18">
        <f t="shared" si="17"/>
        <v>6.4073916151846141E-2</v>
      </c>
      <c r="I124" s="18">
        <f t="shared" si="18"/>
        <v>0.332237644882452</v>
      </c>
      <c r="J124" s="22">
        <f t="shared" si="19"/>
        <v>123</v>
      </c>
    </row>
    <row r="125" spans="1:10" ht="17.100000000000001" customHeight="1" x14ac:dyDescent="0.25">
      <c r="A125" s="4" t="s">
        <v>12</v>
      </c>
      <c r="B125" s="13">
        <v>7.7899999999999997E-2</v>
      </c>
      <c r="C125" s="24">
        <v>361218</v>
      </c>
      <c r="D125" s="25">
        <v>361218</v>
      </c>
      <c r="E125" s="25" t="s">
        <v>190</v>
      </c>
      <c r="F125" s="27">
        <f t="shared" si="16"/>
        <v>361218</v>
      </c>
      <c r="G125" s="17">
        <f t="shared" si="20"/>
        <v>6.1127402506410333E-4</v>
      </c>
      <c r="H125" s="18">
        <f t="shared" si="17"/>
        <v>0</v>
      </c>
      <c r="I125" s="18" t="str">
        <f t="shared" si="18"/>
        <v>Not available</v>
      </c>
      <c r="J125" s="22">
        <f t="shared" si="19"/>
        <v>124</v>
      </c>
    </row>
    <row r="126" spans="1:10" ht="17.100000000000001" customHeight="1" x14ac:dyDescent="0.25">
      <c r="A126" s="4" t="s">
        <v>15</v>
      </c>
      <c r="B126" s="13">
        <v>5.3900000000000003E-2</v>
      </c>
      <c r="C126" s="24">
        <v>260120</v>
      </c>
      <c r="D126" s="25">
        <v>401924</v>
      </c>
      <c r="E126" s="25">
        <v>406220</v>
      </c>
      <c r="F126" s="27">
        <f t="shared" si="16"/>
        <v>356088</v>
      </c>
      <c r="G126" s="17">
        <f t="shared" si="20"/>
        <v>6.0259274188170688E-4</v>
      </c>
      <c r="H126" s="18">
        <f t="shared" si="17"/>
        <v>0.5451483930493618</v>
      </c>
      <c r="I126" s="18">
        <f t="shared" si="18"/>
        <v>1.0688587892238333E-2</v>
      </c>
      <c r="J126" s="22">
        <f t="shared" si="19"/>
        <v>125</v>
      </c>
    </row>
    <row r="127" spans="1:10" ht="17.100000000000001" customHeight="1" x14ac:dyDescent="0.25">
      <c r="A127" s="4" t="s">
        <v>113</v>
      </c>
      <c r="B127" s="13">
        <v>6.0400000000000002E-2</v>
      </c>
      <c r="C127" s="24">
        <v>268820</v>
      </c>
      <c r="D127" s="25">
        <v>372163</v>
      </c>
      <c r="E127" s="25">
        <v>405300</v>
      </c>
      <c r="F127" s="27">
        <f t="shared" si="16"/>
        <v>348761</v>
      </c>
      <c r="G127" s="17">
        <f t="shared" si="20"/>
        <v>5.9019356802645967E-4</v>
      </c>
      <c r="H127" s="18">
        <f t="shared" si="17"/>
        <v>0.38443196190759615</v>
      </c>
      <c r="I127" s="18">
        <f t="shared" si="18"/>
        <v>8.9038942613854685E-2</v>
      </c>
      <c r="J127" s="22">
        <f t="shared" si="19"/>
        <v>126</v>
      </c>
    </row>
    <row r="128" spans="1:10" ht="17.100000000000001" customHeight="1" x14ac:dyDescent="0.25">
      <c r="A128" s="4" t="s">
        <v>31</v>
      </c>
      <c r="B128" s="13">
        <v>3.9399999999999998E-2</v>
      </c>
      <c r="C128" s="24">
        <v>239464</v>
      </c>
      <c r="D128" s="25">
        <v>342292</v>
      </c>
      <c r="E128" s="25">
        <v>463204</v>
      </c>
      <c r="F128" s="27">
        <f t="shared" si="16"/>
        <v>348320</v>
      </c>
      <c r="G128" s="17">
        <f t="shared" si="20"/>
        <v>5.8944728227920109E-4</v>
      </c>
      <c r="H128" s="18">
        <f t="shared" si="17"/>
        <v>0.4294090134634016</v>
      </c>
      <c r="I128" s="18">
        <f t="shared" si="18"/>
        <v>0.35324226099353767</v>
      </c>
      <c r="J128" s="22">
        <f t="shared" si="19"/>
        <v>127</v>
      </c>
    </row>
    <row r="129" spans="1:10" ht="17.100000000000001" customHeight="1" x14ac:dyDescent="0.25">
      <c r="A129" s="4" t="s">
        <v>63</v>
      </c>
      <c r="B129" s="13">
        <v>9.06E-2</v>
      </c>
      <c r="C129" s="24">
        <v>257193</v>
      </c>
      <c r="D129" s="25">
        <v>357219</v>
      </c>
      <c r="E129" s="25">
        <v>425417</v>
      </c>
      <c r="F129" s="27">
        <f t="shared" si="16"/>
        <v>346609.66666666669</v>
      </c>
      <c r="G129" s="17">
        <f t="shared" si="20"/>
        <v>5.8655295713242557E-4</v>
      </c>
      <c r="H129" s="18">
        <f t="shared" si="17"/>
        <v>0.388914161738461</v>
      </c>
      <c r="I129" s="18">
        <f t="shared" si="18"/>
        <v>0.19091369719975701</v>
      </c>
      <c r="J129" s="22">
        <f t="shared" si="19"/>
        <v>128</v>
      </c>
    </row>
    <row r="130" spans="1:10" ht="17.100000000000001" customHeight="1" x14ac:dyDescent="0.25">
      <c r="A130" s="4" t="s">
        <v>82</v>
      </c>
      <c r="B130" s="13">
        <v>7.8E-2</v>
      </c>
      <c r="C130" s="24">
        <v>325824</v>
      </c>
      <c r="D130" s="25">
        <v>338425</v>
      </c>
      <c r="E130" s="25">
        <v>366513</v>
      </c>
      <c r="F130" s="27">
        <f t="shared" ref="F130:F161" si="21">AVERAGE(C130,D130,E130)</f>
        <v>343587.33333333331</v>
      </c>
      <c r="G130" s="17">
        <f t="shared" si="20"/>
        <v>5.8143838958110727E-4</v>
      </c>
      <c r="H130" s="18">
        <f t="shared" ref="H130:H161" si="22">IFERROR((D130-C130)/C130,"Not available")</f>
        <v>3.8674253584757415E-2</v>
      </c>
      <c r="I130" s="18">
        <f t="shared" ref="I130:I161" si="23">IFERROR((E130-D130)/D130,"Not available")</f>
        <v>8.2996232547831866E-2</v>
      </c>
      <c r="J130" s="22">
        <f t="shared" ref="J130:J161" si="24">_xlfn.RANK.AVG(F130,$F$2:$F$185)</f>
        <v>129</v>
      </c>
    </row>
    <row r="131" spans="1:10" ht="17.100000000000001" customHeight="1" x14ac:dyDescent="0.25">
      <c r="A131" s="4" t="s">
        <v>30</v>
      </c>
      <c r="B131" s="13">
        <v>8.8200000000000001E-2</v>
      </c>
      <c r="C131" s="24">
        <v>297569</v>
      </c>
      <c r="D131" s="25">
        <v>365938</v>
      </c>
      <c r="E131" s="25">
        <v>366383</v>
      </c>
      <c r="F131" s="27">
        <f t="shared" si="21"/>
        <v>343296.66666666669</v>
      </c>
      <c r="G131" s="17">
        <f t="shared" si="20"/>
        <v>5.8094650660936919E-4</v>
      </c>
      <c r="H131" s="18">
        <f t="shared" si="22"/>
        <v>0.22975847618535533</v>
      </c>
      <c r="I131" s="18">
        <f t="shared" si="23"/>
        <v>1.2160529925834432E-3</v>
      </c>
      <c r="J131" s="22">
        <f t="shared" si="24"/>
        <v>130</v>
      </c>
    </row>
    <row r="132" spans="1:10" ht="17.100000000000001" customHeight="1" x14ac:dyDescent="0.25">
      <c r="A132" s="4" t="s">
        <v>29</v>
      </c>
      <c r="B132" s="13">
        <v>9.11E-2</v>
      </c>
      <c r="C132" s="24">
        <v>324858</v>
      </c>
      <c r="D132" s="25">
        <v>345836</v>
      </c>
      <c r="E132" s="25">
        <v>358676</v>
      </c>
      <c r="F132" s="27">
        <f t="shared" si="21"/>
        <v>343123.33333333331</v>
      </c>
      <c r="G132" s="17">
        <f t="shared" ref="G132:G163" si="25">_xlfn.PERCENTOF(F132,$C$187+$D$187+$E$187)</f>
        <v>5.8065318190145189E-4</v>
      </c>
      <c r="H132" s="18">
        <f t="shared" si="22"/>
        <v>6.4575907011678951E-2</v>
      </c>
      <c r="I132" s="18">
        <f t="shared" si="23"/>
        <v>3.7127424559617851E-2</v>
      </c>
      <c r="J132" s="22">
        <f t="shared" si="24"/>
        <v>131</v>
      </c>
    </row>
    <row r="133" spans="1:10" ht="17.100000000000001" customHeight="1" x14ac:dyDescent="0.25">
      <c r="A133" s="4" t="s">
        <v>54</v>
      </c>
      <c r="B133" s="13">
        <v>3.7199999999999997E-2</v>
      </c>
      <c r="C133" s="24">
        <v>305175</v>
      </c>
      <c r="D133" s="25">
        <v>348529</v>
      </c>
      <c r="E133" s="25">
        <v>374536</v>
      </c>
      <c r="F133" s="27">
        <f t="shared" si="21"/>
        <v>342746.66666666669</v>
      </c>
      <c r="G133" s="17">
        <f t="shared" si="25"/>
        <v>5.8001576474770876E-4</v>
      </c>
      <c r="H133" s="18">
        <f t="shared" si="22"/>
        <v>0.14206275088064224</v>
      </c>
      <c r="I133" s="18">
        <f t="shared" si="23"/>
        <v>7.4619328664185761E-2</v>
      </c>
      <c r="J133" s="22">
        <f t="shared" si="24"/>
        <v>132</v>
      </c>
    </row>
    <row r="134" spans="1:10" ht="17.100000000000001" customHeight="1" x14ac:dyDescent="0.25">
      <c r="A134" s="4" t="s">
        <v>95</v>
      </c>
      <c r="B134" s="13">
        <v>7.6399999999999996E-2</v>
      </c>
      <c r="C134" s="24">
        <v>322895</v>
      </c>
      <c r="D134" s="25">
        <v>341645</v>
      </c>
      <c r="E134" s="25">
        <v>344791</v>
      </c>
      <c r="F134" s="27">
        <f t="shared" si="21"/>
        <v>336443.66666666669</v>
      </c>
      <c r="G134" s="17">
        <f t="shared" si="25"/>
        <v>5.6934946301308027E-4</v>
      </c>
      <c r="H134" s="18">
        <f t="shared" si="22"/>
        <v>5.8068412332182288E-2</v>
      </c>
      <c r="I134" s="18">
        <f t="shared" si="23"/>
        <v>9.2083888246571738E-3</v>
      </c>
      <c r="J134" s="22">
        <f t="shared" si="24"/>
        <v>133</v>
      </c>
    </row>
    <row r="135" spans="1:10" ht="17.100000000000001" customHeight="1" x14ac:dyDescent="0.25">
      <c r="A135" s="4" t="s">
        <v>35</v>
      </c>
      <c r="B135" s="13">
        <v>6.59E-2</v>
      </c>
      <c r="C135" s="24">
        <v>292405</v>
      </c>
      <c r="D135" s="25">
        <v>344628</v>
      </c>
      <c r="E135" s="25">
        <v>365497</v>
      </c>
      <c r="F135" s="27">
        <f t="shared" si="21"/>
        <v>334176.66666666669</v>
      </c>
      <c r="G135" s="17">
        <f t="shared" si="25"/>
        <v>5.6551311428510896E-4</v>
      </c>
      <c r="H135" s="18">
        <f t="shared" si="22"/>
        <v>0.17859817718575263</v>
      </c>
      <c r="I135" s="18">
        <f t="shared" si="23"/>
        <v>6.055514932042666E-2</v>
      </c>
      <c r="J135" s="22">
        <f t="shared" si="24"/>
        <v>134</v>
      </c>
    </row>
    <row r="136" spans="1:10" ht="17.100000000000001" customHeight="1" x14ac:dyDescent="0.25">
      <c r="A136" s="4" t="s">
        <v>153</v>
      </c>
      <c r="B136" s="13">
        <v>4.4499999999999998E-2</v>
      </c>
      <c r="C136" s="24">
        <v>251071</v>
      </c>
      <c r="D136" s="25">
        <v>326294</v>
      </c>
      <c r="E136" s="25">
        <v>424107</v>
      </c>
      <c r="F136" s="27">
        <f t="shared" si="21"/>
        <v>333824</v>
      </c>
      <c r="G136" s="17">
        <f t="shared" si="25"/>
        <v>5.6491631132169276E-4</v>
      </c>
      <c r="H136" s="18">
        <f t="shared" si="22"/>
        <v>0.29960847728331824</v>
      </c>
      <c r="I136" s="18">
        <f t="shared" si="23"/>
        <v>0.29976953299784859</v>
      </c>
      <c r="J136" s="22">
        <f t="shared" si="24"/>
        <v>135</v>
      </c>
    </row>
    <row r="137" spans="1:10" ht="17.100000000000001" customHeight="1" x14ac:dyDescent="0.25">
      <c r="A137" s="4" t="s">
        <v>69</v>
      </c>
      <c r="B137" s="13">
        <v>9.2799999999999994E-2</v>
      </c>
      <c r="C137" s="24">
        <v>278024</v>
      </c>
      <c r="D137" s="25">
        <v>299709</v>
      </c>
      <c r="E137" s="25">
        <v>390738</v>
      </c>
      <c r="F137" s="27">
        <f t="shared" si="21"/>
        <v>322823.66666666669</v>
      </c>
      <c r="G137" s="17">
        <f t="shared" si="25"/>
        <v>5.4630091000250748E-4</v>
      </c>
      <c r="H137" s="18">
        <f t="shared" si="22"/>
        <v>7.7996863580122575E-2</v>
      </c>
      <c r="I137" s="18">
        <f t="shared" si="23"/>
        <v>0.30372461287448826</v>
      </c>
      <c r="J137" s="22">
        <f t="shared" si="24"/>
        <v>136</v>
      </c>
    </row>
    <row r="138" spans="1:10" ht="17.100000000000001" customHeight="1" x14ac:dyDescent="0.25">
      <c r="A138" s="4" t="s">
        <v>4</v>
      </c>
      <c r="B138" s="13">
        <v>4.7E-2</v>
      </c>
      <c r="C138" s="24">
        <v>266021</v>
      </c>
      <c r="D138" s="25">
        <v>314985</v>
      </c>
      <c r="E138" s="25">
        <v>380821</v>
      </c>
      <c r="F138" s="27">
        <f t="shared" si="21"/>
        <v>320609</v>
      </c>
      <c r="G138" s="17">
        <f t="shared" si="25"/>
        <v>5.4255312277288808E-4</v>
      </c>
      <c r="H138" s="18">
        <f t="shared" si="22"/>
        <v>0.18406065686543543</v>
      </c>
      <c r="I138" s="18">
        <f t="shared" si="23"/>
        <v>0.20901312760925123</v>
      </c>
      <c r="J138" s="22">
        <f t="shared" si="24"/>
        <v>137</v>
      </c>
    </row>
    <row r="139" spans="1:10" ht="17.100000000000001" customHeight="1" x14ac:dyDescent="0.25">
      <c r="A139" s="4" t="s">
        <v>7</v>
      </c>
      <c r="B139" s="13">
        <v>3.85E-2</v>
      </c>
      <c r="C139" s="24">
        <v>282937</v>
      </c>
      <c r="D139" s="25">
        <v>324544</v>
      </c>
      <c r="E139" s="25">
        <v>344791</v>
      </c>
      <c r="F139" s="27">
        <f t="shared" si="21"/>
        <v>317424</v>
      </c>
      <c r="G139" s="17">
        <f t="shared" si="25"/>
        <v>5.3716328126490905E-4</v>
      </c>
      <c r="H139" s="18">
        <f t="shared" si="22"/>
        <v>0.1470539378024083</v>
      </c>
      <c r="I139" s="18">
        <f t="shared" si="23"/>
        <v>6.2385993886807337E-2</v>
      </c>
      <c r="J139" s="22">
        <f t="shared" si="24"/>
        <v>138</v>
      </c>
    </row>
    <row r="140" spans="1:10" ht="17.100000000000001" customHeight="1" x14ac:dyDescent="0.25">
      <c r="A140" s="4" t="s">
        <v>41</v>
      </c>
      <c r="B140" s="13">
        <v>7.6700000000000004E-2</v>
      </c>
      <c r="C140" s="24">
        <v>293471</v>
      </c>
      <c r="D140" s="25">
        <v>324147</v>
      </c>
      <c r="E140" s="25">
        <v>326589</v>
      </c>
      <c r="F140" s="27">
        <f t="shared" si="21"/>
        <v>314735.66666666669</v>
      </c>
      <c r="G140" s="17">
        <f t="shared" si="25"/>
        <v>5.3261392786230829E-4</v>
      </c>
      <c r="H140" s="18">
        <f t="shared" si="22"/>
        <v>0.10452821573511523</v>
      </c>
      <c r="I140" s="18">
        <f t="shared" si="23"/>
        <v>7.533619006191635E-3</v>
      </c>
      <c r="J140" s="22">
        <f t="shared" si="24"/>
        <v>139</v>
      </c>
    </row>
    <row r="141" spans="1:10" ht="17.100000000000001" customHeight="1" x14ac:dyDescent="0.25">
      <c r="A141" s="4" t="s">
        <v>28</v>
      </c>
      <c r="B141" s="13">
        <v>5.4899999999999997E-2</v>
      </c>
      <c r="C141" s="24">
        <v>282912</v>
      </c>
      <c r="D141" s="25">
        <v>299415</v>
      </c>
      <c r="E141" s="25">
        <v>351715</v>
      </c>
      <c r="F141" s="27">
        <f t="shared" si="21"/>
        <v>311347.33333333331</v>
      </c>
      <c r="G141" s="17">
        <f t="shared" si="25"/>
        <v>5.268799939085032E-4</v>
      </c>
      <c r="H141" s="18">
        <f t="shared" si="22"/>
        <v>5.833262639972854E-2</v>
      </c>
      <c r="I141" s="18">
        <f t="shared" si="23"/>
        <v>0.17467394753101881</v>
      </c>
      <c r="J141" s="22">
        <f t="shared" si="24"/>
        <v>140</v>
      </c>
    </row>
    <row r="142" spans="1:10" ht="17.100000000000001" customHeight="1" x14ac:dyDescent="0.25">
      <c r="A142" s="4" t="s">
        <v>85</v>
      </c>
      <c r="B142" s="13">
        <v>6.1100000000000002E-2</v>
      </c>
      <c r="C142" s="24">
        <v>316645</v>
      </c>
      <c r="D142" s="25">
        <v>308739</v>
      </c>
      <c r="E142" s="25">
        <v>299397</v>
      </c>
      <c r="F142" s="27">
        <f t="shared" si="21"/>
        <v>308260.33333333331</v>
      </c>
      <c r="G142" s="17">
        <f t="shared" si="25"/>
        <v>5.2165599367769275E-4</v>
      </c>
      <c r="H142" s="18">
        <f t="shared" si="22"/>
        <v>-2.496802412796665E-2</v>
      </c>
      <c r="I142" s="18">
        <f t="shared" si="23"/>
        <v>-3.0258567916589742E-2</v>
      </c>
      <c r="J142" s="22">
        <f t="shared" si="24"/>
        <v>141</v>
      </c>
    </row>
    <row r="143" spans="1:10" ht="17.100000000000001" customHeight="1" x14ac:dyDescent="0.25">
      <c r="A143" s="4" t="s">
        <v>67</v>
      </c>
      <c r="B143" s="13">
        <v>0.08</v>
      </c>
      <c r="C143" s="24">
        <v>283719</v>
      </c>
      <c r="D143" s="25">
        <v>290824</v>
      </c>
      <c r="E143" s="25">
        <v>349431</v>
      </c>
      <c r="F143" s="27">
        <f t="shared" si="21"/>
        <v>307991.33333333331</v>
      </c>
      <c r="G143" s="17">
        <f t="shared" si="25"/>
        <v>5.2120077629444429E-4</v>
      </c>
      <c r="H143" s="18">
        <f t="shared" si="22"/>
        <v>2.5042383485067973E-2</v>
      </c>
      <c r="I143" s="18">
        <f t="shared" si="23"/>
        <v>0.20152050724837015</v>
      </c>
      <c r="J143" s="22">
        <f t="shared" si="24"/>
        <v>142</v>
      </c>
    </row>
    <row r="144" spans="1:10" ht="17.100000000000001" customHeight="1" x14ac:dyDescent="0.25">
      <c r="A144" s="4" t="s">
        <v>17</v>
      </c>
      <c r="B144" s="13">
        <v>8.14E-2</v>
      </c>
      <c r="C144" s="24">
        <v>307689</v>
      </c>
      <c r="D144" s="25">
        <v>307561</v>
      </c>
      <c r="E144" s="25">
        <v>304284</v>
      </c>
      <c r="F144" s="27">
        <f t="shared" si="21"/>
        <v>306511.33333333331</v>
      </c>
      <c r="G144" s="17">
        <f t="shared" si="25"/>
        <v>5.1869623455761261E-4</v>
      </c>
      <c r="H144" s="18">
        <f t="shared" si="22"/>
        <v>-4.1600447204807449E-4</v>
      </c>
      <c r="I144" s="18">
        <f t="shared" si="23"/>
        <v>-1.0654796934591837E-2</v>
      </c>
      <c r="J144" s="22">
        <f t="shared" si="24"/>
        <v>143</v>
      </c>
    </row>
    <row r="145" spans="1:10" ht="17.100000000000001" customHeight="1" x14ac:dyDescent="0.25">
      <c r="A145" s="4" t="s">
        <v>124</v>
      </c>
      <c r="B145" s="13">
        <v>5.5599999999999997E-2</v>
      </c>
      <c r="C145" s="24">
        <v>296529</v>
      </c>
      <c r="D145" s="25">
        <v>297971</v>
      </c>
      <c r="E145" s="25">
        <v>319224</v>
      </c>
      <c r="F145" s="27">
        <f t="shared" si="21"/>
        <v>304574.66666666669</v>
      </c>
      <c r="G145" s="17">
        <f t="shared" si="25"/>
        <v>5.1541889503261445E-4</v>
      </c>
      <c r="H145" s="18">
        <f t="shared" si="22"/>
        <v>4.8629307757420016E-3</v>
      </c>
      <c r="I145" s="18">
        <f t="shared" si="23"/>
        <v>7.1325733041134876E-2</v>
      </c>
      <c r="J145" s="22">
        <f t="shared" si="24"/>
        <v>144</v>
      </c>
    </row>
    <row r="146" spans="1:10" ht="17.100000000000001" customHeight="1" x14ac:dyDescent="0.25">
      <c r="A146" s="4" t="s">
        <v>166</v>
      </c>
      <c r="B146" s="13">
        <v>7.0999999999999994E-2</v>
      </c>
      <c r="C146" s="24">
        <v>322895</v>
      </c>
      <c r="D146" s="25">
        <v>306190</v>
      </c>
      <c r="E146" s="25">
        <v>282937</v>
      </c>
      <c r="F146" s="27">
        <f t="shared" si="21"/>
        <v>304007.33333333331</v>
      </c>
      <c r="G146" s="17">
        <f t="shared" si="25"/>
        <v>5.1445882070016221E-4</v>
      </c>
      <c r="H146" s="18">
        <f t="shared" si="22"/>
        <v>-5.1735084160485605E-2</v>
      </c>
      <c r="I146" s="18">
        <f t="shared" si="23"/>
        <v>-7.5943041902086936E-2</v>
      </c>
      <c r="J146" s="22">
        <f t="shared" si="24"/>
        <v>145</v>
      </c>
    </row>
    <row r="147" spans="1:10" ht="17.100000000000001" customHeight="1" x14ac:dyDescent="0.25">
      <c r="A147" s="4" t="s">
        <v>170</v>
      </c>
      <c r="B147" s="13">
        <v>4.1700000000000001E-2</v>
      </c>
      <c r="C147" s="24">
        <v>322895</v>
      </c>
      <c r="D147" s="25">
        <v>298794</v>
      </c>
      <c r="E147" s="25">
        <v>282937</v>
      </c>
      <c r="F147" s="27">
        <f t="shared" si="21"/>
        <v>301542</v>
      </c>
      <c r="G147" s="17">
        <f t="shared" si="25"/>
        <v>5.1028684081601641E-4</v>
      </c>
      <c r="H147" s="18">
        <f t="shared" si="22"/>
        <v>-7.4640362966289356E-2</v>
      </c>
      <c r="I147" s="18">
        <f t="shared" si="23"/>
        <v>-5.3070008099225553E-2</v>
      </c>
      <c r="J147" s="22">
        <f t="shared" si="24"/>
        <v>146</v>
      </c>
    </row>
    <row r="148" spans="1:10" ht="17.100000000000001" customHeight="1" x14ac:dyDescent="0.25">
      <c r="A148" s="4" t="s">
        <v>80</v>
      </c>
      <c r="B148" s="13">
        <v>9.1700000000000004E-2</v>
      </c>
      <c r="C148" s="24">
        <v>259107</v>
      </c>
      <c r="D148" s="25">
        <v>265104</v>
      </c>
      <c r="E148" s="25">
        <v>367413</v>
      </c>
      <c r="F148" s="27">
        <f t="shared" si="21"/>
        <v>297208</v>
      </c>
      <c r="G148" s="17">
        <f t="shared" si="25"/>
        <v>5.0295259494613227E-4</v>
      </c>
      <c r="H148" s="18">
        <f t="shared" si="22"/>
        <v>2.3144878370711712E-2</v>
      </c>
      <c r="I148" s="18">
        <f t="shared" si="23"/>
        <v>0.38592024262176355</v>
      </c>
      <c r="J148" s="22">
        <f t="shared" si="24"/>
        <v>147</v>
      </c>
    </row>
    <row r="149" spans="1:10" ht="17.100000000000001" customHeight="1" x14ac:dyDescent="0.25">
      <c r="A149" s="4" t="s">
        <v>65</v>
      </c>
      <c r="B149" s="13">
        <v>5.1799999999999999E-2</v>
      </c>
      <c r="C149" s="24">
        <v>268513</v>
      </c>
      <c r="D149" s="25">
        <v>293160</v>
      </c>
      <c r="E149" s="25">
        <v>308707</v>
      </c>
      <c r="F149" s="27">
        <f t="shared" si="21"/>
        <v>290126.66666666669</v>
      </c>
      <c r="G149" s="17">
        <f t="shared" si="25"/>
        <v>4.909691524557601E-4</v>
      </c>
      <c r="H149" s="18">
        <f t="shared" si="22"/>
        <v>9.1790714043640351E-2</v>
      </c>
      <c r="I149" s="18">
        <f t="shared" si="23"/>
        <v>5.3032473734479467E-2</v>
      </c>
      <c r="J149" s="22">
        <f t="shared" si="24"/>
        <v>148</v>
      </c>
    </row>
    <row r="150" spans="1:10" ht="17.100000000000001" customHeight="1" x14ac:dyDescent="0.25">
      <c r="A150" s="4" t="s">
        <v>37</v>
      </c>
      <c r="B150" s="13">
        <v>4.6199999999999998E-2</v>
      </c>
      <c r="C150" s="24">
        <v>288189</v>
      </c>
      <c r="D150" s="25">
        <v>287856</v>
      </c>
      <c r="E150" s="25">
        <v>287702</v>
      </c>
      <c r="F150" s="27">
        <f t="shared" si="21"/>
        <v>287915.66666666669</v>
      </c>
      <c r="G150" s="17">
        <f t="shared" si="25"/>
        <v>4.8722757017188515E-4</v>
      </c>
      <c r="H150" s="18">
        <f t="shared" si="22"/>
        <v>-1.1554917085662534E-3</v>
      </c>
      <c r="I150" s="18">
        <f t="shared" si="23"/>
        <v>-5.3498971708076264E-4</v>
      </c>
      <c r="J150" s="22">
        <f t="shared" si="24"/>
        <v>149</v>
      </c>
    </row>
    <row r="151" spans="1:10" ht="17.100000000000001" customHeight="1" x14ac:dyDescent="0.25">
      <c r="A151" s="4" t="s">
        <v>42</v>
      </c>
      <c r="B151" s="13">
        <v>8.3400000000000002E-2</v>
      </c>
      <c r="C151" s="24">
        <v>275678</v>
      </c>
      <c r="D151" s="25">
        <v>277937</v>
      </c>
      <c r="E151" s="25">
        <v>309544</v>
      </c>
      <c r="F151" s="27">
        <f t="shared" si="21"/>
        <v>287719.66666666669</v>
      </c>
      <c r="G151" s="17">
        <f t="shared" si="25"/>
        <v>4.8689588761754798E-4</v>
      </c>
      <c r="H151" s="18">
        <f t="shared" si="22"/>
        <v>8.1943426751499935E-3</v>
      </c>
      <c r="I151" s="18">
        <f t="shared" si="23"/>
        <v>0.11372001568700821</v>
      </c>
      <c r="J151" s="22">
        <f t="shared" si="24"/>
        <v>150</v>
      </c>
    </row>
    <row r="152" spans="1:10" ht="17.100000000000001" customHeight="1" x14ac:dyDescent="0.25">
      <c r="A152" s="4" t="s">
        <v>90</v>
      </c>
      <c r="B152" s="13">
        <v>5.1999999999999998E-2</v>
      </c>
      <c r="C152" s="24">
        <v>200124</v>
      </c>
      <c r="D152" s="25">
        <v>294195</v>
      </c>
      <c r="E152" s="25">
        <v>362315</v>
      </c>
      <c r="F152" s="27">
        <f t="shared" si="21"/>
        <v>285544.66666666669</v>
      </c>
      <c r="G152" s="17">
        <f t="shared" si="25"/>
        <v>4.8321522661916359E-4</v>
      </c>
      <c r="H152" s="18">
        <f t="shared" si="22"/>
        <v>0.47006356059243271</v>
      </c>
      <c r="I152" s="18">
        <f t="shared" si="23"/>
        <v>0.23154710311188156</v>
      </c>
      <c r="J152" s="22">
        <f t="shared" si="24"/>
        <v>151</v>
      </c>
    </row>
    <row r="153" spans="1:10" ht="17.100000000000001" customHeight="1" x14ac:dyDescent="0.25">
      <c r="A153" s="4" t="s">
        <v>27</v>
      </c>
      <c r="B153" s="13">
        <v>7.3400000000000007E-2</v>
      </c>
      <c r="C153" s="24">
        <v>275572</v>
      </c>
      <c r="D153" s="25">
        <v>278381</v>
      </c>
      <c r="E153" s="25">
        <v>280566</v>
      </c>
      <c r="F153" s="27">
        <f t="shared" si="21"/>
        <v>278173</v>
      </c>
      <c r="G153" s="17">
        <f t="shared" si="25"/>
        <v>4.7074046524302996E-4</v>
      </c>
      <c r="H153" s="18">
        <f t="shared" si="22"/>
        <v>1.0193343300480455E-2</v>
      </c>
      <c r="I153" s="18">
        <f t="shared" si="23"/>
        <v>7.848955208868422E-3</v>
      </c>
      <c r="J153" s="22">
        <f t="shared" si="24"/>
        <v>152</v>
      </c>
    </row>
    <row r="154" spans="1:10" ht="17.100000000000001" customHeight="1" x14ac:dyDescent="0.25">
      <c r="A154" s="4" t="s">
        <v>107</v>
      </c>
      <c r="B154" s="13">
        <v>6.3299999999999995E-2</v>
      </c>
      <c r="C154" s="24">
        <v>243698</v>
      </c>
      <c r="D154" s="25">
        <v>284292</v>
      </c>
      <c r="E154" s="25">
        <v>306241</v>
      </c>
      <c r="F154" s="27">
        <f t="shared" si="21"/>
        <v>278077</v>
      </c>
      <c r="G154" s="17">
        <f t="shared" si="25"/>
        <v>4.7057800848172198E-4</v>
      </c>
      <c r="H154" s="18">
        <f t="shared" si="22"/>
        <v>0.16657502318443318</v>
      </c>
      <c r="I154" s="18">
        <f t="shared" si="23"/>
        <v>7.7205830624850508E-2</v>
      </c>
      <c r="J154" s="22">
        <f t="shared" si="24"/>
        <v>153</v>
      </c>
    </row>
    <row r="155" spans="1:10" ht="17.100000000000001" customHeight="1" x14ac:dyDescent="0.25">
      <c r="A155" s="4" t="s">
        <v>22</v>
      </c>
      <c r="B155" s="13">
        <v>7.2400000000000006E-2</v>
      </c>
      <c r="C155" s="24">
        <v>266452</v>
      </c>
      <c r="D155" s="25">
        <v>271933</v>
      </c>
      <c r="E155" s="25">
        <v>294865</v>
      </c>
      <c r="F155" s="27">
        <f t="shared" si="21"/>
        <v>277750</v>
      </c>
      <c r="G155" s="17">
        <f t="shared" si="25"/>
        <v>4.7002464013851661E-4</v>
      </c>
      <c r="H155" s="18">
        <f t="shared" si="22"/>
        <v>2.0570309098824555E-2</v>
      </c>
      <c r="I155" s="18">
        <f t="shared" si="23"/>
        <v>8.4329595893106027E-2</v>
      </c>
      <c r="J155" s="22">
        <f t="shared" si="24"/>
        <v>154</v>
      </c>
    </row>
    <row r="156" spans="1:10" ht="17.100000000000001" customHeight="1" x14ac:dyDescent="0.25">
      <c r="A156" s="4" t="s">
        <v>104</v>
      </c>
      <c r="B156" s="13">
        <v>8.5000000000000006E-2</v>
      </c>
      <c r="C156" s="24">
        <v>234078</v>
      </c>
      <c r="D156" s="25">
        <v>296932</v>
      </c>
      <c r="E156" s="25">
        <v>298592</v>
      </c>
      <c r="F156" s="27">
        <f t="shared" si="21"/>
        <v>276534</v>
      </c>
      <c r="G156" s="17">
        <f t="shared" si="25"/>
        <v>4.6796685449528188E-4</v>
      </c>
      <c r="H156" s="18">
        <f t="shared" si="22"/>
        <v>0.26851733182956111</v>
      </c>
      <c r="I156" s="18">
        <f t="shared" si="23"/>
        <v>5.5905055702989235E-3</v>
      </c>
      <c r="J156" s="22">
        <f t="shared" si="24"/>
        <v>155</v>
      </c>
    </row>
    <row r="157" spans="1:10" ht="17.100000000000001" customHeight="1" x14ac:dyDescent="0.25">
      <c r="A157" s="4" t="s">
        <v>55</v>
      </c>
      <c r="B157" s="13">
        <v>6.3899999999999998E-2</v>
      </c>
      <c r="C157" s="24">
        <v>194835</v>
      </c>
      <c r="D157" s="25">
        <v>299911</v>
      </c>
      <c r="E157" s="25">
        <v>331298</v>
      </c>
      <c r="F157" s="27">
        <f t="shared" si="21"/>
        <v>275348</v>
      </c>
      <c r="G157" s="17">
        <f t="shared" si="25"/>
        <v>4.6595983658995595E-4</v>
      </c>
      <c r="H157" s="18">
        <f t="shared" si="22"/>
        <v>0.53930761926758541</v>
      </c>
      <c r="I157" s="18">
        <f t="shared" si="23"/>
        <v>0.10465438079963722</v>
      </c>
      <c r="J157" s="22">
        <f t="shared" si="24"/>
        <v>156</v>
      </c>
    </row>
    <row r="158" spans="1:10" ht="17.100000000000001" customHeight="1" x14ac:dyDescent="0.25">
      <c r="A158" s="4" t="s">
        <v>26</v>
      </c>
      <c r="B158" s="13">
        <v>7.4399999999999994E-2</v>
      </c>
      <c r="C158" s="24">
        <v>269230</v>
      </c>
      <c r="D158" s="25">
        <v>275401</v>
      </c>
      <c r="E158" s="25">
        <v>279771</v>
      </c>
      <c r="F158" s="27">
        <f t="shared" si="21"/>
        <v>274800.66666666669</v>
      </c>
      <c r="G158" s="17">
        <f t="shared" si="25"/>
        <v>4.6503360741610966E-4</v>
      </c>
      <c r="H158" s="18">
        <f t="shared" si="22"/>
        <v>2.2920922631207517E-2</v>
      </c>
      <c r="I158" s="18">
        <f t="shared" si="23"/>
        <v>1.5867770995748019E-2</v>
      </c>
      <c r="J158" s="22">
        <f t="shared" si="24"/>
        <v>157</v>
      </c>
    </row>
    <row r="159" spans="1:10" ht="17.100000000000001" customHeight="1" x14ac:dyDescent="0.25">
      <c r="A159" s="4" t="s">
        <v>60</v>
      </c>
      <c r="B159" s="13">
        <v>4.7300000000000002E-2</v>
      </c>
      <c r="C159" s="24">
        <v>269407</v>
      </c>
      <c r="D159" s="25">
        <v>274911</v>
      </c>
      <c r="E159" s="25"/>
      <c r="F159" s="27">
        <f t="shared" si="21"/>
        <v>272159</v>
      </c>
      <c r="G159" s="17">
        <f t="shared" si="25"/>
        <v>4.6056322605025576E-4</v>
      </c>
      <c r="H159" s="18">
        <f t="shared" si="22"/>
        <v>2.043005564072203E-2</v>
      </c>
      <c r="I159" s="18">
        <f t="shared" si="23"/>
        <v>-1</v>
      </c>
      <c r="J159" s="22">
        <f t="shared" si="24"/>
        <v>158</v>
      </c>
    </row>
    <row r="160" spans="1:10" ht="17.100000000000001" customHeight="1" x14ac:dyDescent="0.25">
      <c r="A160" s="4" t="s">
        <v>128</v>
      </c>
      <c r="B160" s="13">
        <v>5.6599999999999998E-2</v>
      </c>
      <c r="C160" s="24">
        <v>254957</v>
      </c>
      <c r="D160" s="25">
        <v>256110</v>
      </c>
      <c r="E160" s="25">
        <v>274055</v>
      </c>
      <c r="F160" s="27">
        <f t="shared" si="21"/>
        <v>261707.33333333334</v>
      </c>
      <c r="G160" s="17">
        <f t="shared" si="25"/>
        <v>4.4287631024882379E-4</v>
      </c>
      <c r="H160" s="18">
        <f t="shared" si="22"/>
        <v>4.5223312166365309E-3</v>
      </c>
      <c r="I160" s="18">
        <f t="shared" si="23"/>
        <v>7.0067549099996101E-2</v>
      </c>
      <c r="J160" s="22">
        <f t="shared" si="24"/>
        <v>159</v>
      </c>
    </row>
    <row r="161" spans="1:10" ht="17.100000000000001" customHeight="1" x14ac:dyDescent="0.25">
      <c r="A161" s="4" t="s">
        <v>71</v>
      </c>
      <c r="B161" s="13">
        <v>4.24E-2</v>
      </c>
      <c r="C161" s="24">
        <v>257899</v>
      </c>
      <c r="D161" s="25">
        <v>259522</v>
      </c>
      <c r="E161" s="25" t="s">
        <v>190</v>
      </c>
      <c r="F161" s="27">
        <f t="shared" si="21"/>
        <v>258710.5</v>
      </c>
      <c r="G161" s="17">
        <f t="shared" si="25"/>
        <v>4.3780489527472797E-4</v>
      </c>
      <c r="H161" s="18">
        <f t="shared" si="22"/>
        <v>6.2931612763135955E-3</v>
      </c>
      <c r="I161" s="18" t="str">
        <f t="shared" si="23"/>
        <v>Not available</v>
      </c>
      <c r="J161" s="22">
        <f t="shared" si="24"/>
        <v>160</v>
      </c>
    </row>
    <row r="162" spans="1:10" ht="17.100000000000001" customHeight="1" x14ac:dyDescent="0.25">
      <c r="A162" s="4" t="s">
        <v>74</v>
      </c>
      <c r="B162" s="13">
        <v>6.1100000000000002E-2</v>
      </c>
      <c r="C162" s="24">
        <v>226793</v>
      </c>
      <c r="D162" s="25">
        <v>264026</v>
      </c>
      <c r="E162" s="25">
        <v>284307</v>
      </c>
      <c r="F162" s="27">
        <f t="shared" ref="F162:F185" si="26">AVERAGE(C162,D162,E162)</f>
        <v>258375.33333333334</v>
      </c>
      <c r="G162" s="17">
        <f t="shared" si="25"/>
        <v>4.3723770682509188E-4</v>
      </c>
      <c r="H162" s="18">
        <f t="shared" ref="H162:H185" si="27">IFERROR((D162-C162)/C162,"Not available")</f>
        <v>0.16417173369548443</v>
      </c>
      <c r="I162" s="18">
        <f t="shared" ref="I162:I185" si="28">IFERROR((E162-D162)/D162,"Not available")</f>
        <v>7.681440464196708E-2</v>
      </c>
      <c r="J162" s="22">
        <f t="shared" ref="J162:J185" si="29">_xlfn.RANK.AVG(F162,$F$2:$F$185)</f>
        <v>161</v>
      </c>
    </row>
    <row r="163" spans="1:10" ht="17.100000000000001" customHeight="1" x14ac:dyDescent="0.25">
      <c r="A163" s="4" t="s">
        <v>167</v>
      </c>
      <c r="B163" s="13">
        <v>4.2700000000000002E-2</v>
      </c>
      <c r="C163" s="24">
        <v>264497</v>
      </c>
      <c r="D163" s="25">
        <v>253767</v>
      </c>
      <c r="E163" s="25">
        <v>251725</v>
      </c>
      <c r="F163" s="27">
        <f t="shared" si="26"/>
        <v>256663</v>
      </c>
      <c r="G163" s="17">
        <f t="shared" si="25"/>
        <v>4.3433999716245575E-4</v>
      </c>
      <c r="H163" s="18">
        <f t="shared" si="27"/>
        <v>-4.0567567874115772E-2</v>
      </c>
      <c r="I163" s="18">
        <f t="shared" si="28"/>
        <v>-8.0467515476795645E-3</v>
      </c>
      <c r="J163" s="22">
        <f t="shared" si="29"/>
        <v>162</v>
      </c>
    </row>
    <row r="164" spans="1:10" ht="17.100000000000001" customHeight="1" x14ac:dyDescent="0.25">
      <c r="A164" s="4" t="s">
        <v>47</v>
      </c>
      <c r="B164" s="13">
        <v>3.85E-2</v>
      </c>
      <c r="C164" s="24">
        <v>229940</v>
      </c>
      <c r="D164" s="25">
        <v>252508</v>
      </c>
      <c r="E164" s="25">
        <v>284890</v>
      </c>
      <c r="F164" s="27">
        <f t="shared" si="26"/>
        <v>255779.33333333334</v>
      </c>
      <c r="G164" s="17">
        <f t="shared" ref="G164:G185" si="30">_xlfn.PERCENTOF(F164,$C$187+$D$187+$E$187)</f>
        <v>4.3284460523805465E-4</v>
      </c>
      <c r="H164" s="18">
        <f t="shared" si="27"/>
        <v>9.8147342785074365E-2</v>
      </c>
      <c r="I164" s="18">
        <f t="shared" si="28"/>
        <v>0.1282414814580132</v>
      </c>
      <c r="J164" s="22">
        <f t="shared" si="29"/>
        <v>163</v>
      </c>
    </row>
    <row r="165" spans="1:10" ht="17.100000000000001" customHeight="1" x14ac:dyDescent="0.25">
      <c r="A165" s="4" t="s">
        <v>46</v>
      </c>
      <c r="B165" s="13">
        <v>4.2299999999999997E-2</v>
      </c>
      <c r="C165" s="24">
        <v>229091</v>
      </c>
      <c r="D165" s="25">
        <v>235978</v>
      </c>
      <c r="E165" s="25">
        <v>302157</v>
      </c>
      <c r="F165" s="27">
        <f t="shared" si="26"/>
        <v>255742</v>
      </c>
      <c r="G165" s="17">
        <f t="shared" si="30"/>
        <v>4.3278142760865712E-4</v>
      </c>
      <c r="H165" s="18">
        <f t="shared" si="27"/>
        <v>3.0062289657821564E-2</v>
      </c>
      <c r="I165" s="18">
        <f t="shared" si="28"/>
        <v>0.28044563476256262</v>
      </c>
      <c r="J165" s="22">
        <f t="shared" si="29"/>
        <v>164</v>
      </c>
    </row>
    <row r="166" spans="1:10" ht="17.100000000000001" customHeight="1" x14ac:dyDescent="0.25">
      <c r="A166" s="4" t="s">
        <v>168</v>
      </c>
      <c r="B166" s="13">
        <v>4.3499999999999997E-2</v>
      </c>
      <c r="C166" s="24" t="s">
        <v>188</v>
      </c>
      <c r="D166" s="25">
        <v>251133</v>
      </c>
      <c r="E166" s="25">
        <v>251133</v>
      </c>
      <c r="F166" s="27">
        <f t="shared" si="26"/>
        <v>251133</v>
      </c>
      <c r="G166" s="17">
        <f t="shared" si="30"/>
        <v>4.2498181080794271E-4</v>
      </c>
      <c r="H166" s="18" t="str">
        <f t="shared" si="27"/>
        <v>Not available</v>
      </c>
      <c r="I166" s="18">
        <f t="shared" si="28"/>
        <v>0</v>
      </c>
      <c r="J166" s="22">
        <f t="shared" si="29"/>
        <v>165</v>
      </c>
    </row>
    <row r="167" spans="1:10" ht="17.100000000000001" customHeight="1" x14ac:dyDescent="0.25">
      <c r="A167" s="4" t="s">
        <v>139</v>
      </c>
      <c r="B167" s="13">
        <v>4.9500000000000002E-2</v>
      </c>
      <c r="C167" s="24">
        <v>217162</v>
      </c>
      <c r="D167" s="25">
        <v>265497</v>
      </c>
      <c r="E167" s="25">
        <v>269637</v>
      </c>
      <c r="F167" s="27">
        <f t="shared" si="26"/>
        <v>250765.33333333334</v>
      </c>
      <c r="G167" s="17">
        <f t="shared" si="30"/>
        <v>4.2435962397557213E-4</v>
      </c>
      <c r="H167" s="18">
        <f t="shared" si="27"/>
        <v>0.22257577292528158</v>
      </c>
      <c r="I167" s="18">
        <f t="shared" si="28"/>
        <v>1.5593396535554074E-2</v>
      </c>
      <c r="J167" s="22">
        <f t="shared" si="29"/>
        <v>166</v>
      </c>
    </row>
    <row r="168" spans="1:10" ht="17.100000000000001" customHeight="1" x14ac:dyDescent="0.25">
      <c r="A168" s="5" t="s">
        <v>183</v>
      </c>
      <c r="B168" s="13">
        <v>7.2400000000000006E-2</v>
      </c>
      <c r="C168" s="24">
        <v>208949</v>
      </c>
      <c r="D168" s="25">
        <v>246922</v>
      </c>
      <c r="E168" s="25">
        <v>294567</v>
      </c>
      <c r="F168" s="27">
        <f t="shared" si="26"/>
        <v>250146</v>
      </c>
      <c r="G168" s="17">
        <f t="shared" si="30"/>
        <v>4.233115522307448E-4</v>
      </c>
      <c r="H168" s="18">
        <f t="shared" si="27"/>
        <v>0.18173334162881852</v>
      </c>
      <c r="I168" s="18">
        <f t="shared" si="28"/>
        <v>0.19295567021164578</v>
      </c>
      <c r="J168" s="22">
        <f t="shared" si="29"/>
        <v>167</v>
      </c>
    </row>
    <row r="169" spans="1:10" ht="17.100000000000001" customHeight="1" x14ac:dyDescent="0.25">
      <c r="A169" s="4" t="s">
        <v>157</v>
      </c>
      <c r="B169" s="13">
        <v>8.2900000000000001E-2</v>
      </c>
      <c r="C169" s="24">
        <v>229734</v>
      </c>
      <c r="D169" s="25">
        <v>250416</v>
      </c>
      <c r="E169" s="25">
        <v>262382</v>
      </c>
      <c r="F169" s="27">
        <f t="shared" si="26"/>
        <v>247510.66666666666</v>
      </c>
      <c r="G169" s="17">
        <f t="shared" si="30"/>
        <v>4.1885188849844943E-4</v>
      </c>
      <c r="H169" s="18">
        <f t="shared" si="27"/>
        <v>9.002585598997101E-2</v>
      </c>
      <c r="I169" s="18">
        <f t="shared" si="28"/>
        <v>4.7784486614273848E-2</v>
      </c>
      <c r="J169" s="22">
        <f t="shared" si="29"/>
        <v>168</v>
      </c>
    </row>
    <row r="170" spans="1:10" ht="17.100000000000001" customHeight="1" x14ac:dyDescent="0.25">
      <c r="A170" s="4" t="s">
        <v>154</v>
      </c>
      <c r="B170" s="13">
        <v>5.3199999999999997E-2</v>
      </c>
      <c r="C170" s="24">
        <v>189279</v>
      </c>
      <c r="D170" s="25">
        <v>267548</v>
      </c>
      <c r="E170" s="25">
        <v>273949</v>
      </c>
      <c r="F170" s="27">
        <f t="shared" si="26"/>
        <v>243592</v>
      </c>
      <c r="G170" s="17">
        <f t="shared" si="30"/>
        <v>4.1222049375561309E-4</v>
      </c>
      <c r="H170" s="18">
        <f t="shared" si="27"/>
        <v>0.41351127172058177</v>
      </c>
      <c r="I170" s="18">
        <f t="shared" si="28"/>
        <v>2.3924678936116137E-2</v>
      </c>
      <c r="J170" s="22">
        <f t="shared" si="29"/>
        <v>169</v>
      </c>
    </row>
    <row r="171" spans="1:10" ht="17.100000000000001" customHeight="1" x14ac:dyDescent="0.25">
      <c r="A171" s="4" t="s">
        <v>145</v>
      </c>
      <c r="B171" s="13">
        <v>7.8299999999999995E-2</v>
      </c>
      <c r="C171" s="24">
        <v>208859</v>
      </c>
      <c r="D171" s="25">
        <v>243494</v>
      </c>
      <c r="E171" s="25">
        <v>273738</v>
      </c>
      <c r="F171" s="27">
        <f t="shared" si="26"/>
        <v>242030.33333333334</v>
      </c>
      <c r="G171" s="17">
        <f t="shared" si="30"/>
        <v>4.0957775095447422E-4</v>
      </c>
      <c r="H171" s="18">
        <f t="shared" si="27"/>
        <v>0.16582957880675481</v>
      </c>
      <c r="I171" s="18">
        <f t="shared" si="28"/>
        <v>0.12420839938561115</v>
      </c>
      <c r="J171" s="22">
        <f t="shared" si="29"/>
        <v>170</v>
      </c>
    </row>
    <row r="172" spans="1:10" ht="17.100000000000001" customHeight="1" x14ac:dyDescent="0.25">
      <c r="A172" s="4" t="s">
        <v>156</v>
      </c>
      <c r="B172" s="13">
        <v>4.8000000000000001E-2</v>
      </c>
      <c r="C172" s="24">
        <v>210640</v>
      </c>
      <c r="D172" s="25">
        <v>239851</v>
      </c>
      <c r="E172" s="25">
        <v>257940</v>
      </c>
      <c r="F172" s="27">
        <f t="shared" si="26"/>
        <v>236143.66666666666</v>
      </c>
      <c r="G172" s="17">
        <f t="shared" si="30"/>
        <v>3.9961599260482378E-4</v>
      </c>
      <c r="H172" s="18">
        <f t="shared" si="27"/>
        <v>0.13867736422331942</v>
      </c>
      <c r="I172" s="18">
        <f t="shared" si="28"/>
        <v>7.5417655127558353E-2</v>
      </c>
      <c r="J172" s="22">
        <f t="shared" si="29"/>
        <v>171</v>
      </c>
    </row>
    <row r="173" spans="1:10" ht="17.100000000000001" customHeight="1" x14ac:dyDescent="0.25">
      <c r="A173" s="4" t="s">
        <v>158</v>
      </c>
      <c r="B173" s="13">
        <v>8.4199999999999997E-2</v>
      </c>
      <c r="C173" s="24">
        <v>224327</v>
      </c>
      <c r="D173" s="25">
        <v>246692</v>
      </c>
      <c r="E173" s="25" t="s">
        <v>188</v>
      </c>
      <c r="F173" s="27">
        <f t="shared" si="26"/>
        <v>235509.5</v>
      </c>
      <c r="G173" s="17">
        <f t="shared" si="30"/>
        <v>3.9854281903403053E-4</v>
      </c>
      <c r="H173" s="18">
        <f t="shared" si="27"/>
        <v>9.9698208418959822E-2</v>
      </c>
      <c r="I173" s="18" t="str">
        <f t="shared" si="28"/>
        <v>Not available</v>
      </c>
      <c r="J173" s="22">
        <f t="shared" si="29"/>
        <v>172</v>
      </c>
    </row>
    <row r="174" spans="1:10" ht="17.100000000000001" customHeight="1" x14ac:dyDescent="0.25">
      <c r="A174" s="4" t="s">
        <v>130</v>
      </c>
      <c r="B174" s="13">
        <v>7.1800000000000003E-2</v>
      </c>
      <c r="C174" s="24">
        <v>152099</v>
      </c>
      <c r="D174" s="25">
        <v>225954</v>
      </c>
      <c r="E174" s="25">
        <v>321520</v>
      </c>
      <c r="F174" s="27">
        <f t="shared" si="26"/>
        <v>233191</v>
      </c>
      <c r="G174" s="17">
        <f t="shared" si="30"/>
        <v>3.9461931902264925E-4</v>
      </c>
      <c r="H174" s="18">
        <f t="shared" si="27"/>
        <v>0.48557189725113248</v>
      </c>
      <c r="I174" s="18">
        <f t="shared" si="28"/>
        <v>0.42294449312691962</v>
      </c>
      <c r="J174" s="22">
        <f t="shared" si="29"/>
        <v>173</v>
      </c>
    </row>
    <row r="175" spans="1:10" ht="17.100000000000001" customHeight="1" x14ac:dyDescent="0.25">
      <c r="A175" s="4" t="s">
        <v>103</v>
      </c>
      <c r="B175" s="13">
        <v>4.7300000000000002E-2</v>
      </c>
      <c r="C175" s="24">
        <v>186136</v>
      </c>
      <c r="D175" s="25">
        <v>206238</v>
      </c>
      <c r="E175" s="25">
        <v>299630</v>
      </c>
      <c r="F175" s="27">
        <f t="shared" si="26"/>
        <v>230668</v>
      </c>
      <c r="G175" s="17">
        <f t="shared" si="30"/>
        <v>3.9034975226452331E-4</v>
      </c>
      <c r="H175" s="18">
        <f t="shared" si="27"/>
        <v>0.10799630377788284</v>
      </c>
      <c r="I175" s="18">
        <f t="shared" si="28"/>
        <v>0.45283604379406317</v>
      </c>
      <c r="J175" s="22">
        <f t="shared" si="29"/>
        <v>174</v>
      </c>
    </row>
    <row r="176" spans="1:10" ht="17.100000000000001" customHeight="1" x14ac:dyDescent="0.25">
      <c r="A176" s="4" t="s">
        <v>175</v>
      </c>
      <c r="B176" s="13">
        <v>3.9300000000000002E-2</v>
      </c>
      <c r="C176" s="24">
        <v>206226</v>
      </c>
      <c r="D176" s="25">
        <v>229931</v>
      </c>
      <c r="E176" s="25">
        <v>252634</v>
      </c>
      <c r="F176" s="27">
        <f t="shared" si="26"/>
        <v>229597</v>
      </c>
      <c r="G176" s="17">
        <f t="shared" si="30"/>
        <v>3.885373440211809E-4</v>
      </c>
      <c r="H176" s="18">
        <f t="shared" si="27"/>
        <v>0.11494670895037483</v>
      </c>
      <c r="I176" s="18">
        <f t="shared" si="28"/>
        <v>9.8738317147318108E-2</v>
      </c>
      <c r="J176" s="22">
        <f t="shared" si="29"/>
        <v>175</v>
      </c>
    </row>
    <row r="177" spans="1:10" ht="15.75" customHeight="1" x14ac:dyDescent="0.25">
      <c r="A177" s="4" t="s">
        <v>161</v>
      </c>
      <c r="B177" s="13">
        <v>6.3299999999999995E-2</v>
      </c>
      <c r="C177" s="24">
        <v>144053</v>
      </c>
      <c r="D177" s="25">
        <v>269003</v>
      </c>
      <c r="E177" s="25">
        <v>269291</v>
      </c>
      <c r="F177" s="27">
        <f t="shared" si="26"/>
        <v>227449</v>
      </c>
      <c r="G177" s="17">
        <f t="shared" si="30"/>
        <v>3.8490237398691436E-4</v>
      </c>
      <c r="H177" s="18">
        <f t="shared" si="27"/>
        <v>0.86738908596141695</v>
      </c>
      <c r="I177" s="18">
        <f t="shared" si="28"/>
        <v>1.0706200302598855E-3</v>
      </c>
      <c r="J177" s="22">
        <f t="shared" si="29"/>
        <v>176</v>
      </c>
    </row>
    <row r="178" spans="1:10" ht="15.75" customHeight="1" x14ac:dyDescent="0.25">
      <c r="A178" s="4" t="s">
        <v>176</v>
      </c>
      <c r="B178" s="13">
        <v>5.6300000000000003E-2</v>
      </c>
      <c r="C178" s="24">
        <v>178403</v>
      </c>
      <c r="D178" s="25">
        <v>245641</v>
      </c>
      <c r="E178" s="25">
        <v>255793</v>
      </c>
      <c r="F178" s="27">
        <f t="shared" si="26"/>
        <v>226612.33333333334</v>
      </c>
      <c r="G178" s="17">
        <f t="shared" si="30"/>
        <v>3.8348651818523701E-4</v>
      </c>
      <c r="H178" s="18">
        <f t="shared" si="27"/>
        <v>0.37688828102666433</v>
      </c>
      <c r="I178" s="18">
        <f t="shared" si="28"/>
        <v>4.1328605566660286E-2</v>
      </c>
      <c r="J178" s="22">
        <f t="shared" si="29"/>
        <v>177</v>
      </c>
    </row>
    <row r="179" spans="1:10" ht="15.75" customHeight="1" x14ac:dyDescent="0.25">
      <c r="A179" s="4" t="s">
        <v>155</v>
      </c>
      <c r="B179" s="13">
        <v>7.5200000000000003E-2</v>
      </c>
      <c r="C179" s="24">
        <v>191263</v>
      </c>
      <c r="D179" s="25">
        <v>215260</v>
      </c>
      <c r="E179" s="25">
        <v>264275</v>
      </c>
      <c r="F179" s="27">
        <f t="shared" si="26"/>
        <v>223599.33333333334</v>
      </c>
      <c r="G179" s="17">
        <f t="shared" si="30"/>
        <v>3.7838774504126815E-4</v>
      </c>
      <c r="H179" s="18">
        <f t="shared" si="27"/>
        <v>0.12546598139734291</v>
      </c>
      <c r="I179" s="18">
        <f t="shared" si="28"/>
        <v>0.22770138437238688</v>
      </c>
      <c r="J179" s="22">
        <f t="shared" si="29"/>
        <v>178</v>
      </c>
    </row>
    <row r="180" spans="1:10" ht="15.75" customHeight="1" x14ac:dyDescent="0.25">
      <c r="A180" s="4" t="s">
        <v>144</v>
      </c>
      <c r="B180" s="13">
        <v>3.6400000000000002E-2</v>
      </c>
      <c r="C180" s="24">
        <v>192774</v>
      </c>
      <c r="D180" s="25">
        <v>204657</v>
      </c>
      <c r="E180" s="25">
        <v>269140</v>
      </c>
      <c r="F180" s="27">
        <f t="shared" si="26"/>
        <v>222190.33333333334</v>
      </c>
      <c r="G180" s="17">
        <f t="shared" si="30"/>
        <v>3.7600335361748715E-4</v>
      </c>
      <c r="H180" s="18">
        <f t="shared" si="27"/>
        <v>6.1642130162781285E-2</v>
      </c>
      <c r="I180" s="18">
        <f t="shared" si="28"/>
        <v>0.31507839946837879</v>
      </c>
      <c r="J180" s="22">
        <f t="shared" si="29"/>
        <v>179</v>
      </c>
    </row>
    <row r="181" spans="1:10" ht="15.75" customHeight="1" x14ac:dyDescent="0.25">
      <c r="A181" s="4" t="s">
        <v>110</v>
      </c>
      <c r="B181" s="13">
        <v>8.7499999999999994E-2</v>
      </c>
      <c r="C181" s="24">
        <v>187768</v>
      </c>
      <c r="D181" s="25">
        <v>213593</v>
      </c>
      <c r="E181" s="25">
        <v>263801</v>
      </c>
      <c r="F181" s="27">
        <f t="shared" si="26"/>
        <v>221720.66666666666</v>
      </c>
      <c r="G181" s="17">
        <f t="shared" si="30"/>
        <v>3.7520855647622678E-4</v>
      </c>
      <c r="H181" s="18">
        <f t="shared" si="27"/>
        <v>0.13753674747560821</v>
      </c>
      <c r="I181" s="18">
        <f t="shared" si="28"/>
        <v>0.23506388317969221</v>
      </c>
      <c r="J181" s="22">
        <f t="shared" si="29"/>
        <v>180</v>
      </c>
    </row>
    <row r="182" spans="1:10" ht="15.75" customHeight="1" x14ac:dyDescent="0.25">
      <c r="A182" s="4" t="s">
        <v>173</v>
      </c>
      <c r="B182" s="13">
        <v>4.1599999999999998E-2</v>
      </c>
      <c r="C182" s="24">
        <v>150033</v>
      </c>
      <c r="D182" s="25">
        <v>190276</v>
      </c>
      <c r="E182" s="25">
        <v>253340</v>
      </c>
      <c r="F182" s="27">
        <f t="shared" si="26"/>
        <v>197883</v>
      </c>
      <c r="G182" s="17">
        <f t="shared" si="30"/>
        <v>3.3486907601991026E-4</v>
      </c>
      <c r="H182" s="18">
        <f t="shared" si="27"/>
        <v>0.26822765658221859</v>
      </c>
      <c r="I182" s="18">
        <f t="shared" si="28"/>
        <v>0.3314343374887006</v>
      </c>
      <c r="J182" s="22">
        <f t="shared" si="29"/>
        <v>181</v>
      </c>
    </row>
    <row r="183" spans="1:10" ht="15.75" customHeight="1" x14ac:dyDescent="0.25">
      <c r="A183" s="4" t="s">
        <v>164</v>
      </c>
      <c r="B183" s="13">
        <v>4.1799999999999997E-2</v>
      </c>
      <c r="C183" s="24">
        <v>161238</v>
      </c>
      <c r="D183" s="25">
        <v>170475</v>
      </c>
      <c r="E183" s="25">
        <v>252264</v>
      </c>
      <c r="F183" s="27">
        <f t="shared" si="26"/>
        <v>194659</v>
      </c>
      <c r="G183" s="17">
        <f t="shared" si="30"/>
        <v>3.2941323645264986E-4</v>
      </c>
      <c r="H183" s="18">
        <f t="shared" si="27"/>
        <v>5.7287984222081645E-2</v>
      </c>
      <c r="I183" s="18">
        <f t="shared" si="28"/>
        <v>0.47977122745270567</v>
      </c>
      <c r="J183" s="22">
        <f t="shared" si="29"/>
        <v>182</v>
      </c>
    </row>
    <row r="184" spans="1:10" ht="15.75" customHeight="1" x14ac:dyDescent="0.25">
      <c r="A184" s="5" t="s">
        <v>172</v>
      </c>
      <c r="B184" s="13">
        <v>8.3599999999999994E-2</v>
      </c>
      <c r="C184" s="24">
        <v>131817</v>
      </c>
      <c r="D184" s="25">
        <v>193821</v>
      </c>
      <c r="E184" s="25">
        <v>252825</v>
      </c>
      <c r="F184" s="27">
        <f t="shared" si="26"/>
        <v>192821</v>
      </c>
      <c r="G184" s="17">
        <f t="shared" si="30"/>
        <v>3.2630286637677376E-4</v>
      </c>
      <c r="H184" s="18">
        <f t="shared" si="27"/>
        <v>0.47037938960832065</v>
      </c>
      <c r="I184" s="18">
        <f t="shared" si="28"/>
        <v>0.30442521708174036</v>
      </c>
      <c r="J184" s="22">
        <f t="shared" si="29"/>
        <v>183</v>
      </c>
    </row>
    <row r="185" spans="1:10" ht="15.75" customHeight="1" x14ac:dyDescent="0.25">
      <c r="A185" s="35" t="s">
        <v>174</v>
      </c>
      <c r="B185" s="15">
        <v>8.5300000000000001E-2</v>
      </c>
      <c r="C185" s="36">
        <v>133239</v>
      </c>
      <c r="D185" s="26">
        <v>150833</v>
      </c>
      <c r="E185" s="26">
        <v>250304</v>
      </c>
      <c r="F185" s="27">
        <f t="shared" si="26"/>
        <v>178125.33333333334</v>
      </c>
      <c r="G185" s="17">
        <f t="shared" si="30"/>
        <v>3.0143400791918386E-4</v>
      </c>
      <c r="H185" s="18">
        <f t="shared" si="27"/>
        <v>0.13204842426016405</v>
      </c>
      <c r="I185" s="18">
        <f t="shared" si="28"/>
        <v>0.65947770050320553</v>
      </c>
      <c r="J185" s="22">
        <f t="shared" si="29"/>
        <v>184</v>
      </c>
    </row>
    <row r="186" spans="1:10" ht="24.75" customHeight="1" x14ac:dyDescent="0.25"/>
    <row r="187" spans="1:10" ht="24.75" customHeight="1" x14ac:dyDescent="0.25">
      <c r="A187" s="28" t="s">
        <v>198</v>
      </c>
      <c r="C187" s="30">
        <f>SUM(C2:C185)</f>
        <v>171145380</v>
      </c>
      <c r="D187" s="30">
        <f>SUM(D2:D185)</f>
        <v>200658286</v>
      </c>
      <c r="E187" s="30">
        <f>SUM(E2:E185)</f>
        <v>219122801</v>
      </c>
      <c r="G187" s="33"/>
    </row>
    <row r="188" spans="1:10" ht="24.75" customHeight="1" x14ac:dyDescent="0.25">
      <c r="A188" s="29" t="s">
        <v>186</v>
      </c>
      <c r="C188" s="30"/>
      <c r="D188" s="30"/>
      <c r="E188" s="30"/>
      <c r="F188" s="16"/>
    </row>
  </sheetData>
  <autoFilter ref="A1:J185" xr:uid="{00000000-0001-0000-0000-000000000000}"/>
  <sortState xmlns:xlrd2="http://schemas.microsoft.com/office/spreadsheetml/2017/richdata2" ref="A2:J185">
    <sortCondition ref="J3:J185"/>
  </sortState>
  <conditionalFormatting sqref="H2:I185">
    <cfRule type="cellIs" dxfId="0" priority="7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tore">
                <anchor moveWithCells="1" sizeWithCells="1">
                  <from>
                    <xdr:col>11</xdr:col>
                    <xdr:colOff>152400</xdr:colOff>
                    <xdr:row>1</xdr:row>
                    <xdr:rowOff>160020</xdr:rowOff>
                  </from>
                  <to>
                    <xdr:col>14</xdr:col>
                    <xdr:colOff>7620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store">
                <anchor moveWithCells="1" sizeWithCells="1">
                  <from>
                    <xdr:col>11</xdr:col>
                    <xdr:colOff>403860</xdr:colOff>
                    <xdr:row>170</xdr:row>
                    <xdr:rowOff>30480</xdr:rowOff>
                  </from>
                  <to>
                    <xdr:col>14</xdr:col>
                    <xdr:colOff>457200</xdr:colOff>
                    <xdr:row>174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op15View">
                <anchor moveWithCells="1" sizeWithCells="1">
                  <from>
                    <xdr:col>11</xdr:col>
                    <xdr:colOff>388620</xdr:colOff>
                    <xdr:row>176</xdr:row>
                    <xdr:rowOff>190500</xdr:rowOff>
                  </from>
                  <to>
                    <xdr:col>14</xdr:col>
                    <xdr:colOff>480060</xdr:colOff>
                    <xdr:row>182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op15View">
                <anchor moveWithCells="1" sizeWithCells="1">
                  <from>
                    <xdr:col>11</xdr:col>
                    <xdr:colOff>137160</xdr:colOff>
                    <xdr:row>5</xdr:row>
                    <xdr:rowOff>129540</xdr:rowOff>
                  </from>
                  <to>
                    <xdr:col>14</xdr:col>
                    <xdr:colOff>30480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Bottom15View">
                <anchor moveWithCells="1" sizeWithCells="1">
                  <from>
                    <xdr:col>11</xdr:col>
                    <xdr:colOff>160020</xdr:colOff>
                    <xdr:row>10</xdr:row>
                    <xdr:rowOff>129540</xdr:rowOff>
                  </from>
                  <to>
                    <xdr:col>14</xdr:col>
                    <xdr:colOff>53340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G11"/>
  <sheetViews>
    <sheetView showGridLines="0" zoomScale="175" zoomScaleNormal="175" workbookViewId="0"/>
  </sheetViews>
  <sheetFormatPr defaultColWidth="9.109375" defaultRowHeight="13.2" x14ac:dyDescent="0.25"/>
  <cols>
    <col min="1" max="1" width="4.88671875" style="8" customWidth="1"/>
    <col min="2" max="4" width="12.88671875" style="8" bestFit="1" customWidth="1"/>
    <col min="5" max="6" width="2.33203125" style="8" customWidth="1"/>
    <col min="7" max="7" width="14" style="8" customWidth="1"/>
    <col min="8" max="16384" width="9.109375" style="8"/>
  </cols>
  <sheetData>
    <row r="3" spans="2:7" ht="19.5" customHeight="1" x14ac:dyDescent="0.25">
      <c r="B3" s="7">
        <v>846227</v>
      </c>
      <c r="C3" s="7">
        <v>1249763</v>
      </c>
      <c r="D3" s="7">
        <v>1716289</v>
      </c>
      <c r="G3" s="9">
        <f>AVERAGE(B3:D3)</f>
        <v>1270759.6666666667</v>
      </c>
    </row>
    <row r="4" spans="2:7" ht="19.5" customHeight="1" x14ac:dyDescent="0.25">
      <c r="B4" s="7">
        <v>544981</v>
      </c>
      <c r="C4" s="7">
        <v>661645</v>
      </c>
      <c r="D4" s="7">
        <v>839631</v>
      </c>
      <c r="G4" s="9">
        <f>AVERAGE(B4:D4)</f>
        <v>682085.66666666663</v>
      </c>
    </row>
    <row r="5" spans="2:7" ht="19.5" customHeight="1" x14ac:dyDescent="0.25">
      <c r="B5" s="7">
        <v>2382172</v>
      </c>
      <c r="C5" s="7">
        <v>2552994</v>
      </c>
      <c r="D5" s="7">
        <v>2710489</v>
      </c>
      <c r="G5" s="9">
        <f>AVERAGE(B5:D5)</f>
        <v>2548551.6666666665</v>
      </c>
    </row>
    <row r="6" spans="2:7" ht="19.5" customHeight="1" x14ac:dyDescent="0.25">
      <c r="B6" s="7">
        <v>623850</v>
      </c>
      <c r="C6" s="7">
        <v>705973</v>
      </c>
      <c r="D6" s="7">
        <v>802484</v>
      </c>
      <c r="G6" s="9">
        <f>AVERAGE(B6:D6)</f>
        <v>710769</v>
      </c>
    </row>
    <row r="7" spans="2:7" ht="19.5" customHeight="1" x14ac:dyDescent="0.25">
      <c r="B7" s="7">
        <v>361218</v>
      </c>
      <c r="C7" s="7">
        <v>385090</v>
      </c>
      <c r="D7" s="7">
        <v>388745</v>
      </c>
      <c r="G7" s="9">
        <f>AVERAGE(B7:D7)</f>
        <v>378351</v>
      </c>
    </row>
    <row r="8" spans="2:7" ht="7.5" customHeight="1" x14ac:dyDescent="0.25"/>
    <row r="9" spans="2:7" ht="19.5" customHeight="1" x14ac:dyDescent="0.25">
      <c r="G9" s="10">
        <f>SUM(G3:G7)</f>
        <v>5590517</v>
      </c>
    </row>
    <row r="10" spans="2:7" ht="7.5" customHeight="1" x14ac:dyDescent="0.25"/>
    <row r="11" spans="2:7" ht="19.5" customHeight="1" x14ac:dyDescent="0.25">
      <c r="B11" s="11">
        <f>SUM(B3:B7)</f>
        <v>4758448</v>
      </c>
      <c r="C11" s="11">
        <f t="shared" ref="C11:D11" si="0">SUM(C3:C7)</f>
        <v>5555465</v>
      </c>
      <c r="D11" s="11">
        <f t="shared" si="0"/>
        <v>6457638</v>
      </c>
      <c r="G11" s="12">
        <f>AVERAGE(B11:D11)</f>
        <v>5590517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</vt:lpstr>
      <vt:lpstr>AVG-SUM</vt:lpstr>
    </vt:vector>
  </TitlesOfParts>
  <Company>U.S. Department Of Commerce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Large Metropolitan Statistical Areas--Population</dc:title>
  <dc:creator>US Census Bureau</dc:creator>
  <cp:lastModifiedBy>PAVEL ANDREEV</cp:lastModifiedBy>
  <cp:lastPrinted>2010-06-11T15:51:44Z</cp:lastPrinted>
  <dcterms:created xsi:type="dcterms:W3CDTF">2005-05-25T19:12:28Z</dcterms:created>
  <dcterms:modified xsi:type="dcterms:W3CDTF">2026-02-02T17:10:00Z</dcterms:modified>
</cp:coreProperties>
</file>
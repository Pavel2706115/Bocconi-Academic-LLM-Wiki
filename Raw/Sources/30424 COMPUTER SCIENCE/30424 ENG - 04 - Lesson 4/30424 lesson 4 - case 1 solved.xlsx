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mau\Desktop\30424\2024-2025\Lezioni\30424 ENG - 04 - Lesson 4 v.2.2\1. Teaching materials\"/>
    </mc:Choice>
  </mc:AlternateContent>
  <xr:revisionPtr revIDLastSave="0" documentId="13_ncr:1_{895001A1-2005-49A5-9957-9F28DC3D6B34}" xr6:coauthVersionLast="47" xr6:coauthVersionMax="47" xr10:uidLastSave="{00000000-0000-0000-0000-000000000000}"/>
  <bookViews>
    <workbookView xWindow="-120" yWindow="-120" windowWidth="29040" windowHeight="15840" xr2:uid="{00000000-000D-0000-FFFF-FFFF00000000}"/>
  </bookViews>
  <sheets>
    <sheet name="Case development" sheetId="3" r:id="rId1"/>
    <sheet name="Sales" sheetId="2" r:id="rId2"/>
  </sheets>
  <definedNames>
    <definedName name="_xlnm._FilterDatabase" localSheetId="1" hidden="1">Sales!$A$1:$G$84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2" l="1"/>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2" i="2"/>
  <c r="I3" i="2" l="1"/>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2" i="2"/>
</calcChain>
</file>

<file path=xl/sharedStrings.xml><?xml version="1.0" encoding="utf-8"?>
<sst xmlns="http://schemas.openxmlformats.org/spreadsheetml/2006/main" count="302" uniqueCount="119">
  <si>
    <t>N° rooms</t>
  </si>
  <si>
    <t>Apartment code</t>
  </si>
  <si>
    <t>Normal</t>
  </si>
  <si>
    <t>Excellent</t>
  </si>
  <si>
    <t>Poor</t>
  </si>
  <si>
    <t>A2401</t>
  </si>
  <si>
    <t>A7654</t>
  </si>
  <si>
    <t>A2503</t>
  </si>
  <si>
    <t>A8900</t>
  </si>
  <si>
    <t>A9423</t>
  </si>
  <si>
    <t>A9610</t>
  </si>
  <si>
    <t>A5125</t>
  </si>
  <si>
    <t>A9130</t>
  </si>
  <si>
    <t>A9886</t>
  </si>
  <si>
    <t>A4128</t>
  </si>
  <si>
    <t>A1923</t>
  </si>
  <si>
    <t>A8609</t>
  </si>
  <si>
    <t>A1503</t>
  </si>
  <si>
    <t>A7077</t>
  </si>
  <si>
    <t>A1092</t>
  </si>
  <si>
    <t>A6442</t>
  </si>
  <si>
    <t>A3032</t>
  </si>
  <si>
    <t>A5839</t>
  </si>
  <si>
    <t>A9171</t>
  </si>
  <si>
    <t>A3598</t>
  </si>
  <si>
    <t>A2559</t>
  </si>
  <si>
    <t>A6745</t>
  </si>
  <si>
    <t>A9332</t>
  </si>
  <si>
    <t>A7976</t>
  </si>
  <si>
    <t>A1836</t>
  </si>
  <si>
    <t>A1837</t>
  </si>
  <si>
    <t>A5414</t>
  </si>
  <si>
    <t>A7985</t>
  </si>
  <si>
    <t>A3285</t>
  </si>
  <si>
    <t>A6014</t>
  </si>
  <si>
    <t>A4605</t>
  </si>
  <si>
    <t>A6543</t>
  </si>
  <si>
    <t>A6008</t>
  </si>
  <si>
    <t>A3853</t>
  </si>
  <si>
    <t>A7013</t>
  </si>
  <si>
    <t>A3711</t>
  </si>
  <si>
    <t>A6004</t>
  </si>
  <si>
    <t>A4904</t>
  </si>
  <si>
    <t>A3783</t>
  </si>
  <si>
    <t>A8193</t>
  </si>
  <si>
    <t>A9093</t>
  </si>
  <si>
    <t>A7939</t>
  </si>
  <si>
    <t>A1014</t>
  </si>
  <si>
    <t>A6286</t>
  </si>
  <si>
    <t>A1486</t>
  </si>
  <si>
    <t>A3776</t>
  </si>
  <si>
    <t>A7161</t>
  </si>
  <si>
    <t>A2594</t>
  </si>
  <si>
    <t>A2884</t>
  </si>
  <si>
    <t>A7306</t>
  </si>
  <si>
    <t>A2905</t>
  </si>
  <si>
    <t>A4396</t>
  </si>
  <si>
    <t>A9840</t>
  </si>
  <si>
    <t>A7736</t>
  </si>
  <si>
    <t>A1776</t>
  </si>
  <si>
    <t>A4983</t>
  </si>
  <si>
    <t>A1490</t>
  </si>
  <si>
    <t>A3993</t>
  </si>
  <si>
    <t>A2550</t>
  </si>
  <si>
    <t>A3885</t>
  </si>
  <si>
    <t>A9214</t>
  </si>
  <si>
    <t>A5994</t>
  </si>
  <si>
    <t>A2500</t>
  </si>
  <si>
    <t>A4965</t>
  </si>
  <si>
    <t>A8306</t>
  </si>
  <si>
    <t>A8043</t>
  </si>
  <si>
    <t>A8611</t>
  </si>
  <si>
    <t>A5891</t>
  </si>
  <si>
    <t>A3854</t>
  </si>
  <si>
    <t>A6321</t>
  </si>
  <si>
    <t>A9317</t>
  </si>
  <si>
    <t>A8033</t>
  </si>
  <si>
    <t>A8401</t>
  </si>
  <si>
    <t>A8542</t>
  </si>
  <si>
    <t>A6430</t>
  </si>
  <si>
    <t>A6307</t>
  </si>
  <si>
    <t>A8623</t>
  </si>
  <si>
    <t>A1842</t>
  </si>
  <si>
    <t>A9289</t>
  </si>
  <si>
    <t>A2113</t>
  </si>
  <si>
    <t>A1437</t>
  </si>
  <si>
    <t>A5111</t>
  </si>
  <si>
    <t>A5995</t>
  </si>
  <si>
    <t>District Code</t>
  </si>
  <si>
    <t>B01</t>
  </si>
  <si>
    <t>C02</t>
  </si>
  <si>
    <t>B06</t>
  </si>
  <si>
    <t>C03</t>
  </si>
  <si>
    <t>C12</t>
  </si>
  <si>
    <t>B02</t>
  </si>
  <si>
    <t>A06</t>
  </si>
  <si>
    <r>
      <t>Apartment area (m</t>
    </r>
    <r>
      <rPr>
        <b/>
        <vertAlign val="superscript"/>
        <sz val="11"/>
        <color theme="1"/>
        <rFont val="Calibri"/>
        <family val="2"/>
        <scheme val="minor"/>
      </rPr>
      <t>2</t>
    </r>
    <r>
      <rPr>
        <b/>
        <sz val="11"/>
        <color theme="1"/>
        <rFont val="Calibri"/>
        <family val="2"/>
        <scheme val="minor"/>
      </rPr>
      <t>)</t>
    </r>
  </si>
  <si>
    <t>Owner selling price</t>
  </si>
  <si>
    <t>Apartment size</t>
  </si>
  <si>
    <t>Yes</t>
  </si>
  <si>
    <t>Sales commission</t>
  </si>
  <si>
    <t>Apartment condition</t>
  </si>
  <si>
    <t>Private garage</t>
  </si>
  <si>
    <t>SQM Analysis</t>
  </si>
  <si>
    <t>Final price</t>
  </si>
  <si>
    <t>My personal notes:</t>
  </si>
  <si>
    <t>To solve the case we need to:</t>
  </si>
  <si>
    <t>1.</t>
  </si>
  <si>
    <t>2.</t>
  </si>
  <si>
    <t>3.</t>
  </si>
  <si>
    <t>4.</t>
  </si>
  <si>
    <t>5.</t>
  </si>
  <si>
    <t>Lesson 4 - Case 1</t>
  </si>
  <si>
    <t>Create the Apartment size column and use the IF function to shows, for each apartment,  the text “Big Size” if the apartment area is greater than or equal to 110 sqm, otherwise a blank cell</t>
  </si>
  <si>
    <t>Create the Selling price column and use IF and AND functions to calculate the final selling price of each apartment, considering that when the apartment has a private garage and it is in excellent condition, the owner’s selling price must be increased by 50,000 euros</t>
  </si>
  <si>
    <t>Create the Sales commission column and use IF and OR functions to calculate the commission to be paid for each apartment, considering that the commission is 5% for apartments in the areas with code C02 and A06, 3% in all other areas</t>
  </si>
  <si>
    <t xml:space="preserve">In the new SQM Analysis column use the nested IF functions to show for each apartment (using the Final price column values):
-The text “Cheap sqm price” if the square meter price is less than 4,200 euros
-The text “Normal sqm price” if the square meter price is between 4,200 and 6,000 euros (both inclusive
-The text “Expensive sqm price” if the square meter price is greater than 6,000 euros
</t>
  </si>
  <si>
    <t>Interesting apartments</t>
  </si>
  <si>
    <t>In the new Interesting apartments column use IF, AND and OR functions to show, for each apartment, the text “Good deal” when the apartment condition is normal or excellent and the sqm price is less than 5,000 euros (using values of the final price column)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</si>
</sst>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0.00\ &quot;€&quot;"/>
  </numFmts>
  <fonts count="6" x14ac:knownFonts="1">
    <font>
      <sz val="11"/>
      <color theme="1"/>
      <name val="Calibri"/>
      <family val="2"/>
      <scheme val="minor"/>
    </font>
    <font>
      <b/>
      <sz val="11"/>
      <color theme="1"/>
      <name val="Calibri"/>
      <family val="2"/>
      <scheme val="minor"/>
    </font>
    <font>
      <sz val="11"/>
      <name val="Calibri"/>
      <family val="2"/>
      <scheme val="minor"/>
    </font>
    <font>
      <b/>
      <vertAlign val="superscript"/>
      <sz val="11"/>
      <color theme="1"/>
      <name val="Calibri"/>
      <family val="2"/>
      <scheme val="minor"/>
    </font>
    <font>
      <sz val="18"/>
      <color theme="0"/>
      <name val="Calibri"/>
      <family val="2"/>
      <scheme val="minor"/>
    </font>
    <font>
      <b/>
      <sz val="12"/>
      <color theme="1"/>
      <name val="Calibri"/>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theme="4" tint="-0.499984740745262"/>
        <bgColor indexed="64"/>
      </patternFill>
    </fill>
    <fill>
      <patternFill patternType="solid">
        <fgColor theme="7" tint="0.39997558519241921"/>
        <bgColor indexed="64"/>
      </patternFill>
    </fill>
    <fill>
      <patternFill patternType="solid">
        <fgColor theme="7" tint="0.79998168889431442"/>
        <bgColor indexed="64"/>
      </patternFill>
    </fill>
  </fills>
  <borders count="4">
    <border>
      <left/>
      <right/>
      <top/>
      <bottom/>
      <diagonal/>
    </border>
    <border>
      <left/>
      <right/>
      <top/>
      <bottom style="medium">
        <color indexed="64"/>
      </bottom>
      <diagonal/>
    </border>
    <border>
      <left/>
      <right/>
      <top/>
      <bottom style="dotted">
        <color auto="1"/>
      </bottom>
      <diagonal/>
    </border>
    <border>
      <left/>
      <right/>
      <top style="dotted">
        <color auto="1"/>
      </top>
      <bottom style="dotted">
        <color auto="1"/>
      </bottom>
      <diagonal/>
    </border>
  </borders>
  <cellStyleXfs count="1">
    <xf numFmtId="0" fontId="0" fillId="0" borderId="0"/>
  </cellStyleXfs>
  <cellXfs count="14">
    <xf numFmtId="0" fontId="0" fillId="0" borderId="0" xfId="0"/>
    <xf numFmtId="164" fontId="2" fillId="0" borderId="0" xfId="0" applyNumberFormat="1" applyFont="1"/>
    <xf numFmtId="165" fontId="0" fillId="0" borderId="0" xfId="0" applyNumberFormat="1"/>
    <xf numFmtId="0" fontId="1" fillId="0" borderId="1" xfId="0" applyFont="1" applyBorder="1" applyAlignment="1">
      <alignment vertical="top" wrapText="1"/>
    </xf>
    <xf numFmtId="0" fontId="0" fillId="2" borderId="0" xfId="0" applyFill="1"/>
    <xf numFmtId="0" fontId="0" fillId="4" borderId="0" xfId="0" applyFill="1"/>
    <xf numFmtId="0" fontId="0" fillId="4" borderId="0" xfId="0" applyFill="1" applyAlignment="1">
      <alignment vertical="center"/>
    </xf>
    <xf numFmtId="0" fontId="5" fillId="2" borderId="0" xfId="0" applyFont="1" applyFill="1" applyAlignment="1">
      <alignment vertical="center"/>
    </xf>
    <xf numFmtId="0" fontId="0" fillId="5" borderId="0" xfId="0" applyFill="1"/>
    <xf numFmtId="0" fontId="0" fillId="5" borderId="2" xfId="0" applyFill="1" applyBorder="1"/>
    <xf numFmtId="0" fontId="5" fillId="2" borderId="0" xfId="0" applyFont="1" applyFill="1" applyAlignment="1">
      <alignment horizontal="right" vertical="top"/>
    </xf>
    <xf numFmtId="0" fontId="0" fillId="5" borderId="3" xfId="0" applyFill="1" applyBorder="1"/>
    <xf numFmtId="0" fontId="0" fillId="2" borderId="0" xfId="0" applyFill="1" applyAlignment="1">
      <alignment horizontal="justify" vertical="top" wrapText="1"/>
    </xf>
    <xf numFmtId="0" fontId="4" fillId="3" borderId="0" xfId="0" applyFont="1" applyFill="1" applyAlignment="1">
      <alignment horizontal="center" vertical="center"/>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772D6-E702-41A7-8127-7E237B032047}">
  <dimension ref="A1:H10"/>
  <sheetViews>
    <sheetView showGridLines="0" tabSelected="1" zoomScale="115" zoomScaleNormal="115" workbookViewId="0"/>
  </sheetViews>
  <sheetFormatPr defaultRowHeight="15" x14ac:dyDescent="0.25"/>
  <cols>
    <col min="1" max="1" width="3.7109375" customWidth="1"/>
    <col min="2" max="2" width="4.7109375" customWidth="1"/>
    <col min="3" max="3" width="82.42578125" customWidth="1"/>
    <col min="4" max="6" width="3.7109375" customWidth="1"/>
    <col min="7" max="7" width="58.42578125" customWidth="1"/>
    <col min="8" max="8" width="3.7109375" customWidth="1"/>
  </cols>
  <sheetData>
    <row r="1" spans="1:8" x14ac:dyDescent="0.25">
      <c r="A1" s="4"/>
      <c r="B1" s="4"/>
      <c r="C1" s="4"/>
      <c r="D1" s="4"/>
    </row>
    <row r="2" spans="1:8" ht="25.5" customHeight="1" x14ac:dyDescent="0.25">
      <c r="A2" s="4"/>
      <c r="B2" s="13" t="s">
        <v>112</v>
      </c>
      <c r="C2" s="13"/>
      <c r="D2" s="4"/>
    </row>
    <row r="3" spans="1:8" ht="21.75" customHeight="1" x14ac:dyDescent="0.25">
      <c r="A3" s="4"/>
      <c r="B3" s="4"/>
      <c r="C3" s="4"/>
      <c r="D3" s="4"/>
      <c r="F3" s="5"/>
      <c r="G3" s="6" t="s">
        <v>105</v>
      </c>
      <c r="H3" s="5"/>
    </row>
    <row r="4" spans="1:8" ht="23.25" customHeight="1" x14ac:dyDescent="0.25">
      <c r="A4" s="4"/>
      <c r="B4" s="7" t="s">
        <v>106</v>
      </c>
      <c r="C4" s="4"/>
      <c r="D4" s="4"/>
      <c r="F4" s="8"/>
      <c r="G4" s="9"/>
      <c r="H4" s="8"/>
    </row>
    <row r="5" spans="1:8" ht="52.5" customHeight="1" x14ac:dyDescent="0.25">
      <c r="A5" s="4"/>
      <c r="B5" s="10" t="s">
        <v>107</v>
      </c>
      <c r="C5" s="12" t="s">
        <v>113</v>
      </c>
      <c r="D5" s="4"/>
      <c r="F5" s="8"/>
      <c r="G5" s="11"/>
      <c r="H5" s="8"/>
    </row>
    <row r="6" spans="1:8" ht="52.5" customHeight="1" x14ac:dyDescent="0.25">
      <c r="A6" s="4"/>
      <c r="B6" s="10" t="s">
        <v>108</v>
      </c>
      <c r="C6" s="12" t="s">
        <v>114</v>
      </c>
      <c r="D6" s="4"/>
      <c r="F6" s="8"/>
      <c r="G6" s="11"/>
      <c r="H6" s="8"/>
    </row>
    <row r="7" spans="1:8" ht="57" customHeight="1" x14ac:dyDescent="0.25">
      <c r="A7" s="4"/>
      <c r="B7" s="10" t="s">
        <v>109</v>
      </c>
      <c r="C7" s="12" t="s">
        <v>115</v>
      </c>
      <c r="D7" s="4"/>
      <c r="F7" s="8"/>
      <c r="G7" s="11"/>
      <c r="H7" s="8"/>
    </row>
    <row r="8" spans="1:8" ht="105.75" customHeight="1" x14ac:dyDescent="0.25">
      <c r="A8" s="4"/>
      <c r="B8" s="10" t="s">
        <v>110</v>
      </c>
      <c r="C8" s="12" t="s">
        <v>116</v>
      </c>
      <c r="D8" s="4"/>
      <c r="F8" s="8"/>
      <c r="G8" s="11"/>
      <c r="H8" s="8"/>
    </row>
    <row r="9" spans="1:8" ht="56.25" customHeight="1" x14ac:dyDescent="0.25">
      <c r="A9" s="4"/>
      <c r="B9" s="10" t="s">
        <v>111</v>
      </c>
      <c r="C9" s="12" t="s">
        <v>118</v>
      </c>
      <c r="D9" s="4"/>
      <c r="F9" s="8"/>
      <c r="G9" s="11"/>
      <c r="H9" s="8"/>
    </row>
    <row r="10" spans="1:8" x14ac:dyDescent="0.25">
      <c r="A10" s="4"/>
      <c r="B10" s="4"/>
      <c r="C10" s="4"/>
      <c r="D10" s="4"/>
      <c r="F10" s="8"/>
      <c r="G10" s="8"/>
      <c r="H10" s="8"/>
    </row>
  </sheetData>
  <mergeCells count="1">
    <mergeCell ref="B2:C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47384-4420-4E16-9EFF-21BC40B827AB}">
  <dimension ref="A1:L84"/>
  <sheetViews>
    <sheetView workbookViewId="0"/>
  </sheetViews>
  <sheetFormatPr defaultRowHeight="15" x14ac:dyDescent="0.25"/>
  <cols>
    <col min="1" max="1" width="13.7109375" customWidth="1"/>
    <col min="3" max="3" width="15.85546875" customWidth="1"/>
    <col min="4" max="4" width="13.28515625" customWidth="1"/>
    <col min="5" max="5" width="14.42578125" bestFit="1" customWidth="1"/>
    <col min="6" max="6" width="18.85546875" customWidth="1"/>
    <col min="7" max="7" width="13.28515625" bestFit="1" customWidth="1"/>
    <col min="8" max="8" width="11.5703125" customWidth="1"/>
    <col min="9" max="9" width="13.28515625" bestFit="1" customWidth="1"/>
    <col min="10" max="10" width="15.85546875" customWidth="1"/>
    <col min="11" max="11" width="19.28515625" bestFit="1" customWidth="1"/>
    <col min="12" max="12" width="16.85546875" customWidth="1"/>
  </cols>
  <sheetData>
    <row r="1" spans="1:12" ht="33" thickBot="1" x14ac:dyDescent="0.3">
      <c r="A1" s="3" t="s">
        <v>1</v>
      </c>
      <c r="B1" s="3" t="s">
        <v>0</v>
      </c>
      <c r="C1" s="3" t="s">
        <v>101</v>
      </c>
      <c r="D1" s="3" t="s">
        <v>96</v>
      </c>
      <c r="E1" s="3" t="s">
        <v>102</v>
      </c>
      <c r="F1" s="3" t="s">
        <v>88</v>
      </c>
      <c r="G1" s="3" t="s">
        <v>97</v>
      </c>
      <c r="H1" s="3" t="s">
        <v>98</v>
      </c>
      <c r="I1" s="3" t="s">
        <v>104</v>
      </c>
      <c r="J1" s="3" t="s">
        <v>100</v>
      </c>
      <c r="K1" s="3" t="s">
        <v>103</v>
      </c>
      <c r="L1" s="3" t="s">
        <v>117</v>
      </c>
    </row>
    <row r="2" spans="1:12" x14ac:dyDescent="0.25">
      <c r="A2" t="s">
        <v>5</v>
      </c>
      <c r="B2">
        <v>3</v>
      </c>
      <c r="C2" t="s">
        <v>2</v>
      </c>
      <c r="D2">
        <v>96</v>
      </c>
      <c r="F2" t="s">
        <v>89</v>
      </c>
      <c r="G2" s="1">
        <v>407000</v>
      </c>
      <c r="H2" s="2" t="str">
        <f>IF(D2&gt;=110,"Big size","")</f>
        <v/>
      </c>
      <c r="I2" s="2">
        <f>IF(AND(E2="Yes",C2="Excellent"),G2+50000,G2)</f>
        <v>407000</v>
      </c>
      <c r="J2" s="2">
        <f>IF(OR(F2="C02",F2="A06"),I2*0.05,I2*0.03)</f>
        <v>12210</v>
      </c>
      <c r="K2" s="2" t="str">
        <f>IF(I2/D2&lt;4200,"Cheap sqm price",IF(I2/D2&gt;6000,"Expensive sqm price","Normal sqm price"))</f>
        <v>Normal sqm price</v>
      </c>
      <c r="L2" t="str">
        <f>IF(AND(OR(C2="Excellent",C2="Normal"),I2/D2&lt;5000),"Good deal","")</f>
        <v>Good deal</v>
      </c>
    </row>
    <row r="3" spans="1:12" x14ac:dyDescent="0.25">
      <c r="A3" t="s">
        <v>6</v>
      </c>
      <c r="B3">
        <v>2</v>
      </c>
      <c r="C3" t="s">
        <v>3</v>
      </c>
      <c r="D3">
        <v>55</v>
      </c>
      <c r="E3" t="s">
        <v>99</v>
      </c>
      <c r="F3" t="s">
        <v>90</v>
      </c>
      <c r="G3" s="1">
        <v>271000</v>
      </c>
      <c r="H3" s="2" t="str">
        <f t="shared" ref="H3:H66" si="0">IF(D3&gt;=110,"Big size","")</f>
        <v/>
      </c>
      <c r="I3" s="2">
        <f t="shared" ref="I3:I66" si="1">IF(AND(E3="Yes",C3="Excellent"),G3+50000,G3)</f>
        <v>321000</v>
      </c>
      <c r="J3" s="2">
        <f t="shared" ref="J3:J66" si="2">IF(OR(F3="C02",F3="A06"),I3*0.05,I3*0.03)</f>
        <v>16050</v>
      </c>
      <c r="K3" s="2" t="str">
        <f t="shared" ref="K3:K66" si="3">IF(I3/D3&lt;4200,"Cheap sqm price",IF(I3/D3&gt;6000,"Expensive sqm price","Normal sqm price"))</f>
        <v>Normal sqm price</v>
      </c>
      <c r="L3" t="str">
        <f t="shared" ref="L3:L66" si="4">IF(AND(OR(C3="Excellent",C3="Normal"),I3/D3&lt;5000),"Good deal","")</f>
        <v/>
      </c>
    </row>
    <row r="4" spans="1:12" x14ac:dyDescent="0.25">
      <c r="A4" t="s">
        <v>7</v>
      </c>
      <c r="B4">
        <v>2</v>
      </c>
      <c r="C4" t="s">
        <v>3</v>
      </c>
      <c r="D4">
        <v>56</v>
      </c>
      <c r="F4" t="s">
        <v>91</v>
      </c>
      <c r="G4" s="1">
        <v>400000</v>
      </c>
      <c r="H4" s="2" t="str">
        <f t="shared" si="0"/>
        <v/>
      </c>
      <c r="I4" s="2">
        <f t="shared" si="1"/>
        <v>400000</v>
      </c>
      <c r="J4" s="2">
        <f t="shared" si="2"/>
        <v>12000</v>
      </c>
      <c r="K4" s="2" t="str">
        <f t="shared" si="3"/>
        <v>Expensive sqm price</v>
      </c>
      <c r="L4" t="str">
        <f t="shared" si="4"/>
        <v/>
      </c>
    </row>
    <row r="5" spans="1:12" x14ac:dyDescent="0.25">
      <c r="A5" t="s">
        <v>8</v>
      </c>
      <c r="B5">
        <v>3</v>
      </c>
      <c r="C5" t="s">
        <v>4</v>
      </c>
      <c r="D5">
        <v>100</v>
      </c>
      <c r="F5" t="s">
        <v>92</v>
      </c>
      <c r="G5" s="1">
        <v>401000</v>
      </c>
      <c r="H5" s="2" t="str">
        <f t="shared" si="0"/>
        <v/>
      </c>
      <c r="I5" s="2">
        <f t="shared" si="1"/>
        <v>401000</v>
      </c>
      <c r="J5" s="2">
        <f t="shared" si="2"/>
        <v>12030</v>
      </c>
      <c r="K5" s="2" t="str">
        <f t="shared" si="3"/>
        <v>Cheap sqm price</v>
      </c>
      <c r="L5" t="str">
        <f t="shared" si="4"/>
        <v/>
      </c>
    </row>
    <row r="6" spans="1:12" x14ac:dyDescent="0.25">
      <c r="A6" t="s">
        <v>9</v>
      </c>
      <c r="B6">
        <v>1</v>
      </c>
      <c r="C6" t="s">
        <v>3</v>
      </c>
      <c r="D6">
        <v>29</v>
      </c>
      <c r="F6" t="s">
        <v>93</v>
      </c>
      <c r="G6" s="1">
        <v>134000</v>
      </c>
      <c r="H6" s="2" t="str">
        <f t="shared" si="0"/>
        <v/>
      </c>
      <c r="I6" s="2">
        <f t="shared" si="1"/>
        <v>134000</v>
      </c>
      <c r="J6" s="2">
        <f t="shared" si="2"/>
        <v>4020</v>
      </c>
      <c r="K6" s="2" t="str">
        <f t="shared" si="3"/>
        <v>Normal sqm price</v>
      </c>
      <c r="L6" t="str">
        <f t="shared" si="4"/>
        <v>Good deal</v>
      </c>
    </row>
    <row r="7" spans="1:12" x14ac:dyDescent="0.25">
      <c r="A7" t="s">
        <v>10</v>
      </c>
      <c r="B7">
        <v>5</v>
      </c>
      <c r="C7" t="s">
        <v>4</v>
      </c>
      <c r="D7">
        <v>180</v>
      </c>
      <c r="F7" t="s">
        <v>94</v>
      </c>
      <c r="G7" s="1">
        <v>662000</v>
      </c>
      <c r="H7" s="2" t="str">
        <f t="shared" si="0"/>
        <v>Big size</v>
      </c>
      <c r="I7" s="2">
        <f t="shared" si="1"/>
        <v>662000</v>
      </c>
      <c r="J7" s="2">
        <f t="shared" si="2"/>
        <v>19860</v>
      </c>
      <c r="K7" s="2" t="str">
        <f t="shared" si="3"/>
        <v>Cheap sqm price</v>
      </c>
      <c r="L7" t="str">
        <f t="shared" si="4"/>
        <v/>
      </c>
    </row>
    <row r="8" spans="1:12" x14ac:dyDescent="0.25">
      <c r="A8" t="s">
        <v>11</v>
      </c>
      <c r="B8">
        <v>3</v>
      </c>
      <c r="C8" t="s">
        <v>2</v>
      </c>
      <c r="D8">
        <v>90</v>
      </c>
      <c r="F8" t="s">
        <v>95</v>
      </c>
      <c r="G8" s="1">
        <v>399000</v>
      </c>
      <c r="H8" s="2" t="str">
        <f t="shared" si="0"/>
        <v/>
      </c>
      <c r="I8" s="2">
        <f t="shared" si="1"/>
        <v>399000</v>
      </c>
      <c r="J8" s="2">
        <f t="shared" si="2"/>
        <v>19950</v>
      </c>
      <c r="K8" s="2" t="str">
        <f t="shared" si="3"/>
        <v>Normal sqm price</v>
      </c>
      <c r="L8" t="str">
        <f t="shared" si="4"/>
        <v>Good deal</v>
      </c>
    </row>
    <row r="9" spans="1:12" x14ac:dyDescent="0.25">
      <c r="A9" t="s">
        <v>12</v>
      </c>
      <c r="B9">
        <v>3</v>
      </c>
      <c r="C9" t="s">
        <v>2</v>
      </c>
      <c r="D9">
        <v>95</v>
      </c>
      <c r="E9" t="s">
        <v>99</v>
      </c>
      <c r="F9" t="s">
        <v>89</v>
      </c>
      <c r="G9" s="1">
        <v>401000</v>
      </c>
      <c r="H9" s="2" t="str">
        <f t="shared" si="0"/>
        <v/>
      </c>
      <c r="I9" s="2">
        <f t="shared" si="1"/>
        <v>401000</v>
      </c>
      <c r="J9" s="2">
        <f t="shared" si="2"/>
        <v>12030</v>
      </c>
      <c r="K9" s="2" t="str">
        <f t="shared" si="3"/>
        <v>Normal sqm price</v>
      </c>
      <c r="L9" t="str">
        <f t="shared" si="4"/>
        <v>Good deal</v>
      </c>
    </row>
    <row r="10" spans="1:12" x14ac:dyDescent="0.25">
      <c r="A10" t="s">
        <v>13</v>
      </c>
      <c r="B10">
        <v>2</v>
      </c>
      <c r="C10" t="s">
        <v>3</v>
      </c>
      <c r="D10">
        <v>54</v>
      </c>
      <c r="E10" t="s">
        <v>99</v>
      </c>
      <c r="F10" t="s">
        <v>90</v>
      </c>
      <c r="G10" s="1">
        <v>269000</v>
      </c>
      <c r="H10" s="2" t="str">
        <f t="shared" si="0"/>
        <v/>
      </c>
      <c r="I10" s="2">
        <f t="shared" si="1"/>
        <v>319000</v>
      </c>
      <c r="J10" s="2">
        <f t="shared" si="2"/>
        <v>15950</v>
      </c>
      <c r="K10" s="2" t="str">
        <f t="shared" si="3"/>
        <v>Normal sqm price</v>
      </c>
      <c r="L10" t="str">
        <f t="shared" si="4"/>
        <v/>
      </c>
    </row>
    <row r="11" spans="1:12" x14ac:dyDescent="0.25">
      <c r="A11" t="s">
        <v>14</v>
      </c>
      <c r="B11">
        <v>4</v>
      </c>
      <c r="C11" t="s">
        <v>2</v>
      </c>
      <c r="D11">
        <v>115</v>
      </c>
      <c r="F11" t="s">
        <v>91</v>
      </c>
      <c r="G11" s="1">
        <v>542000</v>
      </c>
      <c r="H11" s="2" t="str">
        <f t="shared" si="0"/>
        <v>Big size</v>
      </c>
      <c r="I11" s="2">
        <f t="shared" si="1"/>
        <v>542000</v>
      </c>
      <c r="J11" s="2">
        <f t="shared" si="2"/>
        <v>16260</v>
      </c>
      <c r="K11" s="2" t="str">
        <f t="shared" si="3"/>
        <v>Normal sqm price</v>
      </c>
      <c r="L11" t="str">
        <f t="shared" si="4"/>
        <v>Good deal</v>
      </c>
    </row>
    <row r="12" spans="1:12" x14ac:dyDescent="0.25">
      <c r="A12" t="s">
        <v>15</v>
      </c>
      <c r="B12">
        <v>1</v>
      </c>
      <c r="C12" t="s">
        <v>4</v>
      </c>
      <c r="D12">
        <v>32</v>
      </c>
      <c r="F12" t="s">
        <v>92</v>
      </c>
      <c r="G12" s="1">
        <v>139000</v>
      </c>
      <c r="H12" s="2" t="str">
        <f t="shared" si="0"/>
        <v/>
      </c>
      <c r="I12" s="2">
        <f t="shared" si="1"/>
        <v>139000</v>
      </c>
      <c r="J12" s="2">
        <f t="shared" si="2"/>
        <v>4170</v>
      </c>
      <c r="K12" s="2" t="str">
        <f t="shared" si="3"/>
        <v>Normal sqm price</v>
      </c>
      <c r="L12" t="str">
        <f t="shared" si="4"/>
        <v/>
      </c>
    </row>
    <row r="13" spans="1:12" x14ac:dyDescent="0.25">
      <c r="A13" t="s">
        <v>16</v>
      </c>
      <c r="B13">
        <v>2</v>
      </c>
      <c r="C13" t="s">
        <v>4</v>
      </c>
      <c r="D13">
        <v>70</v>
      </c>
      <c r="F13" t="s">
        <v>93</v>
      </c>
      <c r="G13" s="1">
        <v>266000</v>
      </c>
      <c r="H13" s="2" t="str">
        <f t="shared" si="0"/>
        <v/>
      </c>
      <c r="I13" s="2">
        <f t="shared" si="1"/>
        <v>266000</v>
      </c>
      <c r="J13" s="2">
        <f t="shared" si="2"/>
        <v>7980</v>
      </c>
      <c r="K13" s="2" t="str">
        <f t="shared" si="3"/>
        <v>Cheap sqm price</v>
      </c>
      <c r="L13" t="str">
        <f t="shared" si="4"/>
        <v/>
      </c>
    </row>
    <row r="14" spans="1:12" x14ac:dyDescent="0.25">
      <c r="A14" t="s">
        <v>17</v>
      </c>
      <c r="B14">
        <v>5</v>
      </c>
      <c r="C14" t="s">
        <v>4</v>
      </c>
      <c r="D14">
        <v>180</v>
      </c>
      <c r="E14" t="s">
        <v>99</v>
      </c>
      <c r="F14" t="s">
        <v>94</v>
      </c>
      <c r="G14" s="1">
        <v>663000</v>
      </c>
      <c r="H14" s="2" t="str">
        <f t="shared" si="0"/>
        <v>Big size</v>
      </c>
      <c r="I14" s="2">
        <f t="shared" si="1"/>
        <v>663000</v>
      </c>
      <c r="J14" s="2">
        <f t="shared" si="2"/>
        <v>19890</v>
      </c>
      <c r="K14" s="2" t="str">
        <f t="shared" si="3"/>
        <v>Cheap sqm price</v>
      </c>
      <c r="L14" t="str">
        <f t="shared" si="4"/>
        <v/>
      </c>
    </row>
    <row r="15" spans="1:12" x14ac:dyDescent="0.25">
      <c r="A15" t="s">
        <v>18</v>
      </c>
      <c r="B15">
        <v>4</v>
      </c>
      <c r="C15" t="s">
        <v>2</v>
      </c>
      <c r="D15">
        <v>130</v>
      </c>
      <c r="F15" t="s">
        <v>95</v>
      </c>
      <c r="G15" s="1">
        <v>535000</v>
      </c>
      <c r="H15" s="2" t="str">
        <f t="shared" si="0"/>
        <v>Big size</v>
      </c>
      <c r="I15" s="2">
        <f t="shared" si="1"/>
        <v>535000</v>
      </c>
      <c r="J15" s="2">
        <f t="shared" si="2"/>
        <v>26750</v>
      </c>
      <c r="K15" s="2" t="str">
        <f t="shared" si="3"/>
        <v>Cheap sqm price</v>
      </c>
      <c r="L15" t="str">
        <f t="shared" si="4"/>
        <v>Good deal</v>
      </c>
    </row>
    <row r="16" spans="1:12" x14ac:dyDescent="0.25">
      <c r="A16" t="s">
        <v>19</v>
      </c>
      <c r="B16">
        <v>1</v>
      </c>
      <c r="C16" t="s">
        <v>4</v>
      </c>
      <c r="D16">
        <v>40</v>
      </c>
      <c r="F16" t="s">
        <v>89</v>
      </c>
      <c r="G16" s="1">
        <v>142000</v>
      </c>
      <c r="H16" s="2" t="str">
        <f t="shared" si="0"/>
        <v/>
      </c>
      <c r="I16" s="2">
        <f t="shared" si="1"/>
        <v>142000</v>
      </c>
      <c r="J16" s="2">
        <f t="shared" si="2"/>
        <v>4260</v>
      </c>
      <c r="K16" s="2" t="str">
        <f t="shared" si="3"/>
        <v>Cheap sqm price</v>
      </c>
      <c r="L16" t="str">
        <f t="shared" si="4"/>
        <v/>
      </c>
    </row>
    <row r="17" spans="1:12" x14ac:dyDescent="0.25">
      <c r="A17" t="s">
        <v>20</v>
      </c>
      <c r="B17">
        <v>3</v>
      </c>
      <c r="C17" t="s">
        <v>2</v>
      </c>
      <c r="D17">
        <v>85</v>
      </c>
      <c r="E17" t="s">
        <v>99</v>
      </c>
      <c r="F17" t="s">
        <v>90</v>
      </c>
      <c r="G17" s="1">
        <v>399000</v>
      </c>
      <c r="H17" s="2" t="str">
        <f t="shared" si="0"/>
        <v/>
      </c>
      <c r="I17" s="2">
        <f t="shared" si="1"/>
        <v>399000</v>
      </c>
      <c r="J17" s="2">
        <f t="shared" si="2"/>
        <v>19950</v>
      </c>
      <c r="K17" s="2" t="str">
        <f t="shared" si="3"/>
        <v>Normal sqm price</v>
      </c>
      <c r="L17" t="str">
        <f t="shared" si="4"/>
        <v>Good deal</v>
      </c>
    </row>
    <row r="18" spans="1:12" x14ac:dyDescent="0.25">
      <c r="A18" t="s">
        <v>21</v>
      </c>
      <c r="B18">
        <v>1</v>
      </c>
      <c r="C18" t="s">
        <v>2</v>
      </c>
      <c r="D18">
        <v>30</v>
      </c>
      <c r="F18" t="s">
        <v>91</v>
      </c>
      <c r="G18" s="1">
        <v>135000</v>
      </c>
      <c r="H18" s="2" t="str">
        <f t="shared" si="0"/>
        <v/>
      </c>
      <c r="I18" s="2">
        <f t="shared" si="1"/>
        <v>135000</v>
      </c>
      <c r="J18" s="2">
        <f t="shared" si="2"/>
        <v>4050</v>
      </c>
      <c r="K18" s="2" t="str">
        <f t="shared" si="3"/>
        <v>Normal sqm price</v>
      </c>
      <c r="L18" t="str">
        <f t="shared" si="4"/>
        <v>Good deal</v>
      </c>
    </row>
    <row r="19" spans="1:12" x14ac:dyDescent="0.25">
      <c r="A19" t="s">
        <v>22</v>
      </c>
      <c r="B19">
        <v>5</v>
      </c>
      <c r="C19" t="s">
        <v>2</v>
      </c>
      <c r="D19">
        <v>150</v>
      </c>
      <c r="E19" t="s">
        <v>99</v>
      </c>
      <c r="F19" t="s">
        <v>92</v>
      </c>
      <c r="G19" s="1">
        <v>664000</v>
      </c>
      <c r="H19" s="2" t="str">
        <f t="shared" si="0"/>
        <v>Big size</v>
      </c>
      <c r="I19" s="2">
        <f t="shared" si="1"/>
        <v>664000</v>
      </c>
      <c r="J19" s="2">
        <f t="shared" si="2"/>
        <v>19920</v>
      </c>
      <c r="K19" s="2" t="str">
        <f t="shared" si="3"/>
        <v>Normal sqm price</v>
      </c>
      <c r="L19" t="str">
        <f t="shared" si="4"/>
        <v>Good deal</v>
      </c>
    </row>
    <row r="20" spans="1:12" x14ac:dyDescent="0.25">
      <c r="A20" t="s">
        <v>23</v>
      </c>
      <c r="B20">
        <v>1</v>
      </c>
      <c r="C20" t="s">
        <v>3</v>
      </c>
      <c r="D20">
        <v>30</v>
      </c>
      <c r="F20" t="s">
        <v>93</v>
      </c>
      <c r="G20" s="1">
        <v>209000</v>
      </c>
      <c r="H20" s="2" t="str">
        <f t="shared" si="0"/>
        <v/>
      </c>
      <c r="I20" s="2">
        <f t="shared" si="1"/>
        <v>209000</v>
      </c>
      <c r="J20" s="2">
        <f t="shared" si="2"/>
        <v>6270</v>
      </c>
      <c r="K20" s="2" t="str">
        <f t="shared" si="3"/>
        <v>Expensive sqm price</v>
      </c>
      <c r="L20" t="str">
        <f t="shared" si="4"/>
        <v/>
      </c>
    </row>
    <row r="21" spans="1:12" x14ac:dyDescent="0.25">
      <c r="A21" t="s">
        <v>24</v>
      </c>
      <c r="B21">
        <v>1</v>
      </c>
      <c r="C21" t="s">
        <v>4</v>
      </c>
      <c r="D21">
        <v>40</v>
      </c>
      <c r="F21" t="s">
        <v>94</v>
      </c>
      <c r="G21" s="1">
        <v>138000</v>
      </c>
      <c r="H21" s="2" t="str">
        <f t="shared" si="0"/>
        <v/>
      </c>
      <c r="I21" s="2">
        <f t="shared" si="1"/>
        <v>138000</v>
      </c>
      <c r="J21" s="2">
        <f t="shared" si="2"/>
        <v>4140</v>
      </c>
      <c r="K21" s="2" t="str">
        <f t="shared" si="3"/>
        <v>Cheap sqm price</v>
      </c>
      <c r="L21" t="str">
        <f t="shared" si="4"/>
        <v/>
      </c>
    </row>
    <row r="22" spans="1:12" x14ac:dyDescent="0.25">
      <c r="A22" t="s">
        <v>25</v>
      </c>
      <c r="B22">
        <v>6</v>
      </c>
      <c r="C22" t="s">
        <v>2</v>
      </c>
      <c r="D22">
        <v>170</v>
      </c>
      <c r="F22" t="s">
        <v>95</v>
      </c>
      <c r="G22" s="1">
        <v>1398000</v>
      </c>
      <c r="H22" s="2" t="str">
        <f t="shared" si="0"/>
        <v>Big size</v>
      </c>
      <c r="I22" s="2">
        <f t="shared" si="1"/>
        <v>1398000</v>
      </c>
      <c r="J22" s="2">
        <f t="shared" si="2"/>
        <v>69900</v>
      </c>
      <c r="K22" s="2" t="str">
        <f t="shared" si="3"/>
        <v>Expensive sqm price</v>
      </c>
      <c r="L22" t="str">
        <f t="shared" si="4"/>
        <v/>
      </c>
    </row>
    <row r="23" spans="1:12" x14ac:dyDescent="0.25">
      <c r="A23" t="s">
        <v>26</v>
      </c>
      <c r="B23">
        <v>2</v>
      </c>
      <c r="C23" t="s">
        <v>2</v>
      </c>
      <c r="D23">
        <v>65</v>
      </c>
      <c r="F23" t="s">
        <v>89</v>
      </c>
      <c r="G23" s="1">
        <v>276000</v>
      </c>
      <c r="H23" s="2" t="str">
        <f t="shared" si="0"/>
        <v/>
      </c>
      <c r="I23" s="2">
        <f t="shared" si="1"/>
        <v>276000</v>
      </c>
      <c r="J23" s="2">
        <f t="shared" si="2"/>
        <v>8280</v>
      </c>
      <c r="K23" s="2" t="str">
        <f t="shared" si="3"/>
        <v>Normal sqm price</v>
      </c>
      <c r="L23" t="str">
        <f t="shared" si="4"/>
        <v>Good deal</v>
      </c>
    </row>
    <row r="24" spans="1:12" x14ac:dyDescent="0.25">
      <c r="A24" t="s">
        <v>27</v>
      </c>
      <c r="B24">
        <v>3</v>
      </c>
      <c r="C24" t="s">
        <v>2</v>
      </c>
      <c r="D24">
        <v>85</v>
      </c>
      <c r="E24" t="s">
        <v>99</v>
      </c>
      <c r="F24" t="s">
        <v>90</v>
      </c>
      <c r="G24" s="1">
        <v>401000</v>
      </c>
      <c r="H24" s="2" t="str">
        <f t="shared" si="0"/>
        <v/>
      </c>
      <c r="I24" s="2">
        <f t="shared" si="1"/>
        <v>401000</v>
      </c>
      <c r="J24" s="2">
        <f t="shared" si="2"/>
        <v>20050</v>
      </c>
      <c r="K24" s="2" t="str">
        <f t="shared" si="3"/>
        <v>Normal sqm price</v>
      </c>
      <c r="L24" t="str">
        <f t="shared" si="4"/>
        <v>Good deal</v>
      </c>
    </row>
    <row r="25" spans="1:12" x14ac:dyDescent="0.25">
      <c r="A25" t="s">
        <v>28</v>
      </c>
      <c r="B25">
        <v>2</v>
      </c>
      <c r="C25" t="s">
        <v>3</v>
      </c>
      <c r="D25">
        <v>52</v>
      </c>
      <c r="E25" t="s">
        <v>99</v>
      </c>
      <c r="F25" t="s">
        <v>91</v>
      </c>
      <c r="G25" s="1">
        <v>270000</v>
      </c>
      <c r="H25" s="2" t="str">
        <f t="shared" si="0"/>
        <v/>
      </c>
      <c r="I25" s="2">
        <f t="shared" si="1"/>
        <v>320000</v>
      </c>
      <c r="J25" s="2">
        <f t="shared" si="2"/>
        <v>9600</v>
      </c>
      <c r="K25" s="2" t="str">
        <f t="shared" si="3"/>
        <v>Expensive sqm price</v>
      </c>
      <c r="L25" t="str">
        <f t="shared" si="4"/>
        <v/>
      </c>
    </row>
    <row r="26" spans="1:12" x14ac:dyDescent="0.25">
      <c r="A26" t="s">
        <v>29</v>
      </c>
      <c r="B26">
        <v>2</v>
      </c>
      <c r="C26" t="s">
        <v>2</v>
      </c>
      <c r="D26">
        <v>61</v>
      </c>
      <c r="F26" t="s">
        <v>92</v>
      </c>
      <c r="G26" s="1">
        <v>268000</v>
      </c>
      <c r="H26" s="2" t="str">
        <f t="shared" si="0"/>
        <v/>
      </c>
      <c r="I26" s="2">
        <f t="shared" si="1"/>
        <v>268000</v>
      </c>
      <c r="J26" s="2">
        <f t="shared" si="2"/>
        <v>8040</v>
      </c>
      <c r="K26" s="2" t="str">
        <f t="shared" si="3"/>
        <v>Normal sqm price</v>
      </c>
      <c r="L26" t="str">
        <f t="shared" si="4"/>
        <v>Good deal</v>
      </c>
    </row>
    <row r="27" spans="1:12" x14ac:dyDescent="0.25">
      <c r="A27" t="s">
        <v>30</v>
      </c>
      <c r="B27">
        <v>1</v>
      </c>
      <c r="C27" t="s">
        <v>2</v>
      </c>
      <c r="D27">
        <v>37</v>
      </c>
      <c r="E27" t="s">
        <v>99</v>
      </c>
      <c r="F27" t="s">
        <v>93</v>
      </c>
      <c r="G27" s="1">
        <v>158000</v>
      </c>
      <c r="H27" s="2" t="str">
        <f t="shared" si="0"/>
        <v/>
      </c>
      <c r="I27" s="2">
        <f t="shared" si="1"/>
        <v>158000</v>
      </c>
      <c r="J27" s="2">
        <f t="shared" si="2"/>
        <v>4740</v>
      </c>
      <c r="K27" s="2" t="str">
        <f t="shared" si="3"/>
        <v>Normal sqm price</v>
      </c>
      <c r="L27" t="str">
        <f t="shared" si="4"/>
        <v>Good deal</v>
      </c>
    </row>
    <row r="28" spans="1:12" x14ac:dyDescent="0.25">
      <c r="A28" t="s">
        <v>31</v>
      </c>
      <c r="B28">
        <v>1</v>
      </c>
      <c r="C28" t="s">
        <v>2</v>
      </c>
      <c r="D28">
        <v>30</v>
      </c>
      <c r="E28" t="s">
        <v>99</v>
      </c>
      <c r="F28" t="s">
        <v>94</v>
      </c>
      <c r="G28" s="1">
        <v>145000</v>
      </c>
      <c r="H28" s="2" t="str">
        <f t="shared" si="0"/>
        <v/>
      </c>
      <c r="I28" s="2">
        <f t="shared" si="1"/>
        <v>145000</v>
      </c>
      <c r="J28" s="2">
        <f t="shared" si="2"/>
        <v>4350</v>
      </c>
      <c r="K28" s="2" t="str">
        <f t="shared" si="3"/>
        <v>Normal sqm price</v>
      </c>
      <c r="L28" t="str">
        <f t="shared" si="4"/>
        <v>Good deal</v>
      </c>
    </row>
    <row r="29" spans="1:12" x14ac:dyDescent="0.25">
      <c r="A29" t="s">
        <v>32</v>
      </c>
      <c r="B29">
        <v>3</v>
      </c>
      <c r="C29" t="s">
        <v>3</v>
      </c>
      <c r="D29">
        <v>80</v>
      </c>
      <c r="F29" t="s">
        <v>95</v>
      </c>
      <c r="G29" s="1">
        <v>470000</v>
      </c>
      <c r="H29" s="2" t="str">
        <f t="shared" si="0"/>
        <v/>
      </c>
      <c r="I29" s="2">
        <f t="shared" si="1"/>
        <v>470000</v>
      </c>
      <c r="J29" s="2">
        <f t="shared" si="2"/>
        <v>23500</v>
      </c>
      <c r="K29" s="2" t="str">
        <f t="shared" si="3"/>
        <v>Normal sqm price</v>
      </c>
      <c r="L29" t="str">
        <f t="shared" si="4"/>
        <v/>
      </c>
    </row>
    <row r="30" spans="1:12" x14ac:dyDescent="0.25">
      <c r="A30" t="s">
        <v>33</v>
      </c>
      <c r="B30">
        <v>4</v>
      </c>
      <c r="C30" t="s">
        <v>4</v>
      </c>
      <c r="D30">
        <v>145</v>
      </c>
      <c r="F30" t="s">
        <v>89</v>
      </c>
      <c r="G30" s="1">
        <v>531000</v>
      </c>
      <c r="H30" s="2" t="str">
        <f t="shared" si="0"/>
        <v>Big size</v>
      </c>
      <c r="I30" s="2">
        <f t="shared" si="1"/>
        <v>531000</v>
      </c>
      <c r="J30" s="2">
        <f t="shared" si="2"/>
        <v>15930</v>
      </c>
      <c r="K30" s="2" t="str">
        <f t="shared" si="3"/>
        <v>Cheap sqm price</v>
      </c>
      <c r="L30" t="str">
        <f t="shared" si="4"/>
        <v/>
      </c>
    </row>
    <row r="31" spans="1:12" x14ac:dyDescent="0.25">
      <c r="A31" t="s">
        <v>34</v>
      </c>
      <c r="B31">
        <v>7</v>
      </c>
      <c r="C31" t="s">
        <v>2</v>
      </c>
      <c r="D31">
        <v>190</v>
      </c>
      <c r="F31" t="s">
        <v>90</v>
      </c>
      <c r="G31" s="1">
        <v>796000</v>
      </c>
      <c r="H31" s="2" t="str">
        <f t="shared" si="0"/>
        <v>Big size</v>
      </c>
      <c r="I31" s="2">
        <f t="shared" si="1"/>
        <v>796000</v>
      </c>
      <c r="J31" s="2">
        <f t="shared" si="2"/>
        <v>39800</v>
      </c>
      <c r="K31" s="2" t="str">
        <f t="shared" si="3"/>
        <v>Cheap sqm price</v>
      </c>
      <c r="L31" t="str">
        <f t="shared" si="4"/>
        <v>Good deal</v>
      </c>
    </row>
    <row r="32" spans="1:12" x14ac:dyDescent="0.25">
      <c r="A32" t="s">
        <v>35</v>
      </c>
      <c r="B32">
        <v>3</v>
      </c>
      <c r="C32" t="s">
        <v>4</v>
      </c>
      <c r="D32">
        <v>105</v>
      </c>
      <c r="E32" t="s">
        <v>99</v>
      </c>
      <c r="F32" t="s">
        <v>91</v>
      </c>
      <c r="G32" s="1">
        <v>400000</v>
      </c>
      <c r="H32" s="2" t="str">
        <f t="shared" si="0"/>
        <v/>
      </c>
      <c r="I32" s="2">
        <f t="shared" si="1"/>
        <v>400000</v>
      </c>
      <c r="J32" s="2">
        <f t="shared" si="2"/>
        <v>12000</v>
      </c>
      <c r="K32" s="2" t="str">
        <f t="shared" si="3"/>
        <v>Cheap sqm price</v>
      </c>
      <c r="L32" t="str">
        <f t="shared" si="4"/>
        <v/>
      </c>
    </row>
    <row r="33" spans="1:12" x14ac:dyDescent="0.25">
      <c r="A33" t="s">
        <v>36</v>
      </c>
      <c r="B33">
        <v>4</v>
      </c>
      <c r="C33" t="s">
        <v>2</v>
      </c>
      <c r="D33">
        <v>120</v>
      </c>
      <c r="E33" t="s">
        <v>99</v>
      </c>
      <c r="F33" t="s">
        <v>92</v>
      </c>
      <c r="G33" s="1">
        <v>530000</v>
      </c>
      <c r="H33" s="2" t="str">
        <f t="shared" si="0"/>
        <v>Big size</v>
      </c>
      <c r="I33" s="2">
        <f t="shared" si="1"/>
        <v>530000</v>
      </c>
      <c r="J33" s="2">
        <f t="shared" si="2"/>
        <v>15900</v>
      </c>
      <c r="K33" s="2" t="str">
        <f t="shared" si="3"/>
        <v>Normal sqm price</v>
      </c>
      <c r="L33" t="str">
        <f t="shared" si="4"/>
        <v>Good deal</v>
      </c>
    </row>
    <row r="34" spans="1:12" x14ac:dyDescent="0.25">
      <c r="A34" t="s">
        <v>37</v>
      </c>
      <c r="B34">
        <v>7</v>
      </c>
      <c r="C34" t="s">
        <v>2</v>
      </c>
      <c r="D34">
        <v>220</v>
      </c>
      <c r="F34" t="s">
        <v>93</v>
      </c>
      <c r="G34" s="1">
        <v>795000</v>
      </c>
      <c r="H34" s="2" t="str">
        <f t="shared" si="0"/>
        <v>Big size</v>
      </c>
      <c r="I34" s="2">
        <f t="shared" si="1"/>
        <v>795000</v>
      </c>
      <c r="J34" s="2">
        <f t="shared" si="2"/>
        <v>23850</v>
      </c>
      <c r="K34" s="2" t="str">
        <f t="shared" si="3"/>
        <v>Cheap sqm price</v>
      </c>
      <c r="L34" t="str">
        <f t="shared" si="4"/>
        <v>Good deal</v>
      </c>
    </row>
    <row r="35" spans="1:12" x14ac:dyDescent="0.25">
      <c r="A35" t="s">
        <v>38</v>
      </c>
      <c r="B35">
        <v>5</v>
      </c>
      <c r="C35" t="s">
        <v>2</v>
      </c>
      <c r="D35">
        <v>140</v>
      </c>
      <c r="F35" t="s">
        <v>94</v>
      </c>
      <c r="G35" s="1">
        <v>664000</v>
      </c>
      <c r="H35" s="2" t="str">
        <f t="shared" si="0"/>
        <v>Big size</v>
      </c>
      <c r="I35" s="2">
        <f t="shared" si="1"/>
        <v>664000</v>
      </c>
      <c r="J35" s="2">
        <f t="shared" si="2"/>
        <v>19920</v>
      </c>
      <c r="K35" s="2" t="str">
        <f t="shared" si="3"/>
        <v>Normal sqm price</v>
      </c>
      <c r="L35" t="str">
        <f t="shared" si="4"/>
        <v>Good deal</v>
      </c>
    </row>
    <row r="36" spans="1:12" x14ac:dyDescent="0.25">
      <c r="A36" t="s">
        <v>39</v>
      </c>
      <c r="B36">
        <v>2</v>
      </c>
      <c r="C36" t="s">
        <v>2</v>
      </c>
      <c r="D36">
        <v>60</v>
      </c>
      <c r="F36" t="s">
        <v>95</v>
      </c>
      <c r="G36" s="1">
        <v>266000</v>
      </c>
      <c r="H36" s="2" t="str">
        <f t="shared" si="0"/>
        <v/>
      </c>
      <c r="I36" s="2">
        <f t="shared" si="1"/>
        <v>266000</v>
      </c>
      <c r="J36" s="2">
        <f t="shared" si="2"/>
        <v>13300</v>
      </c>
      <c r="K36" s="2" t="str">
        <f t="shared" si="3"/>
        <v>Normal sqm price</v>
      </c>
      <c r="L36" t="str">
        <f t="shared" si="4"/>
        <v>Good deal</v>
      </c>
    </row>
    <row r="37" spans="1:12" x14ac:dyDescent="0.25">
      <c r="A37" t="s">
        <v>40</v>
      </c>
      <c r="B37">
        <v>2</v>
      </c>
      <c r="C37" t="s">
        <v>2</v>
      </c>
      <c r="D37">
        <v>55</v>
      </c>
      <c r="E37" t="s">
        <v>99</v>
      </c>
      <c r="F37" t="s">
        <v>89</v>
      </c>
      <c r="G37" s="1">
        <v>266000</v>
      </c>
      <c r="H37" s="2" t="str">
        <f t="shared" si="0"/>
        <v/>
      </c>
      <c r="I37" s="2">
        <f t="shared" si="1"/>
        <v>266000</v>
      </c>
      <c r="J37" s="2">
        <f t="shared" si="2"/>
        <v>7980</v>
      </c>
      <c r="K37" s="2" t="str">
        <f t="shared" si="3"/>
        <v>Normal sqm price</v>
      </c>
      <c r="L37" t="str">
        <f t="shared" si="4"/>
        <v>Good deal</v>
      </c>
    </row>
    <row r="38" spans="1:12" x14ac:dyDescent="0.25">
      <c r="A38" t="s">
        <v>41</v>
      </c>
      <c r="B38">
        <v>1</v>
      </c>
      <c r="C38" t="s">
        <v>4</v>
      </c>
      <c r="D38">
        <v>41</v>
      </c>
      <c r="F38" t="s">
        <v>90</v>
      </c>
      <c r="G38" s="1">
        <v>146000</v>
      </c>
      <c r="H38" s="2" t="str">
        <f t="shared" si="0"/>
        <v/>
      </c>
      <c r="I38" s="2">
        <f t="shared" si="1"/>
        <v>146000</v>
      </c>
      <c r="J38" s="2">
        <f t="shared" si="2"/>
        <v>7300</v>
      </c>
      <c r="K38" s="2" t="str">
        <f t="shared" si="3"/>
        <v>Cheap sqm price</v>
      </c>
      <c r="L38" t="str">
        <f t="shared" si="4"/>
        <v/>
      </c>
    </row>
    <row r="39" spans="1:12" x14ac:dyDescent="0.25">
      <c r="A39" t="s">
        <v>42</v>
      </c>
      <c r="B39">
        <v>1</v>
      </c>
      <c r="C39" t="s">
        <v>2</v>
      </c>
      <c r="D39">
        <v>36</v>
      </c>
      <c r="F39" t="s">
        <v>91</v>
      </c>
      <c r="G39" s="1">
        <v>140000</v>
      </c>
      <c r="H39" s="2" t="str">
        <f t="shared" si="0"/>
        <v/>
      </c>
      <c r="I39" s="2">
        <f t="shared" si="1"/>
        <v>140000</v>
      </c>
      <c r="J39" s="2">
        <f t="shared" si="2"/>
        <v>4200</v>
      </c>
      <c r="K39" s="2" t="str">
        <f t="shared" si="3"/>
        <v>Cheap sqm price</v>
      </c>
      <c r="L39" t="str">
        <f t="shared" si="4"/>
        <v>Good deal</v>
      </c>
    </row>
    <row r="40" spans="1:12" x14ac:dyDescent="0.25">
      <c r="A40" t="s">
        <v>43</v>
      </c>
      <c r="B40">
        <v>1</v>
      </c>
      <c r="C40" t="s">
        <v>3</v>
      </c>
      <c r="D40">
        <v>30</v>
      </c>
      <c r="E40" t="s">
        <v>99</v>
      </c>
      <c r="F40" t="s">
        <v>92</v>
      </c>
      <c r="G40" s="1">
        <v>209000</v>
      </c>
      <c r="H40" s="2" t="str">
        <f t="shared" si="0"/>
        <v/>
      </c>
      <c r="I40" s="2">
        <f t="shared" si="1"/>
        <v>259000</v>
      </c>
      <c r="J40" s="2">
        <f t="shared" si="2"/>
        <v>7770</v>
      </c>
      <c r="K40" s="2" t="str">
        <f t="shared" si="3"/>
        <v>Expensive sqm price</v>
      </c>
      <c r="L40" t="str">
        <f t="shared" si="4"/>
        <v/>
      </c>
    </row>
    <row r="41" spans="1:12" x14ac:dyDescent="0.25">
      <c r="A41" t="s">
        <v>44</v>
      </c>
      <c r="B41">
        <v>1</v>
      </c>
      <c r="C41" t="s">
        <v>2</v>
      </c>
      <c r="D41">
        <v>36</v>
      </c>
      <c r="F41" t="s">
        <v>93</v>
      </c>
      <c r="G41" s="1">
        <v>136000</v>
      </c>
      <c r="H41" s="2" t="str">
        <f t="shared" si="0"/>
        <v/>
      </c>
      <c r="I41" s="2">
        <f t="shared" si="1"/>
        <v>136000</v>
      </c>
      <c r="J41" s="2">
        <f t="shared" si="2"/>
        <v>4080</v>
      </c>
      <c r="K41" s="2" t="str">
        <f t="shared" si="3"/>
        <v>Cheap sqm price</v>
      </c>
      <c r="L41" t="str">
        <f t="shared" si="4"/>
        <v>Good deal</v>
      </c>
    </row>
    <row r="42" spans="1:12" x14ac:dyDescent="0.25">
      <c r="A42" t="s">
        <v>45</v>
      </c>
      <c r="B42">
        <v>4</v>
      </c>
      <c r="C42" t="s">
        <v>2</v>
      </c>
      <c r="D42">
        <v>122</v>
      </c>
      <c r="F42" t="s">
        <v>94</v>
      </c>
      <c r="G42" s="1">
        <v>530000</v>
      </c>
      <c r="H42" s="2" t="str">
        <f t="shared" si="0"/>
        <v>Big size</v>
      </c>
      <c r="I42" s="2">
        <f t="shared" si="1"/>
        <v>530000</v>
      </c>
      <c r="J42" s="2">
        <f t="shared" si="2"/>
        <v>15900</v>
      </c>
      <c r="K42" s="2" t="str">
        <f t="shared" si="3"/>
        <v>Normal sqm price</v>
      </c>
      <c r="L42" t="str">
        <f t="shared" si="4"/>
        <v>Good deal</v>
      </c>
    </row>
    <row r="43" spans="1:12" x14ac:dyDescent="0.25">
      <c r="A43" t="s">
        <v>46</v>
      </c>
      <c r="B43">
        <v>3</v>
      </c>
      <c r="C43" t="s">
        <v>2</v>
      </c>
      <c r="D43">
        <v>85</v>
      </c>
      <c r="F43" t="s">
        <v>95</v>
      </c>
      <c r="G43" s="1">
        <v>469000</v>
      </c>
      <c r="H43" s="2" t="str">
        <f t="shared" si="0"/>
        <v/>
      </c>
      <c r="I43" s="2">
        <f t="shared" si="1"/>
        <v>469000</v>
      </c>
      <c r="J43" s="2">
        <f t="shared" si="2"/>
        <v>23450</v>
      </c>
      <c r="K43" s="2" t="str">
        <f t="shared" si="3"/>
        <v>Normal sqm price</v>
      </c>
      <c r="L43" t="str">
        <f t="shared" si="4"/>
        <v/>
      </c>
    </row>
    <row r="44" spans="1:12" x14ac:dyDescent="0.25">
      <c r="A44" t="s">
        <v>47</v>
      </c>
      <c r="B44">
        <v>2</v>
      </c>
      <c r="C44" t="s">
        <v>3</v>
      </c>
      <c r="D44">
        <v>32</v>
      </c>
      <c r="E44" t="s">
        <v>99</v>
      </c>
      <c r="F44" t="s">
        <v>89</v>
      </c>
      <c r="G44" s="1">
        <v>272000</v>
      </c>
      <c r="H44" s="2" t="str">
        <f t="shared" si="0"/>
        <v/>
      </c>
      <c r="I44" s="2">
        <f t="shared" si="1"/>
        <v>322000</v>
      </c>
      <c r="J44" s="2">
        <f t="shared" si="2"/>
        <v>9660</v>
      </c>
      <c r="K44" s="2" t="str">
        <f t="shared" si="3"/>
        <v>Expensive sqm price</v>
      </c>
      <c r="L44" t="str">
        <f t="shared" si="4"/>
        <v/>
      </c>
    </row>
    <row r="45" spans="1:12" x14ac:dyDescent="0.25">
      <c r="A45" t="s">
        <v>48</v>
      </c>
      <c r="B45">
        <v>4</v>
      </c>
      <c r="C45" t="s">
        <v>2</v>
      </c>
      <c r="D45">
        <v>132</v>
      </c>
      <c r="F45" t="s">
        <v>90</v>
      </c>
      <c r="G45" s="1">
        <v>532000</v>
      </c>
      <c r="H45" s="2" t="str">
        <f t="shared" si="0"/>
        <v>Big size</v>
      </c>
      <c r="I45" s="2">
        <f t="shared" si="1"/>
        <v>532000</v>
      </c>
      <c r="J45" s="2">
        <f t="shared" si="2"/>
        <v>26600</v>
      </c>
      <c r="K45" s="2" t="str">
        <f t="shared" si="3"/>
        <v>Cheap sqm price</v>
      </c>
      <c r="L45" t="str">
        <f t="shared" si="4"/>
        <v>Good deal</v>
      </c>
    </row>
    <row r="46" spans="1:12" x14ac:dyDescent="0.25">
      <c r="A46" t="s">
        <v>49</v>
      </c>
      <c r="B46">
        <v>2</v>
      </c>
      <c r="C46" t="s">
        <v>4</v>
      </c>
      <c r="D46">
        <v>70</v>
      </c>
      <c r="F46" t="s">
        <v>91</v>
      </c>
      <c r="G46" s="1">
        <v>268000</v>
      </c>
      <c r="H46" s="2" t="str">
        <f t="shared" si="0"/>
        <v/>
      </c>
      <c r="I46" s="2">
        <f t="shared" si="1"/>
        <v>268000</v>
      </c>
      <c r="J46" s="2">
        <f t="shared" si="2"/>
        <v>8040</v>
      </c>
      <c r="K46" s="2" t="str">
        <f t="shared" si="3"/>
        <v>Cheap sqm price</v>
      </c>
      <c r="L46" t="str">
        <f t="shared" si="4"/>
        <v/>
      </c>
    </row>
    <row r="47" spans="1:12" x14ac:dyDescent="0.25">
      <c r="A47" t="s">
        <v>50</v>
      </c>
      <c r="B47">
        <v>2</v>
      </c>
      <c r="C47" t="s">
        <v>3</v>
      </c>
      <c r="D47">
        <v>56</v>
      </c>
      <c r="F47" t="s">
        <v>92</v>
      </c>
      <c r="G47" s="1">
        <v>291000</v>
      </c>
      <c r="H47" s="2" t="str">
        <f t="shared" si="0"/>
        <v/>
      </c>
      <c r="I47" s="2">
        <f t="shared" si="1"/>
        <v>291000</v>
      </c>
      <c r="J47" s="2">
        <f t="shared" si="2"/>
        <v>8730</v>
      </c>
      <c r="K47" s="2" t="str">
        <f t="shared" si="3"/>
        <v>Normal sqm price</v>
      </c>
      <c r="L47" t="str">
        <f t="shared" si="4"/>
        <v/>
      </c>
    </row>
    <row r="48" spans="1:12" x14ac:dyDescent="0.25">
      <c r="A48" t="s">
        <v>51</v>
      </c>
      <c r="B48">
        <v>4</v>
      </c>
      <c r="C48" t="s">
        <v>3</v>
      </c>
      <c r="D48">
        <v>118</v>
      </c>
      <c r="F48" t="s">
        <v>93</v>
      </c>
      <c r="G48" s="1">
        <v>532000</v>
      </c>
      <c r="H48" s="2" t="str">
        <f t="shared" si="0"/>
        <v>Big size</v>
      </c>
      <c r="I48" s="2">
        <f t="shared" si="1"/>
        <v>532000</v>
      </c>
      <c r="J48" s="2">
        <f t="shared" si="2"/>
        <v>15960</v>
      </c>
      <c r="K48" s="2" t="str">
        <f t="shared" si="3"/>
        <v>Normal sqm price</v>
      </c>
      <c r="L48" t="str">
        <f t="shared" si="4"/>
        <v>Good deal</v>
      </c>
    </row>
    <row r="49" spans="1:12" x14ac:dyDescent="0.25">
      <c r="A49" t="s">
        <v>52</v>
      </c>
      <c r="B49">
        <v>1</v>
      </c>
      <c r="C49" t="s">
        <v>2</v>
      </c>
      <c r="D49">
        <v>35</v>
      </c>
      <c r="F49" t="s">
        <v>94</v>
      </c>
      <c r="G49" s="1">
        <v>135000</v>
      </c>
      <c r="H49" s="2" t="str">
        <f t="shared" si="0"/>
        <v/>
      </c>
      <c r="I49" s="2">
        <f t="shared" si="1"/>
        <v>135000</v>
      </c>
      <c r="J49" s="2">
        <f t="shared" si="2"/>
        <v>4050</v>
      </c>
      <c r="K49" s="2" t="str">
        <f t="shared" si="3"/>
        <v>Cheap sqm price</v>
      </c>
      <c r="L49" t="str">
        <f t="shared" si="4"/>
        <v>Good deal</v>
      </c>
    </row>
    <row r="50" spans="1:12" x14ac:dyDescent="0.25">
      <c r="A50" t="s">
        <v>53</v>
      </c>
      <c r="B50">
        <v>2</v>
      </c>
      <c r="C50" t="s">
        <v>4</v>
      </c>
      <c r="D50">
        <v>72</v>
      </c>
      <c r="F50" t="s">
        <v>95</v>
      </c>
      <c r="G50" s="1">
        <v>266000</v>
      </c>
      <c r="H50" s="2" t="str">
        <f t="shared" si="0"/>
        <v/>
      </c>
      <c r="I50" s="2">
        <f t="shared" si="1"/>
        <v>266000</v>
      </c>
      <c r="J50" s="2">
        <f t="shared" si="2"/>
        <v>13300</v>
      </c>
      <c r="K50" s="2" t="str">
        <f t="shared" si="3"/>
        <v>Cheap sqm price</v>
      </c>
      <c r="L50" t="str">
        <f t="shared" si="4"/>
        <v/>
      </c>
    </row>
    <row r="51" spans="1:12" x14ac:dyDescent="0.25">
      <c r="A51" t="s">
        <v>54</v>
      </c>
      <c r="B51">
        <v>3</v>
      </c>
      <c r="C51" t="s">
        <v>2</v>
      </c>
      <c r="D51">
        <v>84</v>
      </c>
      <c r="F51" t="s">
        <v>89</v>
      </c>
      <c r="G51" s="1">
        <v>400000</v>
      </c>
      <c r="H51" s="2" t="str">
        <f t="shared" si="0"/>
        <v/>
      </c>
      <c r="I51" s="2">
        <f t="shared" si="1"/>
        <v>400000</v>
      </c>
      <c r="J51" s="2">
        <f t="shared" si="2"/>
        <v>12000</v>
      </c>
      <c r="K51" s="2" t="str">
        <f t="shared" si="3"/>
        <v>Normal sqm price</v>
      </c>
      <c r="L51" t="str">
        <f t="shared" si="4"/>
        <v>Good deal</v>
      </c>
    </row>
    <row r="52" spans="1:12" x14ac:dyDescent="0.25">
      <c r="A52" t="s">
        <v>55</v>
      </c>
      <c r="B52">
        <v>3</v>
      </c>
      <c r="C52" t="s">
        <v>4</v>
      </c>
      <c r="D52">
        <v>110</v>
      </c>
      <c r="E52" t="s">
        <v>99</v>
      </c>
      <c r="F52" t="s">
        <v>90</v>
      </c>
      <c r="G52" s="1">
        <v>398000</v>
      </c>
      <c r="H52" s="2" t="str">
        <f t="shared" si="0"/>
        <v>Big size</v>
      </c>
      <c r="I52" s="2">
        <f t="shared" si="1"/>
        <v>398000</v>
      </c>
      <c r="J52" s="2">
        <f t="shared" si="2"/>
        <v>19900</v>
      </c>
      <c r="K52" s="2" t="str">
        <f t="shared" si="3"/>
        <v>Cheap sqm price</v>
      </c>
      <c r="L52" t="str">
        <f t="shared" si="4"/>
        <v/>
      </c>
    </row>
    <row r="53" spans="1:12" x14ac:dyDescent="0.25">
      <c r="A53" t="s">
        <v>56</v>
      </c>
      <c r="B53">
        <v>4</v>
      </c>
      <c r="C53" t="s">
        <v>2</v>
      </c>
      <c r="D53">
        <v>128</v>
      </c>
      <c r="F53" t="s">
        <v>91</v>
      </c>
      <c r="G53" s="1">
        <v>531000</v>
      </c>
      <c r="H53" s="2" t="str">
        <f t="shared" si="0"/>
        <v>Big size</v>
      </c>
      <c r="I53" s="2">
        <f t="shared" si="1"/>
        <v>531000</v>
      </c>
      <c r="J53" s="2">
        <f t="shared" si="2"/>
        <v>15930</v>
      </c>
      <c r="K53" s="2" t="str">
        <f t="shared" si="3"/>
        <v>Cheap sqm price</v>
      </c>
      <c r="L53" t="str">
        <f t="shared" si="4"/>
        <v>Good deal</v>
      </c>
    </row>
    <row r="54" spans="1:12" x14ac:dyDescent="0.25">
      <c r="A54" t="s">
        <v>57</v>
      </c>
      <c r="B54">
        <v>1</v>
      </c>
      <c r="C54" t="s">
        <v>2</v>
      </c>
      <c r="D54">
        <v>33</v>
      </c>
      <c r="E54" t="s">
        <v>99</v>
      </c>
      <c r="F54" t="s">
        <v>92</v>
      </c>
      <c r="G54" s="1">
        <v>135000</v>
      </c>
      <c r="H54" s="2" t="str">
        <f t="shared" si="0"/>
        <v/>
      </c>
      <c r="I54" s="2">
        <f t="shared" si="1"/>
        <v>135000</v>
      </c>
      <c r="J54" s="2">
        <f t="shared" si="2"/>
        <v>4050</v>
      </c>
      <c r="K54" s="2" t="str">
        <f t="shared" si="3"/>
        <v>Cheap sqm price</v>
      </c>
      <c r="L54" t="str">
        <f t="shared" si="4"/>
        <v>Good deal</v>
      </c>
    </row>
    <row r="55" spans="1:12" x14ac:dyDescent="0.25">
      <c r="A55" t="s">
        <v>58</v>
      </c>
      <c r="B55">
        <v>5</v>
      </c>
      <c r="C55" t="s">
        <v>3</v>
      </c>
      <c r="D55">
        <v>123</v>
      </c>
      <c r="E55" t="s">
        <v>99</v>
      </c>
      <c r="F55" t="s">
        <v>94</v>
      </c>
      <c r="G55" s="1">
        <v>588000</v>
      </c>
      <c r="H55" s="2" t="str">
        <f t="shared" si="0"/>
        <v>Big size</v>
      </c>
      <c r="I55" s="2">
        <f t="shared" si="1"/>
        <v>638000</v>
      </c>
      <c r="J55" s="2">
        <f t="shared" si="2"/>
        <v>19140</v>
      </c>
      <c r="K55" s="2" t="str">
        <f t="shared" si="3"/>
        <v>Normal sqm price</v>
      </c>
      <c r="L55" t="str">
        <f t="shared" si="4"/>
        <v/>
      </c>
    </row>
    <row r="56" spans="1:12" x14ac:dyDescent="0.25">
      <c r="A56" t="s">
        <v>59</v>
      </c>
      <c r="B56">
        <v>2</v>
      </c>
      <c r="C56" t="s">
        <v>2</v>
      </c>
      <c r="D56">
        <v>48</v>
      </c>
      <c r="F56" t="s">
        <v>93</v>
      </c>
      <c r="G56" s="1">
        <v>167000</v>
      </c>
      <c r="H56" s="2" t="str">
        <f t="shared" si="0"/>
        <v/>
      </c>
      <c r="I56" s="2">
        <f t="shared" si="1"/>
        <v>167000</v>
      </c>
      <c r="J56" s="2">
        <f t="shared" si="2"/>
        <v>5010</v>
      </c>
      <c r="K56" s="2" t="str">
        <f t="shared" si="3"/>
        <v>Cheap sqm price</v>
      </c>
      <c r="L56" t="str">
        <f t="shared" si="4"/>
        <v>Good deal</v>
      </c>
    </row>
    <row r="57" spans="1:12" x14ac:dyDescent="0.25">
      <c r="A57" t="s">
        <v>60</v>
      </c>
      <c r="B57">
        <v>4</v>
      </c>
      <c r="C57" t="s">
        <v>2</v>
      </c>
      <c r="D57">
        <v>120</v>
      </c>
      <c r="F57" t="s">
        <v>95</v>
      </c>
      <c r="G57" s="1">
        <v>712000</v>
      </c>
      <c r="H57" s="2" t="str">
        <f t="shared" si="0"/>
        <v>Big size</v>
      </c>
      <c r="I57" s="2">
        <f t="shared" si="1"/>
        <v>712000</v>
      </c>
      <c r="J57" s="2">
        <f t="shared" si="2"/>
        <v>35600</v>
      </c>
      <c r="K57" s="2" t="str">
        <f t="shared" si="3"/>
        <v>Normal sqm price</v>
      </c>
      <c r="L57" t="str">
        <f t="shared" si="4"/>
        <v/>
      </c>
    </row>
    <row r="58" spans="1:12" x14ac:dyDescent="0.25">
      <c r="A58" t="s">
        <v>61</v>
      </c>
      <c r="B58">
        <v>4</v>
      </c>
      <c r="C58" t="s">
        <v>3</v>
      </c>
      <c r="D58">
        <v>116</v>
      </c>
      <c r="F58" t="s">
        <v>93</v>
      </c>
      <c r="G58" s="1">
        <v>739000</v>
      </c>
      <c r="H58" s="2" t="str">
        <f t="shared" si="0"/>
        <v>Big size</v>
      </c>
      <c r="I58" s="2">
        <f t="shared" si="1"/>
        <v>739000</v>
      </c>
      <c r="J58" s="2">
        <f t="shared" si="2"/>
        <v>22170</v>
      </c>
      <c r="K58" s="2" t="str">
        <f t="shared" si="3"/>
        <v>Expensive sqm price</v>
      </c>
      <c r="L58" t="str">
        <f t="shared" si="4"/>
        <v/>
      </c>
    </row>
    <row r="59" spans="1:12" x14ac:dyDescent="0.25">
      <c r="A59" t="s">
        <v>62</v>
      </c>
      <c r="B59">
        <v>3</v>
      </c>
      <c r="C59" t="s">
        <v>2</v>
      </c>
      <c r="D59">
        <v>95</v>
      </c>
      <c r="E59" t="s">
        <v>99</v>
      </c>
      <c r="F59" t="s">
        <v>89</v>
      </c>
      <c r="G59" s="1">
        <v>455000</v>
      </c>
      <c r="H59" s="2" t="str">
        <f t="shared" si="0"/>
        <v/>
      </c>
      <c r="I59" s="2">
        <f t="shared" si="1"/>
        <v>455000</v>
      </c>
      <c r="J59" s="2">
        <f t="shared" si="2"/>
        <v>13650</v>
      </c>
      <c r="K59" s="2" t="str">
        <f t="shared" si="3"/>
        <v>Normal sqm price</v>
      </c>
      <c r="L59" t="str">
        <f t="shared" si="4"/>
        <v>Good deal</v>
      </c>
    </row>
    <row r="60" spans="1:12" x14ac:dyDescent="0.25">
      <c r="A60" t="s">
        <v>63</v>
      </c>
      <c r="B60">
        <v>1</v>
      </c>
      <c r="C60" t="s">
        <v>2</v>
      </c>
      <c r="D60">
        <v>38</v>
      </c>
      <c r="E60" t="s">
        <v>99</v>
      </c>
      <c r="F60" t="s">
        <v>92</v>
      </c>
      <c r="G60" s="1">
        <v>146000</v>
      </c>
      <c r="H60" s="2" t="str">
        <f t="shared" si="0"/>
        <v/>
      </c>
      <c r="I60" s="2">
        <f t="shared" si="1"/>
        <v>146000</v>
      </c>
      <c r="J60" s="2">
        <f t="shared" si="2"/>
        <v>4380</v>
      </c>
      <c r="K60" s="2" t="str">
        <f t="shared" si="3"/>
        <v>Cheap sqm price</v>
      </c>
      <c r="L60" t="str">
        <f t="shared" si="4"/>
        <v>Good deal</v>
      </c>
    </row>
    <row r="61" spans="1:12" x14ac:dyDescent="0.25">
      <c r="A61" t="s">
        <v>64</v>
      </c>
      <c r="B61">
        <v>3</v>
      </c>
      <c r="C61" t="s">
        <v>2</v>
      </c>
      <c r="D61">
        <v>70</v>
      </c>
      <c r="E61" t="s">
        <v>99</v>
      </c>
      <c r="F61" t="s">
        <v>91</v>
      </c>
      <c r="G61" s="1">
        <v>301000</v>
      </c>
      <c r="H61" s="2" t="str">
        <f t="shared" si="0"/>
        <v/>
      </c>
      <c r="I61" s="2">
        <f t="shared" si="1"/>
        <v>301000</v>
      </c>
      <c r="J61" s="2">
        <f t="shared" si="2"/>
        <v>9030</v>
      </c>
      <c r="K61" s="2" t="str">
        <f t="shared" si="3"/>
        <v>Normal sqm price</v>
      </c>
      <c r="L61" t="str">
        <f t="shared" si="4"/>
        <v>Good deal</v>
      </c>
    </row>
    <row r="62" spans="1:12" x14ac:dyDescent="0.25">
      <c r="A62" t="s">
        <v>65</v>
      </c>
      <c r="B62">
        <v>2</v>
      </c>
      <c r="C62" t="s">
        <v>3</v>
      </c>
      <c r="D62">
        <v>67</v>
      </c>
      <c r="F62" t="s">
        <v>92</v>
      </c>
      <c r="G62" s="1">
        <v>245000</v>
      </c>
      <c r="H62" s="2" t="str">
        <f t="shared" si="0"/>
        <v/>
      </c>
      <c r="I62" s="2">
        <f t="shared" si="1"/>
        <v>245000</v>
      </c>
      <c r="J62" s="2">
        <f t="shared" si="2"/>
        <v>7350</v>
      </c>
      <c r="K62" s="2" t="str">
        <f t="shared" si="3"/>
        <v>Cheap sqm price</v>
      </c>
      <c r="L62" t="str">
        <f t="shared" si="4"/>
        <v>Good deal</v>
      </c>
    </row>
    <row r="63" spans="1:12" x14ac:dyDescent="0.25">
      <c r="A63" t="s">
        <v>66</v>
      </c>
      <c r="B63">
        <v>3</v>
      </c>
      <c r="C63" t="s">
        <v>2</v>
      </c>
      <c r="D63">
        <v>86</v>
      </c>
      <c r="F63" t="s">
        <v>94</v>
      </c>
      <c r="G63" s="1">
        <v>415000</v>
      </c>
      <c r="H63" s="2" t="str">
        <f t="shared" si="0"/>
        <v/>
      </c>
      <c r="I63" s="2">
        <f t="shared" si="1"/>
        <v>415000</v>
      </c>
      <c r="J63" s="2">
        <f t="shared" si="2"/>
        <v>12450</v>
      </c>
      <c r="K63" s="2" t="str">
        <f t="shared" si="3"/>
        <v>Normal sqm price</v>
      </c>
      <c r="L63" t="str">
        <f t="shared" si="4"/>
        <v>Good deal</v>
      </c>
    </row>
    <row r="64" spans="1:12" x14ac:dyDescent="0.25">
      <c r="A64" t="s">
        <v>67</v>
      </c>
      <c r="B64">
        <v>4</v>
      </c>
      <c r="C64" t="s">
        <v>2</v>
      </c>
      <c r="D64">
        <v>143</v>
      </c>
      <c r="E64" t="s">
        <v>99</v>
      </c>
      <c r="F64" t="s">
        <v>92</v>
      </c>
      <c r="G64" s="1">
        <v>889000</v>
      </c>
      <c r="H64" s="2" t="str">
        <f t="shared" si="0"/>
        <v>Big size</v>
      </c>
      <c r="I64" s="2">
        <f t="shared" si="1"/>
        <v>889000</v>
      </c>
      <c r="J64" s="2">
        <f t="shared" si="2"/>
        <v>26670</v>
      </c>
      <c r="K64" s="2" t="str">
        <f t="shared" si="3"/>
        <v>Expensive sqm price</v>
      </c>
      <c r="L64" t="str">
        <f t="shared" si="4"/>
        <v/>
      </c>
    </row>
    <row r="65" spans="1:12" x14ac:dyDescent="0.25">
      <c r="A65" t="s">
        <v>68</v>
      </c>
      <c r="B65">
        <v>5</v>
      </c>
      <c r="C65" t="s">
        <v>3</v>
      </c>
      <c r="D65">
        <v>147</v>
      </c>
      <c r="E65" t="s">
        <v>99</v>
      </c>
      <c r="F65" t="s">
        <v>91</v>
      </c>
      <c r="G65" s="1">
        <v>862000</v>
      </c>
      <c r="H65" s="2" t="str">
        <f t="shared" si="0"/>
        <v>Big size</v>
      </c>
      <c r="I65" s="2">
        <f t="shared" si="1"/>
        <v>912000</v>
      </c>
      <c r="J65" s="2">
        <f t="shared" si="2"/>
        <v>27360</v>
      </c>
      <c r="K65" s="2" t="str">
        <f t="shared" si="3"/>
        <v>Expensive sqm price</v>
      </c>
      <c r="L65" t="str">
        <f t="shared" si="4"/>
        <v/>
      </c>
    </row>
    <row r="66" spans="1:12" x14ac:dyDescent="0.25">
      <c r="A66" t="s">
        <v>69</v>
      </c>
      <c r="B66">
        <v>3</v>
      </c>
      <c r="C66" t="s">
        <v>4</v>
      </c>
      <c r="D66">
        <v>78</v>
      </c>
      <c r="E66" t="s">
        <v>99</v>
      </c>
      <c r="F66" t="s">
        <v>91</v>
      </c>
      <c r="G66" s="1">
        <v>326000</v>
      </c>
      <c r="H66" s="2" t="str">
        <f t="shared" si="0"/>
        <v/>
      </c>
      <c r="I66" s="2">
        <f t="shared" si="1"/>
        <v>326000</v>
      </c>
      <c r="J66" s="2">
        <f t="shared" si="2"/>
        <v>9780</v>
      </c>
      <c r="K66" s="2" t="str">
        <f t="shared" si="3"/>
        <v>Cheap sqm price</v>
      </c>
      <c r="L66" t="str">
        <f t="shared" si="4"/>
        <v/>
      </c>
    </row>
    <row r="67" spans="1:12" x14ac:dyDescent="0.25">
      <c r="A67" t="s">
        <v>70</v>
      </c>
      <c r="B67">
        <v>4</v>
      </c>
      <c r="C67" t="s">
        <v>2</v>
      </c>
      <c r="D67">
        <v>115</v>
      </c>
      <c r="F67" t="s">
        <v>93</v>
      </c>
      <c r="G67" s="1">
        <v>547000</v>
      </c>
      <c r="H67" s="2" t="str">
        <f t="shared" ref="H67:H84" si="5">IF(D67&gt;=110,"Big size","")</f>
        <v>Big size</v>
      </c>
      <c r="I67" s="2">
        <f t="shared" ref="I67:I84" si="6">IF(AND(E67="Yes",C67="Excellent"),G67+50000,G67)</f>
        <v>547000</v>
      </c>
      <c r="J67" s="2">
        <f t="shared" ref="J67:J84" si="7">IF(OR(F67="C02",F67="A06"),I67*0.05,I67*0.03)</f>
        <v>16410</v>
      </c>
      <c r="K67" s="2" t="str">
        <f t="shared" ref="K67:K84" si="8">IF(I67/D67&lt;4200,"Cheap sqm price",IF(I67/D67&gt;6000,"Expensive sqm price","Normal sqm price"))</f>
        <v>Normal sqm price</v>
      </c>
      <c r="L67" t="str">
        <f t="shared" ref="L67:L84" si="9">IF(AND(OR(C67="Excellent",C67="Normal"),I67/D67&lt;5000),"Good deal","")</f>
        <v>Good deal</v>
      </c>
    </row>
    <row r="68" spans="1:12" x14ac:dyDescent="0.25">
      <c r="A68" t="s">
        <v>71</v>
      </c>
      <c r="B68">
        <v>3</v>
      </c>
      <c r="C68" t="s">
        <v>3</v>
      </c>
      <c r="D68">
        <v>92</v>
      </c>
      <c r="F68" t="s">
        <v>89</v>
      </c>
      <c r="G68" s="1">
        <v>536000</v>
      </c>
      <c r="H68" s="2" t="str">
        <f t="shared" si="5"/>
        <v/>
      </c>
      <c r="I68" s="2">
        <f t="shared" si="6"/>
        <v>536000</v>
      </c>
      <c r="J68" s="2">
        <f t="shared" si="7"/>
        <v>16080</v>
      </c>
      <c r="K68" s="2" t="str">
        <f t="shared" si="8"/>
        <v>Normal sqm price</v>
      </c>
      <c r="L68" t="str">
        <f t="shared" si="9"/>
        <v/>
      </c>
    </row>
    <row r="69" spans="1:12" x14ac:dyDescent="0.25">
      <c r="A69" t="s">
        <v>72</v>
      </c>
      <c r="B69">
        <v>6</v>
      </c>
      <c r="C69" t="s">
        <v>4</v>
      </c>
      <c r="D69">
        <v>153</v>
      </c>
      <c r="E69" t="s">
        <v>99</v>
      </c>
      <c r="F69" t="s">
        <v>94</v>
      </c>
      <c r="G69" s="1">
        <v>926000</v>
      </c>
      <c r="H69" s="2" t="str">
        <f t="shared" si="5"/>
        <v>Big size</v>
      </c>
      <c r="I69" s="2">
        <f t="shared" si="6"/>
        <v>926000</v>
      </c>
      <c r="J69" s="2">
        <f t="shared" si="7"/>
        <v>27780</v>
      </c>
      <c r="K69" s="2" t="str">
        <f t="shared" si="8"/>
        <v>Expensive sqm price</v>
      </c>
      <c r="L69" t="str">
        <f t="shared" si="9"/>
        <v/>
      </c>
    </row>
    <row r="70" spans="1:12" x14ac:dyDescent="0.25">
      <c r="A70" t="s">
        <v>73</v>
      </c>
      <c r="B70">
        <v>3</v>
      </c>
      <c r="C70" t="s">
        <v>3</v>
      </c>
      <c r="D70">
        <v>71</v>
      </c>
      <c r="F70" t="s">
        <v>91</v>
      </c>
      <c r="G70" s="1">
        <v>257000</v>
      </c>
      <c r="H70" s="2" t="str">
        <f t="shared" si="5"/>
        <v/>
      </c>
      <c r="I70" s="2">
        <f t="shared" si="6"/>
        <v>257000</v>
      </c>
      <c r="J70" s="2">
        <f t="shared" si="7"/>
        <v>7710</v>
      </c>
      <c r="K70" s="2" t="str">
        <f t="shared" si="8"/>
        <v>Cheap sqm price</v>
      </c>
      <c r="L70" t="str">
        <f t="shared" si="9"/>
        <v>Good deal</v>
      </c>
    </row>
    <row r="71" spans="1:12" x14ac:dyDescent="0.25">
      <c r="A71" t="s">
        <v>74</v>
      </c>
      <c r="B71">
        <v>6</v>
      </c>
      <c r="C71" t="s">
        <v>3</v>
      </c>
      <c r="D71">
        <v>150</v>
      </c>
      <c r="F71" t="s">
        <v>93</v>
      </c>
      <c r="G71" s="1">
        <v>872000</v>
      </c>
      <c r="H71" s="2" t="str">
        <f t="shared" si="5"/>
        <v>Big size</v>
      </c>
      <c r="I71" s="2">
        <f t="shared" si="6"/>
        <v>872000</v>
      </c>
      <c r="J71" s="2">
        <f t="shared" si="7"/>
        <v>26160</v>
      </c>
      <c r="K71" s="2" t="str">
        <f t="shared" si="8"/>
        <v>Normal sqm price</v>
      </c>
      <c r="L71" t="str">
        <f t="shared" si="9"/>
        <v/>
      </c>
    </row>
    <row r="72" spans="1:12" x14ac:dyDescent="0.25">
      <c r="A72" t="s">
        <v>75</v>
      </c>
      <c r="B72">
        <v>2</v>
      </c>
      <c r="C72" t="s">
        <v>4</v>
      </c>
      <c r="D72">
        <v>41</v>
      </c>
      <c r="F72" t="s">
        <v>89</v>
      </c>
      <c r="G72" s="1">
        <v>178000</v>
      </c>
      <c r="H72" s="2" t="str">
        <f t="shared" si="5"/>
        <v/>
      </c>
      <c r="I72" s="2">
        <f t="shared" si="6"/>
        <v>178000</v>
      </c>
      <c r="J72" s="2">
        <f t="shared" si="7"/>
        <v>5340</v>
      </c>
      <c r="K72" s="2" t="str">
        <f t="shared" si="8"/>
        <v>Normal sqm price</v>
      </c>
      <c r="L72" t="str">
        <f t="shared" si="9"/>
        <v/>
      </c>
    </row>
    <row r="73" spans="1:12" x14ac:dyDescent="0.25">
      <c r="A73" t="s">
        <v>76</v>
      </c>
      <c r="B73">
        <v>4</v>
      </c>
      <c r="C73" t="s">
        <v>2</v>
      </c>
      <c r="D73">
        <v>99</v>
      </c>
      <c r="F73" t="s">
        <v>90</v>
      </c>
      <c r="G73" s="1">
        <v>577000</v>
      </c>
      <c r="H73" s="2" t="str">
        <f t="shared" si="5"/>
        <v/>
      </c>
      <c r="I73" s="2">
        <f t="shared" si="6"/>
        <v>577000</v>
      </c>
      <c r="J73" s="2">
        <f t="shared" si="7"/>
        <v>28850</v>
      </c>
      <c r="K73" s="2" t="str">
        <f t="shared" si="8"/>
        <v>Normal sqm price</v>
      </c>
      <c r="L73" t="str">
        <f t="shared" si="9"/>
        <v/>
      </c>
    </row>
    <row r="74" spans="1:12" x14ac:dyDescent="0.25">
      <c r="A74" t="s">
        <v>77</v>
      </c>
      <c r="B74">
        <v>3</v>
      </c>
      <c r="C74" t="s">
        <v>3</v>
      </c>
      <c r="D74">
        <v>70</v>
      </c>
      <c r="F74" t="s">
        <v>91</v>
      </c>
      <c r="G74" s="1">
        <v>281000</v>
      </c>
      <c r="H74" s="2" t="str">
        <f t="shared" si="5"/>
        <v/>
      </c>
      <c r="I74" s="2">
        <f t="shared" si="6"/>
        <v>281000</v>
      </c>
      <c r="J74" s="2">
        <f t="shared" si="7"/>
        <v>8430</v>
      </c>
      <c r="K74" s="2" t="str">
        <f t="shared" si="8"/>
        <v>Cheap sqm price</v>
      </c>
      <c r="L74" t="str">
        <f t="shared" si="9"/>
        <v>Good deal</v>
      </c>
    </row>
    <row r="75" spans="1:12" x14ac:dyDescent="0.25">
      <c r="A75" t="s">
        <v>78</v>
      </c>
      <c r="B75">
        <v>6</v>
      </c>
      <c r="C75" t="s">
        <v>4</v>
      </c>
      <c r="D75">
        <v>147</v>
      </c>
      <c r="F75" t="s">
        <v>95</v>
      </c>
      <c r="G75" s="1">
        <v>927000</v>
      </c>
      <c r="H75" s="2" t="str">
        <f t="shared" si="5"/>
        <v>Big size</v>
      </c>
      <c r="I75" s="2">
        <f t="shared" si="6"/>
        <v>927000</v>
      </c>
      <c r="J75" s="2">
        <f t="shared" si="7"/>
        <v>46350</v>
      </c>
      <c r="K75" s="2" t="str">
        <f t="shared" si="8"/>
        <v>Expensive sqm price</v>
      </c>
      <c r="L75" t="str">
        <f t="shared" si="9"/>
        <v/>
      </c>
    </row>
    <row r="76" spans="1:12" x14ac:dyDescent="0.25">
      <c r="A76" t="s">
        <v>79</v>
      </c>
      <c r="B76">
        <v>4</v>
      </c>
      <c r="C76" t="s">
        <v>3</v>
      </c>
      <c r="D76">
        <v>105</v>
      </c>
      <c r="E76" t="s">
        <v>99</v>
      </c>
      <c r="F76" t="s">
        <v>94</v>
      </c>
      <c r="G76" s="1">
        <v>658000</v>
      </c>
      <c r="H76" s="2" t="str">
        <f t="shared" si="5"/>
        <v/>
      </c>
      <c r="I76" s="2">
        <f t="shared" si="6"/>
        <v>708000</v>
      </c>
      <c r="J76" s="2">
        <f t="shared" si="7"/>
        <v>21240</v>
      </c>
      <c r="K76" s="2" t="str">
        <f t="shared" si="8"/>
        <v>Expensive sqm price</v>
      </c>
      <c r="L76" t="str">
        <f t="shared" si="9"/>
        <v/>
      </c>
    </row>
    <row r="77" spans="1:12" x14ac:dyDescent="0.25">
      <c r="A77" t="s">
        <v>80</v>
      </c>
      <c r="B77">
        <v>5</v>
      </c>
      <c r="C77" t="s">
        <v>3</v>
      </c>
      <c r="D77">
        <v>156</v>
      </c>
      <c r="E77" t="s">
        <v>99</v>
      </c>
      <c r="F77" t="s">
        <v>92</v>
      </c>
      <c r="G77" s="1">
        <v>997000</v>
      </c>
      <c r="H77" s="2" t="str">
        <f t="shared" si="5"/>
        <v>Big size</v>
      </c>
      <c r="I77" s="2">
        <f t="shared" si="6"/>
        <v>1047000</v>
      </c>
      <c r="J77" s="2">
        <f t="shared" si="7"/>
        <v>31410</v>
      </c>
      <c r="K77" s="2" t="str">
        <f t="shared" si="8"/>
        <v>Expensive sqm price</v>
      </c>
      <c r="L77" t="str">
        <f t="shared" si="9"/>
        <v/>
      </c>
    </row>
    <row r="78" spans="1:12" x14ac:dyDescent="0.25">
      <c r="A78" t="s">
        <v>81</v>
      </c>
      <c r="B78">
        <v>5</v>
      </c>
      <c r="C78" t="s">
        <v>3</v>
      </c>
      <c r="D78">
        <v>134</v>
      </c>
      <c r="F78" t="s">
        <v>94</v>
      </c>
      <c r="G78" s="1">
        <v>759000</v>
      </c>
      <c r="H78" s="2" t="str">
        <f t="shared" si="5"/>
        <v>Big size</v>
      </c>
      <c r="I78" s="2">
        <f t="shared" si="6"/>
        <v>759000</v>
      </c>
      <c r="J78" s="2">
        <f t="shared" si="7"/>
        <v>22770</v>
      </c>
      <c r="K78" s="2" t="str">
        <f t="shared" si="8"/>
        <v>Normal sqm price</v>
      </c>
      <c r="L78" t="str">
        <f t="shared" si="9"/>
        <v/>
      </c>
    </row>
    <row r="79" spans="1:12" x14ac:dyDescent="0.25">
      <c r="A79" t="s">
        <v>82</v>
      </c>
      <c r="B79">
        <v>3</v>
      </c>
      <c r="C79" t="s">
        <v>2</v>
      </c>
      <c r="D79">
        <v>96</v>
      </c>
      <c r="E79" t="s">
        <v>99</v>
      </c>
      <c r="F79" t="s">
        <v>91</v>
      </c>
      <c r="G79" s="1">
        <v>471000</v>
      </c>
      <c r="H79" s="2" t="str">
        <f t="shared" si="5"/>
        <v/>
      </c>
      <c r="I79" s="2">
        <f t="shared" si="6"/>
        <v>471000</v>
      </c>
      <c r="J79" s="2">
        <f t="shared" si="7"/>
        <v>14130</v>
      </c>
      <c r="K79" s="2" t="str">
        <f t="shared" si="8"/>
        <v>Normal sqm price</v>
      </c>
      <c r="L79" t="str">
        <f t="shared" si="9"/>
        <v>Good deal</v>
      </c>
    </row>
    <row r="80" spans="1:12" x14ac:dyDescent="0.25">
      <c r="A80" t="s">
        <v>83</v>
      </c>
      <c r="B80">
        <v>2</v>
      </c>
      <c r="C80" t="s">
        <v>2</v>
      </c>
      <c r="D80">
        <v>60</v>
      </c>
      <c r="F80" t="s">
        <v>95</v>
      </c>
      <c r="G80" s="1">
        <v>234000</v>
      </c>
      <c r="H80" s="2" t="str">
        <f t="shared" si="5"/>
        <v/>
      </c>
      <c r="I80" s="2">
        <f t="shared" si="6"/>
        <v>234000</v>
      </c>
      <c r="J80" s="2">
        <f t="shared" si="7"/>
        <v>11700</v>
      </c>
      <c r="K80" s="2" t="str">
        <f t="shared" si="8"/>
        <v>Cheap sqm price</v>
      </c>
      <c r="L80" t="str">
        <f t="shared" si="9"/>
        <v>Good deal</v>
      </c>
    </row>
    <row r="81" spans="1:12" x14ac:dyDescent="0.25">
      <c r="A81" t="s">
        <v>84</v>
      </c>
      <c r="B81">
        <v>2</v>
      </c>
      <c r="C81" t="s">
        <v>3</v>
      </c>
      <c r="D81">
        <v>44</v>
      </c>
      <c r="F81" t="s">
        <v>89</v>
      </c>
      <c r="G81" s="1">
        <v>171000</v>
      </c>
      <c r="H81" s="2" t="str">
        <f t="shared" si="5"/>
        <v/>
      </c>
      <c r="I81" s="2">
        <f t="shared" si="6"/>
        <v>171000</v>
      </c>
      <c r="J81" s="2">
        <f t="shared" si="7"/>
        <v>5130</v>
      </c>
      <c r="K81" s="2" t="str">
        <f t="shared" si="8"/>
        <v>Cheap sqm price</v>
      </c>
      <c r="L81" t="str">
        <f t="shared" si="9"/>
        <v>Good deal</v>
      </c>
    </row>
    <row r="82" spans="1:12" x14ac:dyDescent="0.25">
      <c r="A82" t="s">
        <v>85</v>
      </c>
      <c r="B82">
        <v>5</v>
      </c>
      <c r="C82" t="s">
        <v>4</v>
      </c>
      <c r="D82">
        <v>136</v>
      </c>
      <c r="F82" t="s">
        <v>94</v>
      </c>
      <c r="G82" s="1">
        <v>834000</v>
      </c>
      <c r="H82" s="2" t="str">
        <f t="shared" si="5"/>
        <v>Big size</v>
      </c>
      <c r="I82" s="2">
        <f t="shared" si="6"/>
        <v>834000</v>
      </c>
      <c r="J82" s="2">
        <f t="shared" si="7"/>
        <v>25020</v>
      </c>
      <c r="K82" s="2" t="str">
        <f t="shared" si="8"/>
        <v>Expensive sqm price</v>
      </c>
      <c r="L82" t="str">
        <f t="shared" si="9"/>
        <v/>
      </c>
    </row>
    <row r="83" spans="1:12" x14ac:dyDescent="0.25">
      <c r="A83" t="s">
        <v>86</v>
      </c>
      <c r="B83">
        <v>2</v>
      </c>
      <c r="C83" t="s">
        <v>2</v>
      </c>
      <c r="D83">
        <v>41</v>
      </c>
      <c r="F83" t="s">
        <v>93</v>
      </c>
      <c r="G83" s="1">
        <v>178000</v>
      </c>
      <c r="H83" s="2" t="str">
        <f t="shared" si="5"/>
        <v/>
      </c>
      <c r="I83" s="2">
        <f t="shared" si="6"/>
        <v>178000</v>
      </c>
      <c r="J83" s="2">
        <f t="shared" si="7"/>
        <v>5340</v>
      </c>
      <c r="K83" s="2" t="str">
        <f t="shared" si="8"/>
        <v>Normal sqm price</v>
      </c>
      <c r="L83" t="str">
        <f t="shared" si="9"/>
        <v>Good deal</v>
      </c>
    </row>
    <row r="84" spans="1:12" x14ac:dyDescent="0.25">
      <c r="A84" t="s">
        <v>87</v>
      </c>
      <c r="B84">
        <v>6</v>
      </c>
      <c r="C84" t="s">
        <v>2</v>
      </c>
      <c r="D84">
        <v>150</v>
      </c>
      <c r="F84" t="s">
        <v>91</v>
      </c>
      <c r="G84" s="1">
        <v>864000</v>
      </c>
      <c r="H84" s="2" t="str">
        <f t="shared" si="5"/>
        <v>Big size</v>
      </c>
      <c r="I84" s="2">
        <f t="shared" si="6"/>
        <v>864000</v>
      </c>
      <c r="J84" s="2">
        <f t="shared" si="7"/>
        <v>25920</v>
      </c>
      <c r="K84" s="2" t="str">
        <f t="shared" si="8"/>
        <v>Normal sqm price</v>
      </c>
      <c r="L84" t="str">
        <f t="shared" si="9"/>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Case development</vt:lpstr>
      <vt:lpstr>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dc:creator>
  <cp:lastModifiedBy>Maurizio De Pra</cp:lastModifiedBy>
  <dcterms:created xsi:type="dcterms:W3CDTF">2015-06-05T18:17:20Z</dcterms:created>
  <dcterms:modified xsi:type="dcterms:W3CDTF">2025-02-08T10:29:40Z</dcterms:modified>
</cp:coreProperties>
</file>
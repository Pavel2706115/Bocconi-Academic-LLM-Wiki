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bocconi-my.sharepoint.com/personal/pavel_andreev_studbocconi_it/Documents/30424 COMPUTER SCIENCE/30424 ENG - 04 - Lesson 4/"/>
    </mc:Choice>
  </mc:AlternateContent>
  <xr:revisionPtr revIDLastSave="69" documentId="13_ncr:1_{28DA4EF1-0CBF-4778-A558-A04018CCCCA2}" xr6:coauthVersionLast="47" xr6:coauthVersionMax="47" xr10:uidLastSave="{8C569A6B-8A43-483B-B51D-D05D02066758}"/>
  <bookViews>
    <workbookView xWindow="-108" yWindow="-108" windowWidth="23256" windowHeight="12456" xr2:uid="{00000000-000D-0000-FFFF-FFFF00000000}"/>
  </bookViews>
  <sheets>
    <sheet name="Sales" sheetId="2" r:id="rId1"/>
  </sheets>
  <definedNames>
    <definedName name="_xlnm._FilterDatabase" localSheetId="0" hidden="1">Sales!$A$1:$G$84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 a="1"/>
  <c r="K3" i="2"/>
  <c r="K4" i="2" a="1"/>
  <c r="K4" i="2"/>
  <c r="K5" i="2" a="1"/>
  <c r="K5" i="2"/>
  <c r="K6" i="2" a="1"/>
  <c r="K6" i="2"/>
  <c r="K7" i="2" a="1"/>
  <c r="K7" i="2"/>
  <c r="K8" i="2" a="1"/>
  <c r="K8" i="2"/>
  <c r="K9" i="2" a="1"/>
  <c r="K9" i="2"/>
  <c r="K10" i="2" a="1"/>
  <c r="K10" i="2"/>
  <c r="K11" i="2" a="1"/>
  <c r="K11" i="2"/>
  <c r="K12" i="2" a="1"/>
  <c r="K12" i="2"/>
  <c r="K13" i="2" a="1"/>
  <c r="K13" i="2"/>
  <c r="K14" i="2" a="1"/>
  <c r="K14" i="2"/>
  <c r="K15" i="2" a="1"/>
  <c r="K15" i="2"/>
  <c r="K16" i="2" a="1"/>
  <c r="K16" i="2"/>
  <c r="K17" i="2" a="1"/>
  <c r="K17" i="2"/>
  <c r="K18" i="2" a="1"/>
  <c r="K18" i="2"/>
  <c r="K19" i="2" a="1"/>
  <c r="K19" i="2"/>
  <c r="K20" i="2" a="1"/>
  <c r="K20" i="2"/>
  <c r="K21" i="2" a="1"/>
  <c r="K21" i="2"/>
  <c r="K22" i="2" a="1"/>
  <c r="K22" i="2"/>
  <c r="K23" i="2" a="1"/>
  <c r="K23" i="2"/>
  <c r="K24" i="2" a="1"/>
  <c r="K24" i="2"/>
  <c r="K25" i="2" a="1"/>
  <c r="K25" i="2"/>
  <c r="K26" i="2" a="1"/>
  <c r="K26" i="2"/>
  <c r="K27" i="2" a="1"/>
  <c r="K27" i="2"/>
  <c r="K28" i="2" a="1"/>
  <c r="K28" i="2"/>
  <c r="K29" i="2" a="1"/>
  <c r="K29" i="2"/>
  <c r="K30" i="2" a="1"/>
  <c r="K30" i="2"/>
  <c r="K31" i="2" a="1"/>
  <c r="K31" i="2"/>
  <c r="K32" i="2" a="1"/>
  <c r="K32" i="2"/>
  <c r="K33" i="2" a="1"/>
  <c r="K33" i="2"/>
  <c r="K34" i="2" a="1"/>
  <c r="K34" i="2"/>
  <c r="K35" i="2" a="1"/>
  <c r="K35" i="2"/>
  <c r="K36" i="2" a="1"/>
  <c r="K36" i="2"/>
  <c r="K37" i="2" a="1"/>
  <c r="K37" i="2"/>
  <c r="K38" i="2" a="1"/>
  <c r="K38" i="2"/>
  <c r="K39" i="2" a="1"/>
  <c r="K39" i="2"/>
  <c r="K40" i="2" a="1"/>
  <c r="K40" i="2"/>
  <c r="K41" i="2" a="1"/>
  <c r="K41" i="2"/>
  <c r="K42" i="2" a="1"/>
  <c r="K42" i="2"/>
  <c r="K43" i="2" a="1"/>
  <c r="K43" i="2"/>
  <c r="K44" i="2" a="1"/>
  <c r="K44" i="2"/>
  <c r="K45" i="2" a="1"/>
  <c r="K45" i="2"/>
  <c r="K46" i="2" a="1"/>
  <c r="K46" i="2"/>
  <c r="K47" i="2" a="1"/>
  <c r="K47" i="2"/>
  <c r="K48" i="2" a="1"/>
  <c r="K48" i="2"/>
  <c r="K49" i="2" a="1"/>
  <c r="K49" i="2"/>
  <c r="K50" i="2" a="1"/>
  <c r="K50" i="2"/>
  <c r="K51" i="2" a="1"/>
  <c r="K51" i="2"/>
  <c r="K52" i="2" a="1"/>
  <c r="K52" i="2"/>
  <c r="K53" i="2" a="1"/>
  <c r="K53" i="2"/>
  <c r="K54" i="2" a="1"/>
  <c r="K54" i="2"/>
  <c r="K55" i="2" a="1"/>
  <c r="K55" i="2"/>
  <c r="K56" i="2" a="1"/>
  <c r="K56" i="2"/>
  <c r="K57" i="2" a="1"/>
  <c r="K57" i="2"/>
  <c r="K58" i="2" a="1"/>
  <c r="K58" i="2"/>
  <c r="K59" i="2" a="1"/>
  <c r="K59" i="2"/>
  <c r="K60" i="2" a="1"/>
  <c r="K60" i="2"/>
  <c r="K61" i="2" a="1"/>
  <c r="K61" i="2"/>
  <c r="K62" i="2" a="1"/>
  <c r="K62" i="2"/>
  <c r="K63" i="2" a="1"/>
  <c r="K63" i="2"/>
  <c r="K64" i="2" a="1"/>
  <c r="K64" i="2"/>
  <c r="K65" i="2" a="1"/>
  <c r="K65" i="2"/>
  <c r="K66" i="2" a="1"/>
  <c r="K66" i="2"/>
  <c r="K67" i="2" a="1"/>
  <c r="K67" i="2"/>
  <c r="K68" i="2" a="1"/>
  <c r="K68" i="2"/>
  <c r="K69" i="2" a="1"/>
  <c r="K69" i="2"/>
  <c r="K70" i="2" a="1"/>
  <c r="K70" i="2"/>
  <c r="K71" i="2" a="1"/>
  <c r="K71" i="2"/>
  <c r="K72" i="2" a="1"/>
  <c r="K72" i="2"/>
  <c r="K73" i="2" a="1"/>
  <c r="K73" i="2"/>
  <c r="K74" i="2" a="1"/>
  <c r="K74" i="2"/>
  <c r="K75" i="2" a="1"/>
  <c r="K75" i="2"/>
  <c r="K76" i="2" a="1"/>
  <c r="K76" i="2"/>
  <c r="K77" i="2" a="1"/>
  <c r="K77" i="2"/>
  <c r="K78" i="2" a="1"/>
  <c r="K78" i="2"/>
  <c r="K79" i="2" a="1"/>
  <c r="K79" i="2"/>
  <c r="K80" i="2" a="1"/>
  <c r="K80" i="2"/>
  <c r="K81" i="2" a="1"/>
  <c r="K81" i="2"/>
  <c r="K82" i="2" a="1"/>
  <c r="K82" i="2"/>
  <c r="K83" i="2" a="1"/>
  <c r="K83" i="2"/>
  <c r="K84" i="2" a="1"/>
  <c r="K84" i="2"/>
  <c r="K2" i="2" a="1"/>
  <c r="K2" i="2" s="1"/>
  <c r="L84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2" i="2"/>
  <c r="J6" i="2"/>
  <c r="J3" i="2"/>
  <c r="J4" i="2"/>
  <c r="J5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<sst xmlns="http://schemas.openxmlformats.org/spreadsheetml/2006/main" count="289" uniqueCount="106">
  <si>
    <t>N° rooms</t>
  </si>
  <si>
    <t>Apartment code</t>
  </si>
  <si>
    <t>Normal</t>
  </si>
  <si>
    <t>Excellent</t>
  </si>
  <si>
    <t>Poor</t>
  </si>
  <si>
    <t>A2401</t>
  </si>
  <si>
    <t>A7654</t>
  </si>
  <si>
    <t>A2503</t>
  </si>
  <si>
    <t>A8900</t>
  </si>
  <si>
    <t>A9423</t>
  </si>
  <si>
    <t>A9610</t>
  </si>
  <si>
    <t>A5125</t>
  </si>
  <si>
    <t>A9130</t>
  </si>
  <si>
    <t>A9886</t>
  </si>
  <si>
    <t>A4128</t>
  </si>
  <si>
    <t>A1923</t>
  </si>
  <si>
    <t>A8609</t>
  </si>
  <si>
    <t>A1503</t>
  </si>
  <si>
    <t>A7077</t>
  </si>
  <si>
    <t>A1092</t>
  </si>
  <si>
    <t>A6442</t>
  </si>
  <si>
    <t>A3032</t>
  </si>
  <si>
    <t>A5839</t>
  </si>
  <si>
    <t>A9171</t>
  </si>
  <si>
    <t>A3598</t>
  </si>
  <si>
    <t>A2559</t>
  </si>
  <si>
    <t>A6745</t>
  </si>
  <si>
    <t>A9332</t>
  </si>
  <si>
    <t>A7976</t>
  </si>
  <si>
    <t>A1836</t>
  </si>
  <si>
    <t>A1837</t>
  </si>
  <si>
    <t>A5414</t>
  </si>
  <si>
    <t>A7985</t>
  </si>
  <si>
    <t>A3285</t>
  </si>
  <si>
    <t>A6014</t>
  </si>
  <si>
    <t>A4605</t>
  </si>
  <si>
    <t>A6543</t>
  </si>
  <si>
    <t>A6008</t>
  </si>
  <si>
    <t>A3853</t>
  </si>
  <si>
    <t>A7013</t>
  </si>
  <si>
    <t>A3711</t>
  </si>
  <si>
    <t>A6004</t>
  </si>
  <si>
    <t>A4904</t>
  </si>
  <si>
    <t>A3783</t>
  </si>
  <si>
    <t>A8193</t>
  </si>
  <si>
    <t>A9093</t>
  </si>
  <si>
    <t>A7939</t>
  </si>
  <si>
    <t>A1014</t>
  </si>
  <si>
    <t>A6286</t>
  </si>
  <si>
    <t>A1486</t>
  </si>
  <si>
    <t>A3776</t>
  </si>
  <si>
    <t>A7161</t>
  </si>
  <si>
    <t>A2594</t>
  </si>
  <si>
    <t>A2884</t>
  </si>
  <si>
    <t>A7306</t>
  </si>
  <si>
    <t>A2905</t>
  </si>
  <si>
    <t>A4396</t>
  </si>
  <si>
    <t>A9840</t>
  </si>
  <si>
    <t>A7736</t>
  </si>
  <si>
    <t>A1776</t>
  </si>
  <si>
    <t>A4983</t>
  </si>
  <si>
    <t>A1490</t>
  </si>
  <si>
    <t>A3993</t>
  </si>
  <si>
    <t>A2550</t>
  </si>
  <si>
    <t>A3885</t>
  </si>
  <si>
    <t>A9214</t>
  </si>
  <si>
    <t>A5994</t>
  </si>
  <si>
    <t>A2500</t>
  </si>
  <si>
    <t>A4965</t>
  </si>
  <si>
    <t>A8306</t>
  </si>
  <si>
    <t>A8043</t>
  </si>
  <si>
    <t>A8611</t>
  </si>
  <si>
    <t>A5891</t>
  </si>
  <si>
    <t>A3854</t>
  </si>
  <si>
    <t>A6321</t>
  </si>
  <si>
    <t>A9317</t>
  </si>
  <si>
    <t>A8033</t>
  </si>
  <si>
    <t>A8401</t>
  </si>
  <si>
    <t>A8542</t>
  </si>
  <si>
    <t>A6430</t>
  </si>
  <si>
    <t>A6307</t>
  </si>
  <si>
    <t>A8623</t>
  </si>
  <si>
    <t>A1842</t>
  </si>
  <si>
    <t>A9289</t>
  </si>
  <si>
    <t>A2113</t>
  </si>
  <si>
    <t>A1437</t>
  </si>
  <si>
    <t>A5111</t>
  </si>
  <si>
    <t>A5995</t>
  </si>
  <si>
    <t>District Code</t>
  </si>
  <si>
    <t>B01</t>
  </si>
  <si>
    <t>C02</t>
  </si>
  <si>
    <t>B06</t>
  </si>
  <si>
    <t>C03</t>
  </si>
  <si>
    <t>C12</t>
  </si>
  <si>
    <t>B02</t>
  </si>
  <si>
    <t>A06</t>
  </si>
  <si>
    <r>
      <t>Apartment area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</si>
  <si>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Owner selling price</t>
  </si>
  <si>
    <t>Yes</t>
  </si>
  <si>
    <t>Apartment condition</t>
  </si>
  <si>
    <t>Private garage</t>
  </si>
  <si>
    <t>Apartment size</t>
  </si>
  <si>
    <t>Final price</t>
  </si>
  <si>
    <t>Sales comission</t>
  </si>
  <si>
    <t>SQM Analysis</t>
  </si>
  <si>
    <t>Interesting apartments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</si>
</sst>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€-2]\ * #,##0_);_([$€-2]\ * \(#,##0\);_([$€-2]\ * &quot;-&quot;??_);_(@_)"/>
    <numFmt numFmtId="165" formatCode="&quot;€&quot;\ 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top" wrapText="1"/>
    </xf>
    <xf numFmtId="0" fontId="4" fillId="0" borderId="1" xfId="0" applyFont="1" applyBorder="1" applyAlignment="1">
      <alignment wrapText="1"/>
    </xf>
    <xf numFmtId="164" fontId="0" fillId="0" borderId="0" xfId="0" applyNumberFormat="1"/>
    <xf numFmtId="165" fontId="1" fillId="0" borderId="1" xfId="0" applyNumberFormat="1" applyFont="1" applyBorder="1" applyAlignment="1">
      <alignment vertical="top" wrapText="1"/>
    </xf>
    <xf numFmtId="165" fontId="2" fillId="0" borderId="0" xfId="0" applyNumberFormat="1" applyFont="1"/>
    <xf numFmtId="165" fontId="0" fillId="0" borderId="0" xfId="0" applyNumberFormat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7384-4420-4E16-9EFF-21BC40B827AB}">
  <dimension ref="A1:M84"/>
  <sheetViews>
    <sheetView tabSelected="1" zoomScale="85" zoomScaleNormal="85" workbookViewId="0">
      <selection activeCell="L2" sqref="L2"/>
    </sheetView>
  </sheetViews>
  <sheetFormatPr defaultRowHeight="14.4" x14ac:dyDescent="0.3"/>
  <cols>
    <col min="1" max="1" width="13.6640625" customWidth="1"/>
    <col min="3" max="3" width="15.88671875" customWidth="1"/>
    <col min="4" max="4" width="13.33203125" customWidth="1"/>
    <col min="5" max="5" width="14.44140625" bestFit="1" customWidth="1"/>
    <col min="6" max="6" width="18.88671875" customWidth="1"/>
    <col min="7" max="7" width="13.33203125" style="6" bestFit="1" customWidth="1"/>
    <col min="8" max="8" width="12.6640625" customWidth="1"/>
    <col min="9" max="9" width="13.21875" bestFit="1" customWidth="1"/>
    <col min="10" max="10" width="12.109375" bestFit="1" customWidth="1"/>
    <col min="11" max="11" width="18.44140625" bestFit="1" customWidth="1"/>
    <col min="12" max="12" width="11.88671875" customWidth="1"/>
  </cols>
  <sheetData>
    <row r="1" spans="1:13" ht="31.2" thickBot="1" x14ac:dyDescent="0.35">
      <c r="A1" s="1" t="s">
        <v>1</v>
      </c>
      <c r="B1" s="1" t="s">
        <v>0</v>
      </c>
      <c r="C1" s="1" t="s">
        <v>99</v>
      </c>
      <c r="D1" s="1" t="s">
        <v>96</v>
      </c>
      <c r="E1" s="1" t="s">
        <v>100</v>
      </c>
      <c r="F1" s="1" t="s">
        <v>88</v>
      </c>
      <c r="G1" s="4" t="s">
        <v>97</v>
      </c>
      <c r="H1" s="2" t="s">
        <v>101</v>
      </c>
      <c r="I1" s="7" t="s">
        <v>102</v>
      </c>
      <c r="J1" s="8" t="s">
        <v>103</v>
      </c>
      <c r="K1" s="8" t="s">
        <v>104</v>
      </c>
      <c r="L1" s="8" t="s">
        <v>105</v>
      </c>
      <c r="M1" s="9"/>
    </row>
    <row r="2" spans="1:13" x14ac:dyDescent="0.3">
      <c r="A2" t="s">
        <v>5</v>
      </c>
      <c r="B2">
        <v>3</v>
      </c>
      <c r="C2" t="s">
        <v>2</v>
      </c>
      <c r="D2">
        <v>96</v>
      </c>
      <c r="F2" t="s">
        <v>89</v>
      </c>
      <c r="G2" s="5">
        <v>407000</v>
      </c>
      <c r="H2" t="str">
        <f>IF(D2&gt;=110, "Big Size", "")</f>
        <v/>
      </c>
      <c r="I2" s="3">
        <f>IF(AND(E2="Yes",C2="Excellent"),G2+50000,G2)</f>
        <v>407000</v>
      </c>
      <c r="J2" s="3">
        <f>IF(AND(F2="C02",F2="A06"),0.05*I2,0.03*I2)</f>
        <v>12210</v>
      </c>
      <c r="K2" t="str" cm="1">
        <f t="array" ref="K2">_xlfn.IFS(I2/D2&lt;4200,"Cheap sqm price",AND(I2/D2&gt;4200,I2/D2&lt;6000),"Normal sqm price",I2/D2&gt;=6000,"Expensive sqm price")</f>
        <v>Normal sqm price</v>
      </c>
      <c r="L2" t="str">
        <f>IF(AND(OR(C2="Excellent",C2="Normal"),I2/D2&lt;5000),"Big deal","")</f>
        <v>Big deal</v>
      </c>
    </row>
    <row r="3" spans="1:13" x14ac:dyDescent="0.3">
      <c r="A3" t="s">
        <v>6</v>
      </c>
      <c r="B3">
        <v>2</v>
      </c>
      <c r="C3" t="s">
        <v>3</v>
      </c>
      <c r="D3">
        <v>55</v>
      </c>
      <c r="E3" t="s">
        <v>98</v>
      </c>
      <c r="F3" t="s">
        <v>90</v>
      </c>
      <c r="G3" s="5">
        <v>271000</v>
      </c>
      <c r="H3" t="str">
        <f t="shared" ref="H3:H66" si="0">IF(D3&gt;=110, "Big Size", "")</f>
        <v/>
      </c>
      <c r="I3" s="3">
        <f t="shared" ref="I3:I66" si="1">IF(AND(E3="Yes",C3="Excellent"),G3+50000,G3)</f>
        <v>321000</v>
      </c>
      <c r="J3" s="3">
        <f t="shared" ref="J3:J66" si="2">IF(AND(F3="C02",F3="A06"),0.05*I3,0.03*I3)</f>
        <v>9630</v>
      </c>
      <c r="K3" t="str" cm="1">
        <f t="array" ref="K3">_xlfn.IFS(I3/D3&lt;4200,"Cheap sqm price",AND(I3/D3&gt;4200,I3/D3&lt;6000),"Normal sqm price",I3/D3&gt;=6000,"Expensive sqm price")</f>
        <v>Normal sqm price</v>
      </c>
      <c r="L3" t="str">
        <f t="shared" ref="L3:L66" si="3">IF(AND(OR(C3="Excellent",C3="Normal"),I3/D3&lt;5000),"Big deal","")</f>
        <v/>
      </c>
    </row>
    <row r="4" spans="1:13" x14ac:dyDescent="0.3">
      <c r="A4" t="s">
        <v>7</v>
      </c>
      <c r="B4">
        <v>2</v>
      </c>
      <c r="C4" t="s">
        <v>3</v>
      </c>
      <c r="D4">
        <v>56</v>
      </c>
      <c r="F4" t="s">
        <v>91</v>
      </c>
      <c r="G4" s="5">
        <v>400000</v>
      </c>
      <c r="H4" t="str">
        <f t="shared" si="0"/>
        <v/>
      </c>
      <c r="I4" s="3">
        <f t="shared" si="1"/>
        <v>400000</v>
      </c>
      <c r="J4" s="3">
        <f t="shared" si="2"/>
        <v>12000</v>
      </c>
      <c r="K4" t="str" cm="1">
        <f t="array" ref="K4">_xlfn.IFS(I4/D4&lt;4200,"Cheap sqm price",AND(I4/D4&gt;4200,I4/D4&lt;6000),"Normal sqm price",I4/D4&gt;=6000,"Expensive sqm price")</f>
        <v>Expensive sqm price</v>
      </c>
      <c r="L4" t="str">
        <f t="shared" si="3"/>
        <v/>
      </c>
    </row>
    <row r="5" spans="1:13" x14ac:dyDescent="0.3">
      <c r="A5" t="s">
        <v>8</v>
      </c>
      <c r="B5">
        <v>3</v>
      </c>
      <c r="C5" t="s">
        <v>4</v>
      </c>
      <c r="D5">
        <v>100</v>
      </c>
      <c r="F5" t="s">
        <v>92</v>
      </c>
      <c r="G5" s="5">
        <v>401000</v>
      </c>
      <c r="H5" t="str">
        <f t="shared" si="0"/>
        <v/>
      </c>
      <c r="I5" s="3">
        <f t="shared" si="1"/>
        <v>401000</v>
      </c>
      <c r="J5" s="3">
        <f t="shared" si="2"/>
        <v>12030</v>
      </c>
      <c r="K5" t="str" cm="1">
        <f t="array" ref="K5">_xlfn.IFS(I5/D5&lt;4200,"Cheap sqm price",AND(I5/D5&gt;4200,I5/D5&lt;6000),"Normal sqm price",I5/D5&gt;=6000,"Expensive sqm price")</f>
        <v>Cheap sqm price</v>
      </c>
      <c r="L5" t="str">
        <f t="shared" si="3"/>
        <v/>
      </c>
    </row>
    <row r="6" spans="1:13" x14ac:dyDescent="0.3">
      <c r="A6" t="s">
        <v>9</v>
      </c>
      <c r="B6">
        <v>1</v>
      </c>
      <c r="C6" t="s">
        <v>3</v>
      </c>
      <c r="D6">
        <v>29</v>
      </c>
      <c r="F6" t="s">
        <v>93</v>
      </c>
      <c r="G6" s="5">
        <v>134000</v>
      </c>
      <c r="H6" t="str">
        <f t="shared" si="0"/>
        <v/>
      </c>
      <c r="I6" s="3">
        <f t="shared" si="1"/>
        <v>134000</v>
      </c>
      <c r="J6" s="3" t="str">
        <f>IF(I2/D2 &lt; 4200, "Cheap sqm price", IF(I2/D2 &lt;= 6000, "Normal sqm price", "Expensive sqm price"))</f>
        <v>Normal sqm price</v>
      </c>
      <c r="K6" t="str" cm="1">
        <f t="array" ref="K6">_xlfn.IFS(I6/D6&lt;4200,"Cheap sqm price",AND(I6/D6&gt;4200,I6/D6&lt;6000),"Normal sqm price",I6/D6&gt;=6000,"Expensive sqm price")</f>
        <v>Normal sqm price</v>
      </c>
      <c r="L6" t="str">
        <f t="shared" si="3"/>
        <v>Big deal</v>
      </c>
    </row>
    <row r="7" spans="1:13" x14ac:dyDescent="0.3">
      <c r="A7" t="s">
        <v>10</v>
      </c>
      <c r="B7">
        <v>5</v>
      </c>
      <c r="C7" t="s">
        <v>4</v>
      </c>
      <c r="D7">
        <v>180</v>
      </c>
      <c r="F7" t="s">
        <v>94</v>
      </c>
      <c r="G7" s="5">
        <v>662000</v>
      </c>
      <c r="H7" t="str">
        <f t="shared" si="0"/>
        <v>Big Size</v>
      </c>
      <c r="I7" s="3">
        <f t="shared" si="1"/>
        <v>662000</v>
      </c>
      <c r="J7" s="3">
        <f t="shared" si="2"/>
        <v>19860</v>
      </c>
      <c r="K7" t="str" cm="1">
        <f t="array" ref="K7">_xlfn.IFS(I7/D7&lt;4200,"Cheap sqm price",AND(I7/D7&gt;4200,I7/D7&lt;6000),"Normal sqm price",I7/D7&gt;=6000,"Expensive sqm price")</f>
        <v>Cheap sqm price</v>
      </c>
      <c r="L7" t="str">
        <f t="shared" si="3"/>
        <v/>
      </c>
    </row>
    <row r="8" spans="1:13" x14ac:dyDescent="0.3">
      <c r="A8" t="s">
        <v>11</v>
      </c>
      <c r="B8">
        <v>3</v>
      </c>
      <c r="C8" t="s">
        <v>2</v>
      </c>
      <c r="D8">
        <v>90</v>
      </c>
      <c r="F8" t="s">
        <v>95</v>
      </c>
      <c r="G8" s="5">
        <v>399000</v>
      </c>
      <c r="H8" t="str">
        <f t="shared" si="0"/>
        <v/>
      </c>
      <c r="I8" s="3">
        <f t="shared" si="1"/>
        <v>399000</v>
      </c>
      <c r="J8" s="3">
        <f t="shared" si="2"/>
        <v>11970</v>
      </c>
      <c r="K8" t="str" cm="1">
        <f t="array" ref="K8">_xlfn.IFS(I8/D8&lt;4200,"Cheap sqm price",AND(I8/D8&gt;4200,I8/D8&lt;6000),"Normal sqm price",I8/D8&gt;=6000,"Expensive sqm price")</f>
        <v>Normal sqm price</v>
      </c>
      <c r="L8" t="str">
        <f t="shared" si="3"/>
        <v>Big deal</v>
      </c>
    </row>
    <row r="9" spans="1:13" x14ac:dyDescent="0.3">
      <c r="A9" t="s">
        <v>12</v>
      </c>
      <c r="B9">
        <v>3</v>
      </c>
      <c r="C9" t="s">
        <v>2</v>
      </c>
      <c r="D9">
        <v>95</v>
      </c>
      <c r="E9" t="s">
        <v>98</v>
      </c>
      <c r="F9" t="s">
        <v>89</v>
      </c>
      <c r="G9" s="5">
        <v>401000</v>
      </c>
      <c r="H9" t="str">
        <f t="shared" si="0"/>
        <v/>
      </c>
      <c r="I9" s="3">
        <f t="shared" si="1"/>
        <v>401000</v>
      </c>
      <c r="J9" s="3">
        <f t="shared" si="2"/>
        <v>12030</v>
      </c>
      <c r="K9" t="str" cm="1">
        <f t="array" ref="K9">_xlfn.IFS(I9/D9&lt;4200,"Cheap sqm price",AND(I9/D9&gt;4200,I9/D9&lt;6000),"Normal sqm price",I9/D9&gt;=6000,"Expensive sqm price")</f>
        <v>Normal sqm price</v>
      </c>
      <c r="L9" t="str">
        <f t="shared" si="3"/>
        <v>Big deal</v>
      </c>
    </row>
    <row r="10" spans="1:13" x14ac:dyDescent="0.3">
      <c r="A10" t="s">
        <v>13</v>
      </c>
      <c r="B10">
        <v>2</v>
      </c>
      <c r="C10" t="s">
        <v>3</v>
      </c>
      <c r="D10">
        <v>54</v>
      </c>
      <c r="E10" t="s">
        <v>98</v>
      </c>
      <c r="F10" t="s">
        <v>90</v>
      </c>
      <c r="G10" s="5">
        <v>269000</v>
      </c>
      <c r="H10" t="str">
        <f t="shared" si="0"/>
        <v/>
      </c>
      <c r="I10" s="3">
        <f t="shared" si="1"/>
        <v>319000</v>
      </c>
      <c r="J10" s="3">
        <f t="shared" si="2"/>
        <v>9570</v>
      </c>
      <c r="K10" t="str" cm="1">
        <f t="array" ref="K10">_xlfn.IFS(I10/D10&lt;4200,"Cheap sqm price",AND(I10/D10&gt;4200,I10/D10&lt;6000),"Normal sqm price",I10/D10&gt;=6000,"Expensive sqm price")</f>
        <v>Normal sqm price</v>
      </c>
      <c r="L10" t="str">
        <f t="shared" si="3"/>
        <v/>
      </c>
    </row>
    <row r="11" spans="1:13" x14ac:dyDescent="0.3">
      <c r="A11" t="s">
        <v>14</v>
      </c>
      <c r="B11">
        <v>4</v>
      </c>
      <c r="C11" t="s">
        <v>2</v>
      </c>
      <c r="D11">
        <v>115</v>
      </c>
      <c r="F11" t="s">
        <v>91</v>
      </c>
      <c r="G11" s="5">
        <v>542000</v>
      </c>
      <c r="H11" t="str">
        <f t="shared" si="0"/>
        <v>Big Size</v>
      </c>
      <c r="I11" s="3">
        <f t="shared" si="1"/>
        <v>542000</v>
      </c>
      <c r="J11" s="3">
        <f t="shared" si="2"/>
        <v>16260</v>
      </c>
      <c r="K11" t="str" cm="1">
        <f t="array" ref="K11">_xlfn.IFS(I11/D11&lt;4200,"Cheap sqm price",AND(I11/D11&gt;4200,I11/D11&lt;6000),"Normal sqm price",I11/D11&gt;=6000,"Expensive sqm price")</f>
        <v>Normal sqm price</v>
      </c>
      <c r="L11" t="str">
        <f t="shared" si="3"/>
        <v>Big deal</v>
      </c>
    </row>
    <row r="12" spans="1:13" x14ac:dyDescent="0.3">
      <c r="A12" t="s">
        <v>15</v>
      </c>
      <c r="B12">
        <v>1</v>
      </c>
      <c r="C12" t="s">
        <v>4</v>
      </c>
      <c r="D12">
        <v>32</v>
      </c>
      <c r="F12" t="s">
        <v>92</v>
      </c>
      <c r="G12" s="5">
        <v>139000</v>
      </c>
      <c r="H12" t="str">
        <f t="shared" si="0"/>
        <v/>
      </c>
      <c r="I12" s="3">
        <f t="shared" si="1"/>
        <v>139000</v>
      </c>
      <c r="J12" s="3">
        <f t="shared" si="2"/>
        <v>4170</v>
      </c>
      <c r="K12" t="str" cm="1">
        <f t="array" ref="K12">_xlfn.IFS(I12/D12&lt;4200,"Cheap sqm price",AND(I12/D12&gt;4200,I12/D12&lt;6000),"Normal sqm price",I12/D12&gt;=6000,"Expensive sqm price")</f>
        <v>Normal sqm price</v>
      </c>
      <c r="L12" t="str">
        <f t="shared" si="3"/>
        <v/>
      </c>
    </row>
    <row r="13" spans="1:13" x14ac:dyDescent="0.3">
      <c r="A13" t="s">
        <v>16</v>
      </c>
      <c r="B13">
        <v>2</v>
      </c>
      <c r="C13" t="s">
        <v>4</v>
      </c>
      <c r="D13">
        <v>70</v>
      </c>
      <c r="F13" t="s">
        <v>93</v>
      </c>
      <c r="G13" s="5">
        <v>266000</v>
      </c>
      <c r="H13" t="str">
        <f t="shared" si="0"/>
        <v/>
      </c>
      <c r="I13" s="3">
        <f t="shared" si="1"/>
        <v>266000</v>
      </c>
      <c r="J13" s="3">
        <f t="shared" si="2"/>
        <v>7980</v>
      </c>
      <c r="K13" t="str" cm="1">
        <f t="array" ref="K13">_xlfn.IFS(I13/D13&lt;4200,"Cheap sqm price",AND(I13/D13&gt;4200,I13/D13&lt;6000),"Normal sqm price",I13/D13&gt;=6000,"Expensive sqm price")</f>
        <v>Cheap sqm price</v>
      </c>
      <c r="L13" t="str">
        <f t="shared" si="3"/>
        <v/>
      </c>
    </row>
    <row r="14" spans="1:13" x14ac:dyDescent="0.3">
      <c r="A14" t="s">
        <v>17</v>
      </c>
      <c r="B14">
        <v>5</v>
      </c>
      <c r="C14" t="s">
        <v>4</v>
      </c>
      <c r="D14">
        <v>180</v>
      </c>
      <c r="E14" t="s">
        <v>98</v>
      </c>
      <c r="F14" t="s">
        <v>94</v>
      </c>
      <c r="G14" s="5">
        <v>663000</v>
      </c>
      <c r="H14" t="str">
        <f t="shared" si="0"/>
        <v>Big Size</v>
      </c>
      <c r="I14" s="3">
        <f t="shared" si="1"/>
        <v>663000</v>
      </c>
      <c r="J14" s="3">
        <f t="shared" si="2"/>
        <v>19890</v>
      </c>
      <c r="K14" t="str" cm="1">
        <f t="array" ref="K14">_xlfn.IFS(I14/D14&lt;4200,"Cheap sqm price",AND(I14/D14&gt;4200,I14/D14&lt;6000),"Normal sqm price",I14/D14&gt;=6000,"Expensive sqm price")</f>
        <v>Cheap sqm price</v>
      </c>
      <c r="L14" t="str">
        <f t="shared" si="3"/>
        <v/>
      </c>
    </row>
    <row r="15" spans="1:13" x14ac:dyDescent="0.3">
      <c r="A15" t="s">
        <v>18</v>
      </c>
      <c r="B15">
        <v>4</v>
      </c>
      <c r="C15" t="s">
        <v>2</v>
      </c>
      <c r="D15">
        <v>130</v>
      </c>
      <c r="F15" t="s">
        <v>95</v>
      </c>
      <c r="G15" s="5">
        <v>535000</v>
      </c>
      <c r="H15" t="str">
        <f t="shared" si="0"/>
        <v>Big Size</v>
      </c>
      <c r="I15" s="3">
        <f t="shared" si="1"/>
        <v>535000</v>
      </c>
      <c r="J15" s="3">
        <f t="shared" si="2"/>
        <v>16050</v>
      </c>
      <c r="K15" t="str" cm="1">
        <f t="array" ref="K15">_xlfn.IFS(I15/D15&lt;4200,"Cheap sqm price",AND(I15/D15&gt;4200,I15/D15&lt;6000),"Normal sqm price",I15/D15&gt;=6000,"Expensive sqm price")</f>
        <v>Cheap sqm price</v>
      </c>
      <c r="L15" t="str">
        <f t="shared" si="3"/>
        <v>Big deal</v>
      </c>
    </row>
    <row r="16" spans="1:13" x14ac:dyDescent="0.3">
      <c r="A16" t="s">
        <v>19</v>
      </c>
      <c r="B16">
        <v>1</v>
      </c>
      <c r="C16" t="s">
        <v>4</v>
      </c>
      <c r="D16">
        <v>40</v>
      </c>
      <c r="F16" t="s">
        <v>89</v>
      </c>
      <c r="G16" s="5">
        <v>142000</v>
      </c>
      <c r="H16" t="str">
        <f t="shared" si="0"/>
        <v/>
      </c>
      <c r="I16" s="3">
        <f t="shared" si="1"/>
        <v>142000</v>
      </c>
      <c r="J16" s="3">
        <f t="shared" si="2"/>
        <v>4260</v>
      </c>
      <c r="K16" t="str" cm="1">
        <f t="array" ref="K16">_xlfn.IFS(I16/D16&lt;4200,"Cheap sqm price",AND(I16/D16&gt;4200,I16/D16&lt;6000),"Normal sqm price",I16/D16&gt;=6000,"Expensive sqm price")</f>
        <v>Cheap sqm price</v>
      </c>
      <c r="L16" t="str">
        <f t="shared" si="3"/>
        <v/>
      </c>
    </row>
    <row r="17" spans="1:12" x14ac:dyDescent="0.3">
      <c r="A17" t="s">
        <v>20</v>
      </c>
      <c r="B17">
        <v>3</v>
      </c>
      <c r="C17" t="s">
        <v>2</v>
      </c>
      <c r="D17">
        <v>85</v>
      </c>
      <c r="E17" t="s">
        <v>98</v>
      </c>
      <c r="F17" t="s">
        <v>90</v>
      </c>
      <c r="G17" s="5">
        <v>399000</v>
      </c>
      <c r="H17" t="str">
        <f t="shared" si="0"/>
        <v/>
      </c>
      <c r="I17" s="3">
        <f t="shared" si="1"/>
        <v>399000</v>
      </c>
      <c r="J17" s="3">
        <f t="shared" si="2"/>
        <v>11970</v>
      </c>
      <c r="K17" t="str" cm="1">
        <f t="array" ref="K17">_xlfn.IFS(I17/D17&lt;4200,"Cheap sqm price",AND(I17/D17&gt;4200,I17/D17&lt;6000),"Normal sqm price",I17/D17&gt;=6000,"Expensive sqm price")</f>
        <v>Normal sqm price</v>
      </c>
      <c r="L17" t="str">
        <f t="shared" si="3"/>
        <v>Big deal</v>
      </c>
    </row>
    <row r="18" spans="1:12" x14ac:dyDescent="0.3">
      <c r="A18" t="s">
        <v>21</v>
      </c>
      <c r="B18">
        <v>1</v>
      </c>
      <c r="C18" t="s">
        <v>2</v>
      </c>
      <c r="D18">
        <v>30</v>
      </c>
      <c r="F18" t="s">
        <v>91</v>
      </c>
      <c r="G18" s="5">
        <v>135000</v>
      </c>
      <c r="H18" t="str">
        <f t="shared" si="0"/>
        <v/>
      </c>
      <c r="I18" s="3">
        <f t="shared" si="1"/>
        <v>135000</v>
      </c>
      <c r="J18" s="3">
        <f t="shared" si="2"/>
        <v>4050</v>
      </c>
      <c r="K18" t="str" cm="1">
        <f t="array" ref="K18">_xlfn.IFS(I18/D18&lt;4200,"Cheap sqm price",AND(I18/D18&gt;4200,I18/D18&lt;6000),"Normal sqm price",I18/D18&gt;=6000,"Expensive sqm price")</f>
        <v>Normal sqm price</v>
      </c>
      <c r="L18" t="str">
        <f t="shared" si="3"/>
        <v>Big deal</v>
      </c>
    </row>
    <row r="19" spans="1:12" x14ac:dyDescent="0.3">
      <c r="A19" t="s">
        <v>22</v>
      </c>
      <c r="B19">
        <v>5</v>
      </c>
      <c r="C19" t="s">
        <v>2</v>
      </c>
      <c r="D19">
        <v>150</v>
      </c>
      <c r="E19" t="s">
        <v>98</v>
      </c>
      <c r="F19" t="s">
        <v>92</v>
      </c>
      <c r="G19" s="5">
        <v>664000</v>
      </c>
      <c r="H19" t="str">
        <f t="shared" si="0"/>
        <v>Big Size</v>
      </c>
      <c r="I19" s="3">
        <f t="shared" si="1"/>
        <v>664000</v>
      </c>
      <c r="J19" s="3">
        <f t="shared" si="2"/>
        <v>19920</v>
      </c>
      <c r="K19" t="str" cm="1">
        <f t="array" ref="K19">_xlfn.IFS(I19/D19&lt;4200,"Cheap sqm price",AND(I19/D19&gt;4200,I19/D19&lt;6000),"Normal sqm price",I19/D19&gt;=6000,"Expensive sqm price")</f>
        <v>Normal sqm price</v>
      </c>
      <c r="L19" t="str">
        <f t="shared" si="3"/>
        <v>Big deal</v>
      </c>
    </row>
    <row r="20" spans="1:12" x14ac:dyDescent="0.3">
      <c r="A20" t="s">
        <v>23</v>
      </c>
      <c r="B20">
        <v>1</v>
      </c>
      <c r="C20" t="s">
        <v>3</v>
      </c>
      <c r="D20">
        <v>30</v>
      </c>
      <c r="F20" t="s">
        <v>93</v>
      </c>
      <c r="G20" s="5">
        <v>209000</v>
      </c>
      <c r="H20" t="str">
        <f t="shared" si="0"/>
        <v/>
      </c>
      <c r="I20" s="3">
        <f t="shared" si="1"/>
        <v>209000</v>
      </c>
      <c r="J20" s="3">
        <f t="shared" si="2"/>
        <v>6270</v>
      </c>
      <c r="K20" t="str" cm="1">
        <f t="array" ref="K20">_xlfn.IFS(I20/D20&lt;4200,"Cheap sqm price",AND(I20/D20&gt;4200,I20/D20&lt;6000),"Normal sqm price",I20/D20&gt;=6000,"Expensive sqm price")</f>
        <v>Expensive sqm price</v>
      </c>
      <c r="L20" t="str">
        <f t="shared" si="3"/>
        <v/>
      </c>
    </row>
    <row r="21" spans="1:12" x14ac:dyDescent="0.3">
      <c r="A21" t="s">
        <v>24</v>
      </c>
      <c r="B21">
        <v>1</v>
      </c>
      <c r="C21" t="s">
        <v>4</v>
      </c>
      <c r="D21">
        <v>40</v>
      </c>
      <c r="F21" t="s">
        <v>94</v>
      </c>
      <c r="G21" s="5">
        <v>138000</v>
      </c>
      <c r="H21" t="str">
        <f t="shared" si="0"/>
        <v/>
      </c>
      <c r="I21" s="3">
        <f t="shared" si="1"/>
        <v>138000</v>
      </c>
      <c r="J21" s="3">
        <f t="shared" si="2"/>
        <v>4140</v>
      </c>
      <c r="K21" t="str" cm="1">
        <f t="array" ref="K21">_xlfn.IFS(I21/D21&lt;4200,"Cheap sqm price",AND(I21/D21&gt;4200,I21/D21&lt;6000),"Normal sqm price",I21/D21&gt;=6000,"Expensive sqm price")</f>
        <v>Cheap sqm price</v>
      </c>
      <c r="L21" t="str">
        <f t="shared" si="3"/>
        <v/>
      </c>
    </row>
    <row r="22" spans="1:12" x14ac:dyDescent="0.3">
      <c r="A22" t="s">
        <v>25</v>
      </c>
      <c r="B22">
        <v>6</v>
      </c>
      <c r="C22" t="s">
        <v>2</v>
      </c>
      <c r="D22">
        <v>170</v>
      </c>
      <c r="F22" t="s">
        <v>95</v>
      </c>
      <c r="G22" s="5">
        <v>1398000</v>
      </c>
      <c r="H22" t="str">
        <f t="shared" si="0"/>
        <v>Big Size</v>
      </c>
      <c r="I22" s="3">
        <f t="shared" si="1"/>
        <v>1398000</v>
      </c>
      <c r="J22" s="3">
        <f t="shared" si="2"/>
        <v>41940</v>
      </c>
      <c r="K22" t="str" cm="1">
        <f t="array" ref="K22">_xlfn.IFS(I22/D22&lt;4200,"Cheap sqm price",AND(I22/D22&gt;4200,I22/D22&lt;6000),"Normal sqm price",I22/D22&gt;=6000,"Expensive sqm price")</f>
        <v>Expensive sqm price</v>
      </c>
      <c r="L22" t="str">
        <f t="shared" si="3"/>
        <v/>
      </c>
    </row>
    <row r="23" spans="1:12" x14ac:dyDescent="0.3">
      <c r="A23" t="s">
        <v>26</v>
      </c>
      <c r="B23">
        <v>2</v>
      </c>
      <c r="C23" t="s">
        <v>2</v>
      </c>
      <c r="D23">
        <v>65</v>
      </c>
      <c r="F23" t="s">
        <v>89</v>
      </c>
      <c r="G23" s="5">
        <v>276000</v>
      </c>
      <c r="H23" t="str">
        <f t="shared" si="0"/>
        <v/>
      </c>
      <c r="I23" s="3">
        <f t="shared" si="1"/>
        <v>276000</v>
      </c>
      <c r="J23" s="3">
        <f t="shared" si="2"/>
        <v>8280</v>
      </c>
      <c r="K23" t="str" cm="1">
        <f t="array" ref="K23">_xlfn.IFS(I23/D23&lt;4200,"Cheap sqm price",AND(I23/D23&gt;4200,I23/D23&lt;6000),"Normal sqm price",I23/D23&gt;=6000,"Expensive sqm price")</f>
        <v>Normal sqm price</v>
      </c>
      <c r="L23" t="str">
        <f t="shared" si="3"/>
        <v>Big deal</v>
      </c>
    </row>
    <row r="24" spans="1:12" x14ac:dyDescent="0.3">
      <c r="A24" t="s">
        <v>27</v>
      </c>
      <c r="B24">
        <v>3</v>
      </c>
      <c r="C24" t="s">
        <v>2</v>
      </c>
      <c r="D24">
        <v>85</v>
      </c>
      <c r="E24" t="s">
        <v>98</v>
      </c>
      <c r="F24" t="s">
        <v>90</v>
      </c>
      <c r="G24" s="5">
        <v>401000</v>
      </c>
      <c r="H24" t="str">
        <f t="shared" si="0"/>
        <v/>
      </c>
      <c r="I24" s="3">
        <f t="shared" si="1"/>
        <v>401000</v>
      </c>
      <c r="J24" s="3">
        <f t="shared" si="2"/>
        <v>12030</v>
      </c>
      <c r="K24" t="str" cm="1">
        <f t="array" ref="K24">_xlfn.IFS(I24/D24&lt;4200,"Cheap sqm price",AND(I24/D24&gt;4200,I24/D24&lt;6000),"Normal sqm price",I24/D24&gt;=6000,"Expensive sqm price")</f>
        <v>Normal sqm price</v>
      </c>
      <c r="L24" t="str">
        <f t="shared" si="3"/>
        <v>Big deal</v>
      </c>
    </row>
    <row r="25" spans="1:12" x14ac:dyDescent="0.3">
      <c r="A25" t="s">
        <v>28</v>
      </c>
      <c r="B25">
        <v>2</v>
      </c>
      <c r="C25" t="s">
        <v>3</v>
      </c>
      <c r="D25">
        <v>52</v>
      </c>
      <c r="E25" t="s">
        <v>98</v>
      </c>
      <c r="F25" t="s">
        <v>91</v>
      </c>
      <c r="G25" s="5">
        <v>270000</v>
      </c>
      <c r="H25" t="str">
        <f t="shared" si="0"/>
        <v/>
      </c>
      <c r="I25" s="3">
        <f t="shared" si="1"/>
        <v>320000</v>
      </c>
      <c r="J25" s="3">
        <f t="shared" si="2"/>
        <v>9600</v>
      </c>
      <c r="K25" t="str" cm="1">
        <f t="array" ref="K25">_xlfn.IFS(I25/D25&lt;4200,"Cheap sqm price",AND(I25/D25&gt;4200,I25/D25&lt;6000),"Normal sqm price",I25/D25&gt;=6000,"Expensive sqm price")</f>
        <v>Expensive sqm price</v>
      </c>
      <c r="L25" t="str">
        <f t="shared" si="3"/>
        <v/>
      </c>
    </row>
    <row r="26" spans="1:12" x14ac:dyDescent="0.3">
      <c r="A26" t="s">
        <v>29</v>
      </c>
      <c r="B26">
        <v>2</v>
      </c>
      <c r="C26" t="s">
        <v>2</v>
      </c>
      <c r="D26">
        <v>61</v>
      </c>
      <c r="F26" t="s">
        <v>92</v>
      </c>
      <c r="G26" s="5">
        <v>268000</v>
      </c>
      <c r="H26" t="str">
        <f t="shared" si="0"/>
        <v/>
      </c>
      <c r="I26" s="3">
        <f t="shared" si="1"/>
        <v>268000</v>
      </c>
      <c r="J26" s="3">
        <f t="shared" si="2"/>
        <v>8040</v>
      </c>
      <c r="K26" t="str" cm="1">
        <f t="array" ref="K26">_xlfn.IFS(I26/D26&lt;4200,"Cheap sqm price",AND(I26/D26&gt;4200,I26/D26&lt;6000),"Normal sqm price",I26/D26&gt;=6000,"Expensive sqm price")</f>
        <v>Normal sqm price</v>
      </c>
      <c r="L26" t="str">
        <f t="shared" si="3"/>
        <v>Big deal</v>
      </c>
    </row>
    <row r="27" spans="1:12" x14ac:dyDescent="0.3">
      <c r="A27" t="s">
        <v>30</v>
      </c>
      <c r="B27">
        <v>1</v>
      </c>
      <c r="C27" t="s">
        <v>2</v>
      </c>
      <c r="D27">
        <v>37</v>
      </c>
      <c r="E27" t="s">
        <v>98</v>
      </c>
      <c r="F27" t="s">
        <v>93</v>
      </c>
      <c r="G27" s="5">
        <v>158000</v>
      </c>
      <c r="H27" t="str">
        <f t="shared" si="0"/>
        <v/>
      </c>
      <c r="I27" s="3">
        <f t="shared" si="1"/>
        <v>158000</v>
      </c>
      <c r="J27" s="3">
        <f t="shared" si="2"/>
        <v>4740</v>
      </c>
      <c r="K27" t="str" cm="1">
        <f t="array" ref="K27">_xlfn.IFS(I27/D27&lt;4200,"Cheap sqm price",AND(I27/D27&gt;4200,I27/D27&lt;6000),"Normal sqm price",I27/D27&gt;=6000,"Expensive sqm price")</f>
        <v>Normal sqm price</v>
      </c>
      <c r="L27" t="str">
        <f t="shared" si="3"/>
        <v>Big deal</v>
      </c>
    </row>
    <row r="28" spans="1:12" x14ac:dyDescent="0.3">
      <c r="A28" t="s">
        <v>31</v>
      </c>
      <c r="B28">
        <v>1</v>
      </c>
      <c r="C28" t="s">
        <v>2</v>
      </c>
      <c r="D28">
        <v>30</v>
      </c>
      <c r="E28" t="s">
        <v>98</v>
      </c>
      <c r="F28" t="s">
        <v>94</v>
      </c>
      <c r="G28" s="5">
        <v>145000</v>
      </c>
      <c r="H28" t="str">
        <f t="shared" si="0"/>
        <v/>
      </c>
      <c r="I28" s="3">
        <f t="shared" si="1"/>
        <v>145000</v>
      </c>
      <c r="J28" s="3">
        <f t="shared" si="2"/>
        <v>4350</v>
      </c>
      <c r="K28" t="str" cm="1">
        <f t="array" ref="K28">_xlfn.IFS(I28/D28&lt;4200,"Cheap sqm price",AND(I28/D28&gt;4200,I28/D28&lt;6000),"Normal sqm price",I28/D28&gt;=6000,"Expensive sqm price")</f>
        <v>Normal sqm price</v>
      </c>
      <c r="L28" t="str">
        <f t="shared" si="3"/>
        <v>Big deal</v>
      </c>
    </row>
    <row r="29" spans="1:12" x14ac:dyDescent="0.3">
      <c r="A29" t="s">
        <v>32</v>
      </c>
      <c r="B29">
        <v>3</v>
      </c>
      <c r="C29" t="s">
        <v>3</v>
      </c>
      <c r="D29">
        <v>80</v>
      </c>
      <c r="F29" t="s">
        <v>95</v>
      </c>
      <c r="G29" s="5">
        <v>470000</v>
      </c>
      <c r="H29" t="str">
        <f t="shared" si="0"/>
        <v/>
      </c>
      <c r="I29" s="3">
        <f t="shared" si="1"/>
        <v>470000</v>
      </c>
      <c r="J29" s="3">
        <f t="shared" si="2"/>
        <v>14100</v>
      </c>
      <c r="K29" t="str" cm="1">
        <f t="array" ref="K29">_xlfn.IFS(I29/D29&lt;4200,"Cheap sqm price",AND(I29/D29&gt;4200,I29/D29&lt;6000),"Normal sqm price",I29/D29&gt;=6000,"Expensive sqm price")</f>
        <v>Normal sqm price</v>
      </c>
      <c r="L29" t="str">
        <f t="shared" si="3"/>
        <v/>
      </c>
    </row>
    <row r="30" spans="1:12" x14ac:dyDescent="0.3">
      <c r="A30" t="s">
        <v>33</v>
      </c>
      <c r="B30">
        <v>4</v>
      </c>
      <c r="C30" t="s">
        <v>4</v>
      </c>
      <c r="D30">
        <v>145</v>
      </c>
      <c r="F30" t="s">
        <v>89</v>
      </c>
      <c r="G30" s="5">
        <v>531000</v>
      </c>
      <c r="H30" t="str">
        <f t="shared" si="0"/>
        <v>Big Size</v>
      </c>
      <c r="I30" s="3">
        <f t="shared" si="1"/>
        <v>531000</v>
      </c>
      <c r="J30" s="3">
        <f t="shared" si="2"/>
        <v>15930</v>
      </c>
      <c r="K30" t="str" cm="1">
        <f t="array" ref="K30">_xlfn.IFS(I30/D30&lt;4200,"Cheap sqm price",AND(I30/D30&gt;4200,I30/D30&lt;6000),"Normal sqm price",I30/D30&gt;=6000,"Expensive sqm price")</f>
        <v>Cheap sqm price</v>
      </c>
      <c r="L30" t="str">
        <f t="shared" si="3"/>
        <v/>
      </c>
    </row>
    <row r="31" spans="1:12" x14ac:dyDescent="0.3">
      <c r="A31" t="s">
        <v>34</v>
      </c>
      <c r="B31">
        <v>7</v>
      </c>
      <c r="C31" t="s">
        <v>2</v>
      </c>
      <c r="D31">
        <v>190</v>
      </c>
      <c r="F31" t="s">
        <v>90</v>
      </c>
      <c r="G31" s="5">
        <v>796000</v>
      </c>
      <c r="H31" t="str">
        <f t="shared" si="0"/>
        <v>Big Size</v>
      </c>
      <c r="I31" s="3">
        <f t="shared" si="1"/>
        <v>796000</v>
      </c>
      <c r="J31" s="3">
        <f t="shared" si="2"/>
        <v>23880</v>
      </c>
      <c r="K31" t="str" cm="1">
        <f t="array" ref="K31">_xlfn.IFS(I31/D31&lt;4200,"Cheap sqm price",AND(I31/D31&gt;4200,I31/D31&lt;6000),"Normal sqm price",I31/D31&gt;=6000,"Expensive sqm price")</f>
        <v>Cheap sqm price</v>
      </c>
      <c r="L31" t="str">
        <f t="shared" si="3"/>
        <v>Big deal</v>
      </c>
    </row>
    <row r="32" spans="1:12" x14ac:dyDescent="0.3">
      <c r="A32" t="s">
        <v>35</v>
      </c>
      <c r="B32">
        <v>3</v>
      </c>
      <c r="C32" t="s">
        <v>4</v>
      </c>
      <c r="D32">
        <v>105</v>
      </c>
      <c r="E32" t="s">
        <v>98</v>
      </c>
      <c r="F32" t="s">
        <v>91</v>
      </c>
      <c r="G32" s="5">
        <v>400000</v>
      </c>
      <c r="H32" t="str">
        <f t="shared" si="0"/>
        <v/>
      </c>
      <c r="I32" s="3">
        <f t="shared" si="1"/>
        <v>400000</v>
      </c>
      <c r="J32" s="3">
        <f t="shared" si="2"/>
        <v>12000</v>
      </c>
      <c r="K32" t="str" cm="1">
        <f t="array" ref="K32">_xlfn.IFS(I32/D32&lt;4200,"Cheap sqm price",AND(I32/D32&gt;4200,I32/D32&lt;6000),"Normal sqm price",I32/D32&gt;=6000,"Expensive sqm price")</f>
        <v>Cheap sqm price</v>
      </c>
      <c r="L32" t="str">
        <f t="shared" si="3"/>
        <v/>
      </c>
    </row>
    <row r="33" spans="1:12" x14ac:dyDescent="0.3">
      <c r="A33" t="s">
        <v>36</v>
      </c>
      <c r="B33">
        <v>4</v>
      </c>
      <c r="C33" t="s">
        <v>2</v>
      </c>
      <c r="D33">
        <v>120</v>
      </c>
      <c r="E33" t="s">
        <v>98</v>
      </c>
      <c r="F33" t="s">
        <v>92</v>
      </c>
      <c r="G33" s="5">
        <v>530000</v>
      </c>
      <c r="H33" t="str">
        <f t="shared" si="0"/>
        <v>Big Size</v>
      </c>
      <c r="I33" s="3">
        <f t="shared" si="1"/>
        <v>530000</v>
      </c>
      <c r="J33" s="3">
        <f t="shared" si="2"/>
        <v>15900</v>
      </c>
      <c r="K33" t="str" cm="1">
        <f t="array" ref="K33">_xlfn.IFS(I33/D33&lt;4200,"Cheap sqm price",AND(I33/D33&gt;4200,I33/D33&lt;6000),"Normal sqm price",I33/D33&gt;=6000,"Expensive sqm price")</f>
        <v>Normal sqm price</v>
      </c>
      <c r="L33" t="str">
        <f t="shared" si="3"/>
        <v>Big deal</v>
      </c>
    </row>
    <row r="34" spans="1:12" x14ac:dyDescent="0.3">
      <c r="A34" t="s">
        <v>37</v>
      </c>
      <c r="B34">
        <v>7</v>
      </c>
      <c r="C34" t="s">
        <v>2</v>
      </c>
      <c r="D34">
        <v>220</v>
      </c>
      <c r="F34" t="s">
        <v>93</v>
      </c>
      <c r="G34" s="5">
        <v>795000</v>
      </c>
      <c r="H34" t="str">
        <f t="shared" si="0"/>
        <v>Big Size</v>
      </c>
      <c r="I34" s="3">
        <f t="shared" si="1"/>
        <v>795000</v>
      </c>
      <c r="J34" s="3">
        <f t="shared" si="2"/>
        <v>23850</v>
      </c>
      <c r="K34" t="str" cm="1">
        <f t="array" ref="K34">_xlfn.IFS(I34/D34&lt;4200,"Cheap sqm price",AND(I34/D34&gt;4200,I34/D34&lt;6000),"Normal sqm price",I34/D34&gt;=6000,"Expensive sqm price")</f>
        <v>Cheap sqm price</v>
      </c>
      <c r="L34" t="str">
        <f t="shared" si="3"/>
        <v>Big deal</v>
      </c>
    </row>
    <row r="35" spans="1:12" x14ac:dyDescent="0.3">
      <c r="A35" t="s">
        <v>38</v>
      </c>
      <c r="B35">
        <v>5</v>
      </c>
      <c r="C35" t="s">
        <v>2</v>
      </c>
      <c r="D35">
        <v>140</v>
      </c>
      <c r="F35" t="s">
        <v>94</v>
      </c>
      <c r="G35" s="5">
        <v>664000</v>
      </c>
      <c r="H35" t="str">
        <f t="shared" si="0"/>
        <v>Big Size</v>
      </c>
      <c r="I35" s="3">
        <f t="shared" si="1"/>
        <v>664000</v>
      </c>
      <c r="J35" s="3">
        <f t="shared" si="2"/>
        <v>19920</v>
      </c>
      <c r="K35" t="str" cm="1">
        <f t="array" ref="K35">_xlfn.IFS(I35/D35&lt;4200,"Cheap sqm price",AND(I35/D35&gt;4200,I35/D35&lt;6000),"Normal sqm price",I35/D35&gt;=6000,"Expensive sqm price")</f>
        <v>Normal sqm price</v>
      </c>
      <c r="L35" t="str">
        <f t="shared" si="3"/>
        <v>Big deal</v>
      </c>
    </row>
    <row r="36" spans="1:12" x14ac:dyDescent="0.3">
      <c r="A36" t="s">
        <v>39</v>
      </c>
      <c r="B36">
        <v>2</v>
      </c>
      <c r="C36" t="s">
        <v>2</v>
      </c>
      <c r="D36">
        <v>60</v>
      </c>
      <c r="F36" t="s">
        <v>95</v>
      </c>
      <c r="G36" s="5">
        <v>266000</v>
      </c>
      <c r="H36" t="str">
        <f t="shared" si="0"/>
        <v/>
      </c>
      <c r="I36" s="3">
        <f t="shared" si="1"/>
        <v>266000</v>
      </c>
      <c r="J36" s="3">
        <f t="shared" si="2"/>
        <v>7980</v>
      </c>
      <c r="K36" t="str" cm="1">
        <f t="array" ref="K36">_xlfn.IFS(I36/D36&lt;4200,"Cheap sqm price",AND(I36/D36&gt;4200,I36/D36&lt;6000),"Normal sqm price",I36/D36&gt;=6000,"Expensive sqm price")</f>
        <v>Normal sqm price</v>
      </c>
      <c r="L36" t="str">
        <f t="shared" si="3"/>
        <v>Big deal</v>
      </c>
    </row>
    <row r="37" spans="1:12" x14ac:dyDescent="0.3">
      <c r="A37" t="s">
        <v>40</v>
      </c>
      <c r="B37">
        <v>2</v>
      </c>
      <c r="C37" t="s">
        <v>2</v>
      </c>
      <c r="D37">
        <v>55</v>
      </c>
      <c r="E37" t="s">
        <v>98</v>
      </c>
      <c r="F37" t="s">
        <v>89</v>
      </c>
      <c r="G37" s="5">
        <v>266000</v>
      </c>
      <c r="H37" t="str">
        <f t="shared" si="0"/>
        <v/>
      </c>
      <c r="I37" s="3">
        <f t="shared" si="1"/>
        <v>266000</v>
      </c>
      <c r="J37" s="3">
        <f t="shared" si="2"/>
        <v>7980</v>
      </c>
      <c r="K37" t="str" cm="1">
        <f t="array" ref="K37">_xlfn.IFS(I37/D37&lt;4200,"Cheap sqm price",AND(I37/D37&gt;4200,I37/D37&lt;6000),"Normal sqm price",I37/D37&gt;=6000,"Expensive sqm price")</f>
        <v>Normal sqm price</v>
      </c>
      <c r="L37" t="str">
        <f t="shared" si="3"/>
        <v>Big deal</v>
      </c>
    </row>
    <row r="38" spans="1:12" x14ac:dyDescent="0.3">
      <c r="A38" t="s">
        <v>41</v>
      </c>
      <c r="B38">
        <v>1</v>
      </c>
      <c r="C38" t="s">
        <v>4</v>
      </c>
      <c r="D38">
        <v>41</v>
      </c>
      <c r="F38" t="s">
        <v>90</v>
      </c>
      <c r="G38" s="5">
        <v>146000</v>
      </c>
      <c r="H38" t="str">
        <f t="shared" si="0"/>
        <v/>
      </c>
      <c r="I38" s="3">
        <f t="shared" si="1"/>
        <v>146000</v>
      </c>
      <c r="J38" s="3">
        <f t="shared" si="2"/>
        <v>4380</v>
      </c>
      <c r="K38" t="str" cm="1">
        <f t="array" ref="K38">_xlfn.IFS(I38/D38&lt;4200,"Cheap sqm price",AND(I38/D38&gt;4200,I38/D38&lt;6000),"Normal sqm price",I38/D38&gt;=6000,"Expensive sqm price")</f>
        <v>Cheap sqm price</v>
      </c>
      <c r="L38" t="str">
        <f t="shared" si="3"/>
        <v/>
      </c>
    </row>
    <row r="39" spans="1:12" x14ac:dyDescent="0.3">
      <c r="A39" t="s">
        <v>42</v>
      </c>
      <c r="B39">
        <v>1</v>
      </c>
      <c r="C39" t="s">
        <v>2</v>
      </c>
      <c r="D39">
        <v>36</v>
      </c>
      <c r="F39" t="s">
        <v>91</v>
      </c>
      <c r="G39" s="5">
        <v>140000</v>
      </c>
      <c r="H39" t="str">
        <f t="shared" si="0"/>
        <v/>
      </c>
      <c r="I39" s="3">
        <f t="shared" si="1"/>
        <v>140000</v>
      </c>
      <c r="J39" s="3">
        <f t="shared" si="2"/>
        <v>4200</v>
      </c>
      <c r="K39" t="str" cm="1">
        <f t="array" ref="K39">_xlfn.IFS(I39/D39&lt;4200,"Cheap sqm price",AND(I39/D39&gt;4200,I39/D39&lt;6000),"Normal sqm price",I39/D39&gt;=6000,"Expensive sqm price")</f>
        <v>Cheap sqm price</v>
      </c>
      <c r="L39" t="str">
        <f t="shared" si="3"/>
        <v>Big deal</v>
      </c>
    </row>
    <row r="40" spans="1:12" x14ac:dyDescent="0.3">
      <c r="A40" t="s">
        <v>43</v>
      </c>
      <c r="B40">
        <v>1</v>
      </c>
      <c r="C40" t="s">
        <v>3</v>
      </c>
      <c r="D40">
        <v>30</v>
      </c>
      <c r="E40" t="s">
        <v>98</v>
      </c>
      <c r="F40" t="s">
        <v>92</v>
      </c>
      <c r="G40" s="5">
        <v>209000</v>
      </c>
      <c r="H40" t="str">
        <f t="shared" si="0"/>
        <v/>
      </c>
      <c r="I40" s="3">
        <f t="shared" si="1"/>
        <v>259000</v>
      </c>
      <c r="J40" s="3">
        <f t="shared" si="2"/>
        <v>7770</v>
      </c>
      <c r="K40" t="str" cm="1">
        <f t="array" ref="K40">_xlfn.IFS(I40/D40&lt;4200,"Cheap sqm price",AND(I40/D40&gt;4200,I40/D40&lt;6000),"Normal sqm price",I40/D40&gt;=6000,"Expensive sqm price")</f>
        <v>Expensive sqm price</v>
      </c>
      <c r="L40" t="str">
        <f t="shared" si="3"/>
        <v/>
      </c>
    </row>
    <row r="41" spans="1:12" x14ac:dyDescent="0.3">
      <c r="A41" t="s">
        <v>44</v>
      </c>
      <c r="B41">
        <v>1</v>
      </c>
      <c r="C41" t="s">
        <v>2</v>
      </c>
      <c r="D41">
        <v>36</v>
      </c>
      <c r="F41" t="s">
        <v>93</v>
      </c>
      <c r="G41" s="5">
        <v>136000</v>
      </c>
      <c r="H41" t="str">
        <f t="shared" si="0"/>
        <v/>
      </c>
      <c r="I41" s="3">
        <f t="shared" si="1"/>
        <v>136000</v>
      </c>
      <c r="J41" s="3">
        <f t="shared" si="2"/>
        <v>4080</v>
      </c>
      <c r="K41" t="str" cm="1">
        <f t="array" ref="K41">_xlfn.IFS(I41/D41&lt;4200,"Cheap sqm price",AND(I41/D41&gt;4200,I41/D41&lt;6000),"Normal sqm price",I41/D41&gt;=6000,"Expensive sqm price")</f>
        <v>Cheap sqm price</v>
      </c>
      <c r="L41" t="str">
        <f t="shared" si="3"/>
        <v>Big deal</v>
      </c>
    </row>
    <row r="42" spans="1:12" x14ac:dyDescent="0.3">
      <c r="A42" t="s">
        <v>45</v>
      </c>
      <c r="B42">
        <v>4</v>
      </c>
      <c r="C42" t="s">
        <v>2</v>
      </c>
      <c r="D42">
        <v>122</v>
      </c>
      <c r="F42" t="s">
        <v>94</v>
      </c>
      <c r="G42" s="5">
        <v>530000</v>
      </c>
      <c r="H42" t="str">
        <f t="shared" si="0"/>
        <v>Big Size</v>
      </c>
      <c r="I42" s="3">
        <f t="shared" si="1"/>
        <v>530000</v>
      </c>
      <c r="J42" s="3">
        <f t="shared" si="2"/>
        <v>15900</v>
      </c>
      <c r="K42" t="str" cm="1">
        <f t="array" ref="K42">_xlfn.IFS(I42/D42&lt;4200,"Cheap sqm price",AND(I42/D42&gt;4200,I42/D42&lt;6000),"Normal sqm price",I42/D42&gt;=6000,"Expensive sqm price")</f>
        <v>Normal sqm price</v>
      </c>
      <c r="L42" t="str">
        <f t="shared" si="3"/>
        <v>Big deal</v>
      </c>
    </row>
    <row r="43" spans="1:12" x14ac:dyDescent="0.3">
      <c r="A43" t="s">
        <v>46</v>
      </c>
      <c r="B43">
        <v>3</v>
      </c>
      <c r="C43" t="s">
        <v>2</v>
      </c>
      <c r="D43">
        <v>85</v>
      </c>
      <c r="F43" t="s">
        <v>95</v>
      </c>
      <c r="G43" s="5">
        <v>469000</v>
      </c>
      <c r="H43" t="str">
        <f t="shared" si="0"/>
        <v/>
      </c>
      <c r="I43" s="3">
        <f t="shared" si="1"/>
        <v>469000</v>
      </c>
      <c r="J43" s="3">
        <f t="shared" si="2"/>
        <v>14070</v>
      </c>
      <c r="K43" t="str" cm="1">
        <f t="array" ref="K43">_xlfn.IFS(I43/D43&lt;4200,"Cheap sqm price",AND(I43/D43&gt;4200,I43/D43&lt;6000),"Normal sqm price",I43/D43&gt;=6000,"Expensive sqm price")</f>
        <v>Normal sqm price</v>
      </c>
      <c r="L43" t="str">
        <f t="shared" si="3"/>
        <v/>
      </c>
    </row>
    <row r="44" spans="1:12" x14ac:dyDescent="0.3">
      <c r="A44" t="s">
        <v>47</v>
      </c>
      <c r="B44">
        <v>2</v>
      </c>
      <c r="C44" t="s">
        <v>3</v>
      </c>
      <c r="D44">
        <v>32</v>
      </c>
      <c r="E44" t="s">
        <v>98</v>
      </c>
      <c r="F44" t="s">
        <v>89</v>
      </c>
      <c r="G44" s="5">
        <v>272000</v>
      </c>
      <c r="H44" t="str">
        <f t="shared" si="0"/>
        <v/>
      </c>
      <c r="I44" s="3">
        <f t="shared" si="1"/>
        <v>322000</v>
      </c>
      <c r="J44" s="3">
        <f t="shared" si="2"/>
        <v>9660</v>
      </c>
      <c r="K44" t="str" cm="1">
        <f t="array" ref="K44">_xlfn.IFS(I44/D44&lt;4200,"Cheap sqm price",AND(I44/D44&gt;4200,I44/D44&lt;6000),"Normal sqm price",I44/D44&gt;=6000,"Expensive sqm price")</f>
        <v>Expensive sqm price</v>
      </c>
      <c r="L44" t="str">
        <f t="shared" si="3"/>
        <v/>
      </c>
    </row>
    <row r="45" spans="1:12" x14ac:dyDescent="0.3">
      <c r="A45" t="s">
        <v>48</v>
      </c>
      <c r="B45">
        <v>4</v>
      </c>
      <c r="C45" t="s">
        <v>2</v>
      </c>
      <c r="D45">
        <v>132</v>
      </c>
      <c r="F45" t="s">
        <v>90</v>
      </c>
      <c r="G45" s="5">
        <v>532000</v>
      </c>
      <c r="H45" t="str">
        <f t="shared" si="0"/>
        <v>Big Size</v>
      </c>
      <c r="I45" s="3">
        <f t="shared" si="1"/>
        <v>532000</v>
      </c>
      <c r="J45" s="3">
        <f t="shared" si="2"/>
        <v>15960</v>
      </c>
      <c r="K45" t="str" cm="1">
        <f t="array" ref="K45">_xlfn.IFS(I45/D45&lt;4200,"Cheap sqm price",AND(I45/D45&gt;4200,I45/D45&lt;6000),"Normal sqm price",I45/D45&gt;=6000,"Expensive sqm price")</f>
        <v>Cheap sqm price</v>
      </c>
      <c r="L45" t="str">
        <f t="shared" si="3"/>
        <v>Big deal</v>
      </c>
    </row>
    <row r="46" spans="1:12" x14ac:dyDescent="0.3">
      <c r="A46" t="s">
        <v>49</v>
      </c>
      <c r="B46">
        <v>2</v>
      </c>
      <c r="C46" t="s">
        <v>4</v>
      </c>
      <c r="D46">
        <v>70</v>
      </c>
      <c r="F46" t="s">
        <v>91</v>
      </c>
      <c r="G46" s="5">
        <v>268000</v>
      </c>
      <c r="H46" t="str">
        <f t="shared" si="0"/>
        <v/>
      </c>
      <c r="I46" s="3">
        <f t="shared" si="1"/>
        <v>268000</v>
      </c>
      <c r="J46" s="3">
        <f t="shared" si="2"/>
        <v>8040</v>
      </c>
      <c r="K46" t="str" cm="1">
        <f t="array" ref="K46">_xlfn.IFS(I46/D46&lt;4200,"Cheap sqm price",AND(I46/D46&gt;4200,I46/D46&lt;6000),"Normal sqm price",I46/D46&gt;=6000,"Expensive sqm price")</f>
        <v>Cheap sqm price</v>
      </c>
      <c r="L46" t="str">
        <f t="shared" si="3"/>
        <v/>
      </c>
    </row>
    <row r="47" spans="1:12" x14ac:dyDescent="0.3">
      <c r="A47" t="s">
        <v>50</v>
      </c>
      <c r="B47">
        <v>2</v>
      </c>
      <c r="C47" t="s">
        <v>3</v>
      </c>
      <c r="D47">
        <v>56</v>
      </c>
      <c r="F47" t="s">
        <v>92</v>
      </c>
      <c r="G47" s="5">
        <v>291000</v>
      </c>
      <c r="H47" t="str">
        <f t="shared" si="0"/>
        <v/>
      </c>
      <c r="I47" s="3">
        <f t="shared" si="1"/>
        <v>291000</v>
      </c>
      <c r="J47" s="3">
        <f t="shared" si="2"/>
        <v>8730</v>
      </c>
      <c r="K47" t="str" cm="1">
        <f t="array" ref="K47">_xlfn.IFS(I47/D47&lt;4200,"Cheap sqm price",AND(I47/D47&gt;4200,I47/D47&lt;6000),"Normal sqm price",I47/D47&gt;=6000,"Expensive sqm price")</f>
        <v>Normal sqm price</v>
      </c>
      <c r="L47" t="str">
        <f t="shared" si="3"/>
        <v/>
      </c>
    </row>
    <row r="48" spans="1:12" x14ac:dyDescent="0.3">
      <c r="A48" t="s">
        <v>51</v>
      </c>
      <c r="B48">
        <v>4</v>
      </c>
      <c r="C48" t="s">
        <v>3</v>
      </c>
      <c r="D48">
        <v>118</v>
      </c>
      <c r="F48" t="s">
        <v>93</v>
      </c>
      <c r="G48" s="5">
        <v>532000</v>
      </c>
      <c r="H48" t="str">
        <f t="shared" si="0"/>
        <v>Big Size</v>
      </c>
      <c r="I48" s="3">
        <f t="shared" si="1"/>
        <v>532000</v>
      </c>
      <c r="J48" s="3">
        <f t="shared" si="2"/>
        <v>15960</v>
      </c>
      <c r="K48" t="str" cm="1">
        <f t="array" ref="K48">_xlfn.IFS(I48/D48&lt;4200,"Cheap sqm price",AND(I48/D48&gt;4200,I48/D48&lt;6000),"Normal sqm price",I48/D48&gt;=6000,"Expensive sqm price")</f>
        <v>Normal sqm price</v>
      </c>
      <c r="L48" t="str">
        <f t="shared" si="3"/>
        <v>Big deal</v>
      </c>
    </row>
    <row r="49" spans="1:12" x14ac:dyDescent="0.3">
      <c r="A49" t="s">
        <v>52</v>
      </c>
      <c r="B49">
        <v>1</v>
      </c>
      <c r="C49" t="s">
        <v>2</v>
      </c>
      <c r="D49">
        <v>35</v>
      </c>
      <c r="F49" t="s">
        <v>94</v>
      </c>
      <c r="G49" s="5">
        <v>135000</v>
      </c>
      <c r="H49" t="str">
        <f t="shared" si="0"/>
        <v/>
      </c>
      <c r="I49" s="3">
        <f t="shared" si="1"/>
        <v>135000</v>
      </c>
      <c r="J49" s="3">
        <f t="shared" si="2"/>
        <v>4050</v>
      </c>
      <c r="K49" t="str" cm="1">
        <f t="array" ref="K49">_xlfn.IFS(I49/D49&lt;4200,"Cheap sqm price",AND(I49/D49&gt;4200,I49/D49&lt;6000),"Normal sqm price",I49/D49&gt;=6000,"Expensive sqm price")</f>
        <v>Cheap sqm price</v>
      </c>
      <c r="L49" t="str">
        <f t="shared" si="3"/>
        <v>Big deal</v>
      </c>
    </row>
    <row r="50" spans="1:12" x14ac:dyDescent="0.3">
      <c r="A50" t="s">
        <v>53</v>
      </c>
      <c r="B50">
        <v>2</v>
      </c>
      <c r="C50" t="s">
        <v>4</v>
      </c>
      <c r="D50">
        <v>72</v>
      </c>
      <c r="F50" t="s">
        <v>95</v>
      </c>
      <c r="G50" s="5">
        <v>266000</v>
      </c>
      <c r="H50" t="str">
        <f t="shared" si="0"/>
        <v/>
      </c>
      <c r="I50" s="3">
        <f t="shared" si="1"/>
        <v>266000</v>
      </c>
      <c r="J50" s="3">
        <f t="shared" si="2"/>
        <v>7980</v>
      </c>
      <c r="K50" t="str" cm="1">
        <f t="array" ref="K50">_xlfn.IFS(I50/D50&lt;4200,"Cheap sqm price",AND(I50/D50&gt;4200,I50/D50&lt;6000),"Normal sqm price",I50/D50&gt;=6000,"Expensive sqm price")</f>
        <v>Cheap sqm price</v>
      </c>
      <c r="L50" t="str">
        <f t="shared" si="3"/>
        <v/>
      </c>
    </row>
    <row r="51" spans="1:12" x14ac:dyDescent="0.3">
      <c r="A51" t="s">
        <v>54</v>
      </c>
      <c r="B51">
        <v>3</v>
      </c>
      <c r="C51" t="s">
        <v>2</v>
      </c>
      <c r="D51">
        <v>84</v>
      </c>
      <c r="F51" t="s">
        <v>89</v>
      </c>
      <c r="G51" s="5">
        <v>400000</v>
      </c>
      <c r="H51" t="str">
        <f t="shared" si="0"/>
        <v/>
      </c>
      <c r="I51" s="3">
        <f t="shared" si="1"/>
        <v>400000</v>
      </c>
      <c r="J51" s="3">
        <f t="shared" si="2"/>
        <v>12000</v>
      </c>
      <c r="K51" t="str" cm="1">
        <f t="array" ref="K51">_xlfn.IFS(I51/D51&lt;4200,"Cheap sqm price",AND(I51/D51&gt;4200,I51/D51&lt;6000),"Normal sqm price",I51/D51&gt;=6000,"Expensive sqm price")</f>
        <v>Normal sqm price</v>
      </c>
      <c r="L51" t="str">
        <f t="shared" si="3"/>
        <v>Big deal</v>
      </c>
    </row>
    <row r="52" spans="1:12" x14ac:dyDescent="0.3">
      <c r="A52" t="s">
        <v>55</v>
      </c>
      <c r="B52">
        <v>3</v>
      </c>
      <c r="C52" t="s">
        <v>4</v>
      </c>
      <c r="D52">
        <v>110</v>
      </c>
      <c r="E52" t="s">
        <v>98</v>
      </c>
      <c r="F52" t="s">
        <v>90</v>
      </c>
      <c r="G52" s="5">
        <v>398000</v>
      </c>
      <c r="H52" t="str">
        <f t="shared" si="0"/>
        <v>Big Size</v>
      </c>
      <c r="I52" s="3">
        <f t="shared" si="1"/>
        <v>398000</v>
      </c>
      <c r="J52" s="3">
        <f t="shared" si="2"/>
        <v>11940</v>
      </c>
      <c r="K52" t="str" cm="1">
        <f t="array" ref="K52">_xlfn.IFS(I52/D52&lt;4200,"Cheap sqm price",AND(I52/D52&gt;4200,I52/D52&lt;6000),"Normal sqm price",I52/D52&gt;=6000,"Expensive sqm price")</f>
        <v>Cheap sqm price</v>
      </c>
      <c r="L52" t="str">
        <f t="shared" si="3"/>
        <v/>
      </c>
    </row>
    <row r="53" spans="1:12" x14ac:dyDescent="0.3">
      <c r="A53" t="s">
        <v>56</v>
      </c>
      <c r="B53">
        <v>4</v>
      </c>
      <c r="C53" t="s">
        <v>2</v>
      </c>
      <c r="D53">
        <v>128</v>
      </c>
      <c r="F53" t="s">
        <v>91</v>
      </c>
      <c r="G53" s="5">
        <v>531000</v>
      </c>
      <c r="H53" t="str">
        <f t="shared" si="0"/>
        <v>Big Size</v>
      </c>
      <c r="I53" s="3">
        <f t="shared" si="1"/>
        <v>531000</v>
      </c>
      <c r="J53" s="3">
        <f t="shared" si="2"/>
        <v>15930</v>
      </c>
      <c r="K53" t="str" cm="1">
        <f t="array" ref="K53">_xlfn.IFS(I53/D53&lt;4200,"Cheap sqm price",AND(I53/D53&gt;4200,I53/D53&lt;6000),"Normal sqm price",I53/D53&gt;=6000,"Expensive sqm price")</f>
        <v>Cheap sqm price</v>
      </c>
      <c r="L53" t="str">
        <f t="shared" si="3"/>
        <v>Big deal</v>
      </c>
    </row>
    <row r="54" spans="1:12" x14ac:dyDescent="0.3">
      <c r="A54" t="s">
        <v>57</v>
      </c>
      <c r="B54">
        <v>1</v>
      </c>
      <c r="C54" t="s">
        <v>2</v>
      </c>
      <c r="D54">
        <v>33</v>
      </c>
      <c r="E54" t="s">
        <v>98</v>
      </c>
      <c r="F54" t="s">
        <v>92</v>
      </c>
      <c r="G54" s="5">
        <v>135000</v>
      </c>
      <c r="H54" t="str">
        <f t="shared" si="0"/>
        <v/>
      </c>
      <c r="I54" s="3">
        <f t="shared" si="1"/>
        <v>135000</v>
      </c>
      <c r="J54" s="3">
        <f t="shared" si="2"/>
        <v>4050</v>
      </c>
      <c r="K54" t="str" cm="1">
        <f t="array" ref="K54">_xlfn.IFS(I54/D54&lt;4200,"Cheap sqm price",AND(I54/D54&gt;4200,I54/D54&lt;6000),"Normal sqm price",I54/D54&gt;=6000,"Expensive sqm price")</f>
        <v>Cheap sqm price</v>
      </c>
      <c r="L54" t="str">
        <f t="shared" si="3"/>
        <v>Big deal</v>
      </c>
    </row>
    <row r="55" spans="1:12" x14ac:dyDescent="0.3">
      <c r="A55" t="s">
        <v>58</v>
      </c>
      <c r="B55">
        <v>5</v>
      </c>
      <c r="C55" t="s">
        <v>3</v>
      </c>
      <c r="D55">
        <v>123</v>
      </c>
      <c r="E55" t="s">
        <v>98</v>
      </c>
      <c r="F55" t="s">
        <v>94</v>
      </c>
      <c r="G55" s="5">
        <v>588000</v>
      </c>
      <c r="H55" t="str">
        <f t="shared" si="0"/>
        <v>Big Size</v>
      </c>
      <c r="I55" s="3">
        <f t="shared" si="1"/>
        <v>638000</v>
      </c>
      <c r="J55" s="3">
        <f t="shared" si="2"/>
        <v>19140</v>
      </c>
      <c r="K55" t="str" cm="1">
        <f t="array" ref="K55">_xlfn.IFS(I55/D55&lt;4200,"Cheap sqm price",AND(I55/D55&gt;4200,I55/D55&lt;6000),"Normal sqm price",I55/D55&gt;=6000,"Expensive sqm price")</f>
        <v>Normal sqm price</v>
      </c>
      <c r="L55" t="str">
        <f t="shared" si="3"/>
        <v/>
      </c>
    </row>
    <row r="56" spans="1:12" x14ac:dyDescent="0.3">
      <c r="A56" t="s">
        <v>59</v>
      </c>
      <c r="B56">
        <v>2</v>
      </c>
      <c r="C56" t="s">
        <v>2</v>
      </c>
      <c r="D56">
        <v>48</v>
      </c>
      <c r="F56" t="s">
        <v>93</v>
      </c>
      <c r="G56" s="5">
        <v>167000</v>
      </c>
      <c r="H56" t="str">
        <f t="shared" si="0"/>
        <v/>
      </c>
      <c r="I56" s="3">
        <f t="shared" si="1"/>
        <v>167000</v>
      </c>
      <c r="J56" s="3">
        <f t="shared" si="2"/>
        <v>5010</v>
      </c>
      <c r="K56" t="str" cm="1">
        <f t="array" ref="K56">_xlfn.IFS(I56/D56&lt;4200,"Cheap sqm price",AND(I56/D56&gt;4200,I56/D56&lt;6000),"Normal sqm price",I56/D56&gt;=6000,"Expensive sqm price")</f>
        <v>Cheap sqm price</v>
      </c>
      <c r="L56" t="str">
        <f t="shared" si="3"/>
        <v>Big deal</v>
      </c>
    </row>
    <row r="57" spans="1:12" x14ac:dyDescent="0.3">
      <c r="A57" t="s">
        <v>60</v>
      </c>
      <c r="B57">
        <v>4</v>
      </c>
      <c r="C57" t="s">
        <v>2</v>
      </c>
      <c r="D57">
        <v>120</v>
      </c>
      <c r="F57" t="s">
        <v>95</v>
      </c>
      <c r="G57" s="5">
        <v>712000</v>
      </c>
      <c r="H57" t="str">
        <f t="shared" si="0"/>
        <v>Big Size</v>
      </c>
      <c r="I57" s="3">
        <f t="shared" si="1"/>
        <v>712000</v>
      </c>
      <c r="J57" s="3">
        <f t="shared" si="2"/>
        <v>21360</v>
      </c>
      <c r="K57" t="str" cm="1">
        <f t="array" ref="K57">_xlfn.IFS(I57/D57&lt;4200,"Cheap sqm price",AND(I57/D57&gt;4200,I57/D57&lt;6000),"Normal sqm price",I57/D57&gt;=6000,"Expensive sqm price")</f>
        <v>Normal sqm price</v>
      </c>
      <c r="L57" t="str">
        <f t="shared" si="3"/>
        <v/>
      </c>
    </row>
    <row r="58" spans="1:12" x14ac:dyDescent="0.3">
      <c r="A58" t="s">
        <v>61</v>
      </c>
      <c r="B58">
        <v>4</v>
      </c>
      <c r="C58" t="s">
        <v>3</v>
      </c>
      <c r="D58">
        <v>116</v>
      </c>
      <c r="F58" t="s">
        <v>93</v>
      </c>
      <c r="G58" s="5">
        <v>739000</v>
      </c>
      <c r="H58" t="str">
        <f t="shared" si="0"/>
        <v>Big Size</v>
      </c>
      <c r="I58" s="3">
        <f t="shared" si="1"/>
        <v>739000</v>
      </c>
      <c r="J58" s="3">
        <f t="shared" si="2"/>
        <v>22170</v>
      </c>
      <c r="K58" t="str" cm="1">
        <f t="array" ref="K58">_xlfn.IFS(I58/D58&lt;4200,"Cheap sqm price",AND(I58/D58&gt;4200,I58/D58&lt;6000),"Normal sqm price",I58/D58&gt;=6000,"Expensive sqm price")</f>
        <v>Expensive sqm price</v>
      </c>
      <c r="L58" t="str">
        <f t="shared" si="3"/>
        <v/>
      </c>
    </row>
    <row r="59" spans="1:12" x14ac:dyDescent="0.3">
      <c r="A59" t="s">
        <v>62</v>
      </c>
      <c r="B59">
        <v>3</v>
      </c>
      <c r="C59" t="s">
        <v>2</v>
      </c>
      <c r="D59">
        <v>95</v>
      </c>
      <c r="E59" t="s">
        <v>98</v>
      </c>
      <c r="F59" t="s">
        <v>89</v>
      </c>
      <c r="G59" s="5">
        <v>455000</v>
      </c>
      <c r="H59" t="str">
        <f t="shared" si="0"/>
        <v/>
      </c>
      <c r="I59" s="3">
        <f t="shared" si="1"/>
        <v>455000</v>
      </c>
      <c r="J59" s="3">
        <f t="shared" si="2"/>
        <v>13650</v>
      </c>
      <c r="K59" t="str" cm="1">
        <f t="array" ref="K59">_xlfn.IFS(I59/D59&lt;4200,"Cheap sqm price",AND(I59/D59&gt;4200,I59/D59&lt;6000),"Normal sqm price",I59/D59&gt;=6000,"Expensive sqm price")</f>
        <v>Normal sqm price</v>
      </c>
      <c r="L59" t="str">
        <f t="shared" si="3"/>
        <v>Big deal</v>
      </c>
    </row>
    <row r="60" spans="1:12" x14ac:dyDescent="0.3">
      <c r="A60" t="s">
        <v>63</v>
      </c>
      <c r="B60">
        <v>1</v>
      </c>
      <c r="C60" t="s">
        <v>2</v>
      </c>
      <c r="D60">
        <v>38</v>
      </c>
      <c r="E60" t="s">
        <v>98</v>
      </c>
      <c r="F60" t="s">
        <v>92</v>
      </c>
      <c r="G60" s="5">
        <v>146000</v>
      </c>
      <c r="H60" t="str">
        <f t="shared" si="0"/>
        <v/>
      </c>
      <c r="I60" s="3">
        <f t="shared" si="1"/>
        <v>146000</v>
      </c>
      <c r="J60" s="3">
        <f t="shared" si="2"/>
        <v>4380</v>
      </c>
      <c r="K60" t="str" cm="1">
        <f t="array" ref="K60">_xlfn.IFS(I60/D60&lt;4200,"Cheap sqm price",AND(I60/D60&gt;4200,I60/D60&lt;6000),"Normal sqm price",I60/D60&gt;=6000,"Expensive sqm price")</f>
        <v>Cheap sqm price</v>
      </c>
      <c r="L60" t="str">
        <f t="shared" si="3"/>
        <v>Big deal</v>
      </c>
    </row>
    <row r="61" spans="1:12" x14ac:dyDescent="0.3">
      <c r="A61" t="s">
        <v>64</v>
      </c>
      <c r="B61">
        <v>3</v>
      </c>
      <c r="C61" t="s">
        <v>2</v>
      </c>
      <c r="D61">
        <v>70</v>
      </c>
      <c r="E61" t="s">
        <v>98</v>
      </c>
      <c r="F61" t="s">
        <v>91</v>
      </c>
      <c r="G61" s="5">
        <v>301000</v>
      </c>
      <c r="H61" t="str">
        <f t="shared" si="0"/>
        <v/>
      </c>
      <c r="I61" s="3">
        <f t="shared" si="1"/>
        <v>301000</v>
      </c>
      <c r="J61" s="3">
        <f t="shared" si="2"/>
        <v>9030</v>
      </c>
      <c r="K61" t="str" cm="1">
        <f t="array" ref="K61">_xlfn.IFS(I61/D61&lt;4200,"Cheap sqm price",AND(I61/D61&gt;4200,I61/D61&lt;6000),"Normal sqm price",I61/D61&gt;=6000,"Expensive sqm price")</f>
        <v>Normal sqm price</v>
      </c>
      <c r="L61" t="str">
        <f t="shared" si="3"/>
        <v>Big deal</v>
      </c>
    </row>
    <row r="62" spans="1:12" x14ac:dyDescent="0.3">
      <c r="A62" t="s">
        <v>65</v>
      </c>
      <c r="B62">
        <v>2</v>
      </c>
      <c r="C62" t="s">
        <v>3</v>
      </c>
      <c r="D62">
        <v>67</v>
      </c>
      <c r="F62" t="s">
        <v>92</v>
      </c>
      <c r="G62" s="5">
        <v>245000</v>
      </c>
      <c r="H62" t="str">
        <f t="shared" si="0"/>
        <v/>
      </c>
      <c r="I62" s="3">
        <f t="shared" si="1"/>
        <v>245000</v>
      </c>
      <c r="J62" s="3">
        <f t="shared" si="2"/>
        <v>7350</v>
      </c>
      <c r="K62" t="str" cm="1">
        <f t="array" ref="K62">_xlfn.IFS(I62/D62&lt;4200,"Cheap sqm price",AND(I62/D62&gt;4200,I62/D62&lt;6000),"Normal sqm price",I62/D62&gt;=6000,"Expensive sqm price")</f>
        <v>Cheap sqm price</v>
      </c>
      <c r="L62" t="str">
        <f t="shared" si="3"/>
        <v>Big deal</v>
      </c>
    </row>
    <row r="63" spans="1:12" x14ac:dyDescent="0.3">
      <c r="A63" t="s">
        <v>66</v>
      </c>
      <c r="B63">
        <v>3</v>
      </c>
      <c r="C63" t="s">
        <v>2</v>
      </c>
      <c r="D63">
        <v>86</v>
      </c>
      <c r="F63" t="s">
        <v>94</v>
      </c>
      <c r="G63" s="5">
        <v>415000</v>
      </c>
      <c r="H63" t="str">
        <f t="shared" si="0"/>
        <v/>
      </c>
      <c r="I63" s="3">
        <f t="shared" si="1"/>
        <v>415000</v>
      </c>
      <c r="J63" s="3">
        <f t="shared" si="2"/>
        <v>12450</v>
      </c>
      <c r="K63" t="str" cm="1">
        <f t="array" ref="K63">_xlfn.IFS(I63/D63&lt;4200,"Cheap sqm price",AND(I63/D63&gt;4200,I63/D63&lt;6000),"Normal sqm price",I63/D63&gt;=6000,"Expensive sqm price")</f>
        <v>Normal sqm price</v>
      </c>
      <c r="L63" t="str">
        <f t="shared" si="3"/>
        <v>Big deal</v>
      </c>
    </row>
    <row r="64" spans="1:12" x14ac:dyDescent="0.3">
      <c r="A64" t="s">
        <v>67</v>
      </c>
      <c r="B64">
        <v>4</v>
      </c>
      <c r="C64" t="s">
        <v>2</v>
      </c>
      <c r="D64">
        <v>143</v>
      </c>
      <c r="E64" t="s">
        <v>98</v>
      </c>
      <c r="F64" t="s">
        <v>92</v>
      </c>
      <c r="G64" s="5">
        <v>889000</v>
      </c>
      <c r="H64" t="str">
        <f t="shared" si="0"/>
        <v>Big Size</v>
      </c>
      <c r="I64" s="3">
        <f t="shared" si="1"/>
        <v>889000</v>
      </c>
      <c r="J64" s="3">
        <f t="shared" si="2"/>
        <v>26670</v>
      </c>
      <c r="K64" t="str" cm="1">
        <f t="array" ref="K64">_xlfn.IFS(I64/D64&lt;4200,"Cheap sqm price",AND(I64/D64&gt;4200,I64/D64&lt;6000),"Normal sqm price",I64/D64&gt;=6000,"Expensive sqm price")</f>
        <v>Expensive sqm price</v>
      </c>
      <c r="L64" t="str">
        <f t="shared" si="3"/>
        <v/>
      </c>
    </row>
    <row r="65" spans="1:12" x14ac:dyDescent="0.3">
      <c r="A65" t="s">
        <v>68</v>
      </c>
      <c r="B65">
        <v>5</v>
      </c>
      <c r="C65" t="s">
        <v>3</v>
      </c>
      <c r="D65">
        <v>147</v>
      </c>
      <c r="E65" t="s">
        <v>98</v>
      </c>
      <c r="F65" t="s">
        <v>91</v>
      </c>
      <c r="G65" s="5">
        <v>862000</v>
      </c>
      <c r="H65" t="str">
        <f t="shared" si="0"/>
        <v>Big Size</v>
      </c>
      <c r="I65" s="3">
        <f t="shared" si="1"/>
        <v>912000</v>
      </c>
      <c r="J65" s="3">
        <f t="shared" si="2"/>
        <v>27360</v>
      </c>
      <c r="K65" t="str" cm="1">
        <f t="array" ref="K65">_xlfn.IFS(I65/D65&lt;4200,"Cheap sqm price",AND(I65/D65&gt;4200,I65/D65&lt;6000),"Normal sqm price",I65/D65&gt;=6000,"Expensive sqm price")</f>
        <v>Expensive sqm price</v>
      </c>
      <c r="L65" t="str">
        <f t="shared" si="3"/>
        <v/>
      </c>
    </row>
    <row r="66" spans="1:12" x14ac:dyDescent="0.3">
      <c r="A66" t="s">
        <v>69</v>
      </c>
      <c r="B66">
        <v>3</v>
      </c>
      <c r="C66" t="s">
        <v>4</v>
      </c>
      <c r="D66">
        <v>78</v>
      </c>
      <c r="E66" t="s">
        <v>98</v>
      </c>
      <c r="F66" t="s">
        <v>91</v>
      </c>
      <c r="G66" s="5">
        <v>326000</v>
      </c>
      <c r="H66" t="str">
        <f t="shared" si="0"/>
        <v/>
      </c>
      <c r="I66" s="3">
        <f t="shared" si="1"/>
        <v>326000</v>
      </c>
      <c r="J66" s="3">
        <f t="shared" si="2"/>
        <v>9780</v>
      </c>
      <c r="K66" t="str" cm="1">
        <f t="array" ref="K66">_xlfn.IFS(I66/D66&lt;4200,"Cheap sqm price",AND(I66/D66&gt;4200,I66/D66&lt;6000),"Normal sqm price",I66/D66&gt;=6000,"Expensive sqm price")</f>
        <v>Cheap sqm price</v>
      </c>
      <c r="L66" t="str">
        <f t="shared" si="3"/>
        <v/>
      </c>
    </row>
    <row r="67" spans="1:12" x14ac:dyDescent="0.3">
      <c r="A67" t="s">
        <v>70</v>
      </c>
      <c r="B67">
        <v>4</v>
      </c>
      <c r="C67" t="s">
        <v>2</v>
      </c>
      <c r="D67">
        <v>115</v>
      </c>
      <c r="F67" t="s">
        <v>93</v>
      </c>
      <c r="G67" s="5">
        <v>547000</v>
      </c>
      <c r="H67" t="str">
        <f t="shared" ref="H67:H84" si="4">IF(D67&gt;=110, "Big Size", "")</f>
        <v>Big Size</v>
      </c>
      <c r="I67" s="3">
        <f t="shared" ref="I67:I84" si="5">IF(AND(E67="Yes",C67="Excellent"),G67+50000,G67)</f>
        <v>547000</v>
      </c>
      <c r="J67" s="3">
        <f t="shared" ref="J67:J84" si="6">IF(AND(F67="C02",F67="A06"),0.05*I67,0.03*I67)</f>
        <v>16410</v>
      </c>
      <c r="K67" t="str" cm="1">
        <f t="array" ref="K67">_xlfn.IFS(I67/D67&lt;4200,"Cheap sqm price",AND(I67/D67&gt;4200,I67/D67&lt;6000),"Normal sqm price",I67/D67&gt;=6000,"Expensive sqm price")</f>
        <v>Normal sqm price</v>
      </c>
      <c r="L67" t="str">
        <f t="shared" ref="L67:L83" si="7">IF(AND(OR(C67="Excellent",C67="Normal"),I67/D67&lt;5000),"Big deal","")</f>
        <v>Big deal</v>
      </c>
    </row>
    <row r="68" spans="1:12" x14ac:dyDescent="0.3">
      <c r="A68" t="s">
        <v>71</v>
      </c>
      <c r="B68">
        <v>3</v>
      </c>
      <c r="C68" t="s">
        <v>3</v>
      </c>
      <c r="D68">
        <v>92</v>
      </c>
      <c r="F68" t="s">
        <v>89</v>
      </c>
      <c r="G68" s="5">
        <v>536000</v>
      </c>
      <c r="H68" t="str">
        <f t="shared" si="4"/>
        <v/>
      </c>
      <c r="I68" s="3">
        <f t="shared" si="5"/>
        <v>536000</v>
      </c>
      <c r="J68" s="3">
        <f t="shared" si="6"/>
        <v>16080</v>
      </c>
      <c r="K68" t="str" cm="1">
        <f t="array" ref="K68">_xlfn.IFS(I68/D68&lt;4200,"Cheap sqm price",AND(I68/D68&gt;4200,I68/D68&lt;6000),"Normal sqm price",I68/D68&gt;=6000,"Expensive sqm price")</f>
        <v>Normal sqm price</v>
      </c>
      <c r="L68" t="str">
        <f t="shared" si="7"/>
        <v/>
      </c>
    </row>
    <row r="69" spans="1:12" x14ac:dyDescent="0.3">
      <c r="A69" t="s">
        <v>72</v>
      </c>
      <c r="B69">
        <v>6</v>
      </c>
      <c r="C69" t="s">
        <v>4</v>
      </c>
      <c r="D69">
        <v>153</v>
      </c>
      <c r="E69" t="s">
        <v>98</v>
      </c>
      <c r="F69" t="s">
        <v>94</v>
      </c>
      <c r="G69" s="5">
        <v>926000</v>
      </c>
      <c r="H69" t="str">
        <f t="shared" si="4"/>
        <v>Big Size</v>
      </c>
      <c r="I69" s="3">
        <f t="shared" si="5"/>
        <v>926000</v>
      </c>
      <c r="J69" s="3">
        <f t="shared" si="6"/>
        <v>27780</v>
      </c>
      <c r="K69" t="str" cm="1">
        <f t="array" ref="K69">_xlfn.IFS(I69/D69&lt;4200,"Cheap sqm price",AND(I69/D69&gt;4200,I69/D69&lt;6000),"Normal sqm price",I69/D69&gt;=6000,"Expensive sqm price")</f>
        <v>Expensive sqm price</v>
      </c>
      <c r="L69" t="str">
        <f t="shared" si="7"/>
        <v/>
      </c>
    </row>
    <row r="70" spans="1:12" x14ac:dyDescent="0.3">
      <c r="A70" t="s">
        <v>73</v>
      </c>
      <c r="B70">
        <v>3</v>
      </c>
      <c r="C70" t="s">
        <v>3</v>
      </c>
      <c r="D70">
        <v>71</v>
      </c>
      <c r="F70" t="s">
        <v>91</v>
      </c>
      <c r="G70" s="5">
        <v>257000</v>
      </c>
      <c r="H70" t="str">
        <f t="shared" si="4"/>
        <v/>
      </c>
      <c r="I70" s="3">
        <f t="shared" si="5"/>
        <v>257000</v>
      </c>
      <c r="J70" s="3">
        <f t="shared" si="6"/>
        <v>7710</v>
      </c>
      <c r="K70" t="str" cm="1">
        <f t="array" ref="K70">_xlfn.IFS(I70/D70&lt;4200,"Cheap sqm price",AND(I70/D70&gt;4200,I70/D70&lt;6000),"Normal sqm price",I70/D70&gt;=6000,"Expensive sqm price")</f>
        <v>Cheap sqm price</v>
      </c>
      <c r="L70" t="str">
        <f t="shared" si="7"/>
        <v>Big deal</v>
      </c>
    </row>
    <row r="71" spans="1:12" x14ac:dyDescent="0.3">
      <c r="A71" t="s">
        <v>74</v>
      </c>
      <c r="B71">
        <v>6</v>
      </c>
      <c r="C71" t="s">
        <v>3</v>
      </c>
      <c r="D71">
        <v>150</v>
      </c>
      <c r="F71" t="s">
        <v>93</v>
      </c>
      <c r="G71" s="5">
        <v>872000</v>
      </c>
      <c r="H71" t="str">
        <f t="shared" si="4"/>
        <v>Big Size</v>
      </c>
      <c r="I71" s="3">
        <f t="shared" si="5"/>
        <v>872000</v>
      </c>
      <c r="J71" s="3">
        <f t="shared" si="6"/>
        <v>26160</v>
      </c>
      <c r="K71" t="str" cm="1">
        <f t="array" ref="K71">_xlfn.IFS(I71/D71&lt;4200,"Cheap sqm price",AND(I71/D71&gt;4200,I71/D71&lt;6000),"Normal sqm price",I71/D71&gt;=6000,"Expensive sqm price")</f>
        <v>Normal sqm price</v>
      </c>
      <c r="L71" t="str">
        <f t="shared" si="7"/>
        <v/>
      </c>
    </row>
    <row r="72" spans="1:12" x14ac:dyDescent="0.3">
      <c r="A72" t="s">
        <v>75</v>
      </c>
      <c r="B72">
        <v>2</v>
      </c>
      <c r="C72" t="s">
        <v>4</v>
      </c>
      <c r="D72">
        <v>41</v>
      </c>
      <c r="F72" t="s">
        <v>89</v>
      </c>
      <c r="G72" s="5">
        <v>178000</v>
      </c>
      <c r="H72" t="str">
        <f t="shared" si="4"/>
        <v/>
      </c>
      <c r="I72" s="3">
        <f t="shared" si="5"/>
        <v>178000</v>
      </c>
      <c r="J72" s="3">
        <f t="shared" si="6"/>
        <v>5340</v>
      </c>
      <c r="K72" t="str" cm="1">
        <f t="array" ref="K72">_xlfn.IFS(I72/D72&lt;4200,"Cheap sqm price",AND(I72/D72&gt;4200,I72/D72&lt;6000),"Normal sqm price",I72/D72&gt;=6000,"Expensive sqm price")</f>
        <v>Normal sqm price</v>
      </c>
      <c r="L72" t="str">
        <f t="shared" si="7"/>
        <v/>
      </c>
    </row>
    <row r="73" spans="1:12" x14ac:dyDescent="0.3">
      <c r="A73" t="s">
        <v>76</v>
      </c>
      <c r="B73">
        <v>4</v>
      </c>
      <c r="C73" t="s">
        <v>2</v>
      </c>
      <c r="D73">
        <v>99</v>
      </c>
      <c r="F73" t="s">
        <v>90</v>
      </c>
      <c r="G73" s="5">
        <v>577000</v>
      </c>
      <c r="H73" t="str">
        <f t="shared" si="4"/>
        <v/>
      </c>
      <c r="I73" s="3">
        <f t="shared" si="5"/>
        <v>577000</v>
      </c>
      <c r="J73" s="3">
        <f t="shared" si="6"/>
        <v>17310</v>
      </c>
      <c r="K73" t="str" cm="1">
        <f t="array" ref="K73">_xlfn.IFS(I73/D73&lt;4200,"Cheap sqm price",AND(I73/D73&gt;4200,I73/D73&lt;6000),"Normal sqm price",I73/D73&gt;=6000,"Expensive sqm price")</f>
        <v>Normal sqm price</v>
      </c>
      <c r="L73" t="str">
        <f t="shared" si="7"/>
        <v/>
      </c>
    </row>
    <row r="74" spans="1:12" x14ac:dyDescent="0.3">
      <c r="A74" t="s">
        <v>77</v>
      </c>
      <c r="B74">
        <v>3</v>
      </c>
      <c r="C74" t="s">
        <v>3</v>
      </c>
      <c r="D74">
        <v>70</v>
      </c>
      <c r="F74" t="s">
        <v>91</v>
      </c>
      <c r="G74" s="5">
        <v>281000</v>
      </c>
      <c r="H74" t="str">
        <f t="shared" si="4"/>
        <v/>
      </c>
      <c r="I74" s="3">
        <f t="shared" si="5"/>
        <v>281000</v>
      </c>
      <c r="J74" s="3">
        <f t="shared" si="6"/>
        <v>8430</v>
      </c>
      <c r="K74" t="str" cm="1">
        <f t="array" ref="K74">_xlfn.IFS(I74/D74&lt;4200,"Cheap sqm price",AND(I74/D74&gt;4200,I74/D74&lt;6000),"Normal sqm price",I74/D74&gt;=6000,"Expensive sqm price")</f>
        <v>Cheap sqm price</v>
      </c>
      <c r="L74" t="str">
        <f t="shared" si="7"/>
        <v>Big deal</v>
      </c>
    </row>
    <row r="75" spans="1:12" x14ac:dyDescent="0.3">
      <c r="A75" t="s">
        <v>78</v>
      </c>
      <c r="B75">
        <v>6</v>
      </c>
      <c r="C75" t="s">
        <v>4</v>
      </c>
      <c r="D75">
        <v>147</v>
      </c>
      <c r="F75" t="s">
        <v>95</v>
      </c>
      <c r="G75" s="5">
        <v>927000</v>
      </c>
      <c r="H75" t="str">
        <f t="shared" si="4"/>
        <v>Big Size</v>
      </c>
      <c r="I75" s="3">
        <f t="shared" si="5"/>
        <v>927000</v>
      </c>
      <c r="J75" s="3">
        <f t="shared" si="6"/>
        <v>27810</v>
      </c>
      <c r="K75" t="str" cm="1">
        <f t="array" ref="K75">_xlfn.IFS(I75/D75&lt;4200,"Cheap sqm price",AND(I75/D75&gt;4200,I75/D75&lt;6000),"Normal sqm price",I75/D75&gt;=6000,"Expensive sqm price")</f>
        <v>Expensive sqm price</v>
      </c>
      <c r="L75" t="str">
        <f t="shared" si="7"/>
        <v/>
      </c>
    </row>
    <row r="76" spans="1:12" x14ac:dyDescent="0.3">
      <c r="A76" t="s">
        <v>79</v>
      </c>
      <c r="B76">
        <v>4</v>
      </c>
      <c r="C76" t="s">
        <v>3</v>
      </c>
      <c r="D76">
        <v>105</v>
      </c>
      <c r="E76" t="s">
        <v>98</v>
      </c>
      <c r="F76" t="s">
        <v>94</v>
      </c>
      <c r="G76" s="5">
        <v>658000</v>
      </c>
      <c r="H76" t="str">
        <f t="shared" si="4"/>
        <v/>
      </c>
      <c r="I76" s="3">
        <f t="shared" si="5"/>
        <v>708000</v>
      </c>
      <c r="J76" s="3">
        <f t="shared" si="6"/>
        <v>21240</v>
      </c>
      <c r="K76" t="str" cm="1">
        <f t="array" ref="K76">_xlfn.IFS(I76/D76&lt;4200,"Cheap sqm price",AND(I76/D76&gt;4200,I76/D76&lt;6000),"Normal sqm price",I76/D76&gt;=6000,"Expensive sqm price")</f>
        <v>Expensive sqm price</v>
      </c>
      <c r="L76" t="str">
        <f t="shared" si="7"/>
        <v/>
      </c>
    </row>
    <row r="77" spans="1:12" x14ac:dyDescent="0.3">
      <c r="A77" t="s">
        <v>80</v>
      </c>
      <c r="B77">
        <v>5</v>
      </c>
      <c r="C77" t="s">
        <v>3</v>
      </c>
      <c r="D77">
        <v>156</v>
      </c>
      <c r="E77" t="s">
        <v>98</v>
      </c>
      <c r="F77" t="s">
        <v>92</v>
      </c>
      <c r="G77" s="5">
        <v>997000</v>
      </c>
      <c r="H77" t="str">
        <f t="shared" si="4"/>
        <v>Big Size</v>
      </c>
      <c r="I77" s="3">
        <f t="shared" si="5"/>
        <v>1047000</v>
      </c>
      <c r="J77" s="3">
        <f t="shared" si="6"/>
        <v>31410</v>
      </c>
      <c r="K77" t="str" cm="1">
        <f t="array" ref="K77">_xlfn.IFS(I77/D77&lt;4200,"Cheap sqm price",AND(I77/D77&gt;4200,I77/D77&lt;6000),"Normal sqm price",I77/D77&gt;=6000,"Expensive sqm price")</f>
        <v>Expensive sqm price</v>
      </c>
      <c r="L77" t="str">
        <f t="shared" si="7"/>
        <v/>
      </c>
    </row>
    <row r="78" spans="1:12" x14ac:dyDescent="0.3">
      <c r="A78" t="s">
        <v>81</v>
      </c>
      <c r="B78">
        <v>5</v>
      </c>
      <c r="C78" t="s">
        <v>3</v>
      </c>
      <c r="D78">
        <v>134</v>
      </c>
      <c r="F78" t="s">
        <v>94</v>
      </c>
      <c r="G78" s="5">
        <v>759000</v>
      </c>
      <c r="H78" t="str">
        <f t="shared" si="4"/>
        <v>Big Size</v>
      </c>
      <c r="I78" s="3">
        <f t="shared" si="5"/>
        <v>759000</v>
      </c>
      <c r="J78" s="3">
        <f t="shared" si="6"/>
        <v>22770</v>
      </c>
      <c r="K78" t="str" cm="1">
        <f t="array" ref="K78">_xlfn.IFS(I78/D78&lt;4200,"Cheap sqm price",AND(I78/D78&gt;4200,I78/D78&lt;6000),"Normal sqm price",I78/D78&gt;=6000,"Expensive sqm price")</f>
        <v>Normal sqm price</v>
      </c>
      <c r="L78" t="str">
        <f t="shared" si="7"/>
        <v/>
      </c>
    </row>
    <row r="79" spans="1:12" x14ac:dyDescent="0.3">
      <c r="A79" t="s">
        <v>82</v>
      </c>
      <c r="B79">
        <v>3</v>
      </c>
      <c r="C79" t="s">
        <v>2</v>
      </c>
      <c r="D79">
        <v>96</v>
      </c>
      <c r="E79" t="s">
        <v>98</v>
      </c>
      <c r="F79" t="s">
        <v>91</v>
      </c>
      <c r="G79" s="5">
        <v>471000</v>
      </c>
      <c r="H79" t="str">
        <f t="shared" si="4"/>
        <v/>
      </c>
      <c r="I79" s="3">
        <f t="shared" si="5"/>
        <v>471000</v>
      </c>
      <c r="J79" s="3">
        <f t="shared" si="6"/>
        <v>14130</v>
      </c>
      <c r="K79" t="str" cm="1">
        <f t="array" ref="K79">_xlfn.IFS(I79/D79&lt;4200,"Cheap sqm price",AND(I79/D79&gt;4200,I79/D79&lt;6000),"Normal sqm price",I79/D79&gt;=6000,"Expensive sqm price")</f>
        <v>Normal sqm price</v>
      </c>
      <c r="L79" t="str">
        <f t="shared" si="7"/>
        <v>Big deal</v>
      </c>
    </row>
    <row r="80" spans="1:12" x14ac:dyDescent="0.3">
      <c r="A80" t="s">
        <v>83</v>
      </c>
      <c r="B80">
        <v>2</v>
      </c>
      <c r="C80" t="s">
        <v>2</v>
      </c>
      <c r="D80">
        <v>60</v>
      </c>
      <c r="F80" t="s">
        <v>95</v>
      </c>
      <c r="G80" s="5">
        <v>234000</v>
      </c>
      <c r="H80" t="str">
        <f t="shared" si="4"/>
        <v/>
      </c>
      <c r="I80" s="3">
        <f t="shared" si="5"/>
        <v>234000</v>
      </c>
      <c r="J80" s="3">
        <f t="shared" si="6"/>
        <v>7020</v>
      </c>
      <c r="K80" t="str" cm="1">
        <f t="array" ref="K80">_xlfn.IFS(I80/D80&lt;4200,"Cheap sqm price",AND(I80/D80&gt;4200,I80/D80&lt;6000),"Normal sqm price",I80/D80&gt;=6000,"Expensive sqm price")</f>
        <v>Cheap sqm price</v>
      </c>
      <c r="L80" t="str">
        <f t="shared" si="7"/>
        <v>Big deal</v>
      </c>
    </row>
    <row r="81" spans="1:12" x14ac:dyDescent="0.3">
      <c r="A81" t="s">
        <v>84</v>
      </c>
      <c r="B81">
        <v>2</v>
      </c>
      <c r="C81" t="s">
        <v>3</v>
      </c>
      <c r="D81">
        <v>44</v>
      </c>
      <c r="F81" t="s">
        <v>89</v>
      </c>
      <c r="G81" s="5">
        <v>171000</v>
      </c>
      <c r="H81" t="str">
        <f t="shared" si="4"/>
        <v/>
      </c>
      <c r="I81" s="3">
        <f t="shared" si="5"/>
        <v>171000</v>
      </c>
      <c r="J81" s="3">
        <f t="shared" si="6"/>
        <v>5130</v>
      </c>
      <c r="K81" t="str" cm="1">
        <f t="array" ref="K81">_xlfn.IFS(I81/D81&lt;4200,"Cheap sqm price",AND(I81/D81&gt;4200,I81/D81&lt;6000),"Normal sqm price",I81/D81&gt;=6000,"Expensive sqm price")</f>
        <v>Cheap sqm price</v>
      </c>
      <c r="L81" t="str">
        <f t="shared" si="7"/>
        <v>Big deal</v>
      </c>
    </row>
    <row r="82" spans="1:12" x14ac:dyDescent="0.3">
      <c r="A82" t="s">
        <v>85</v>
      </c>
      <c r="B82">
        <v>5</v>
      </c>
      <c r="C82" t="s">
        <v>4</v>
      </c>
      <c r="D82">
        <v>136</v>
      </c>
      <c r="F82" t="s">
        <v>94</v>
      </c>
      <c r="G82" s="5">
        <v>834000</v>
      </c>
      <c r="H82" t="str">
        <f t="shared" si="4"/>
        <v>Big Size</v>
      </c>
      <c r="I82" s="3">
        <f t="shared" si="5"/>
        <v>834000</v>
      </c>
      <c r="J82" s="3">
        <f t="shared" si="6"/>
        <v>25020</v>
      </c>
      <c r="K82" t="str" cm="1">
        <f t="array" ref="K82">_xlfn.IFS(I82/D82&lt;4200,"Cheap sqm price",AND(I82/D82&gt;4200,I82/D82&lt;6000),"Normal sqm price",I82/D82&gt;=6000,"Expensive sqm price")</f>
        <v>Expensive sqm price</v>
      </c>
      <c r="L82" t="str">
        <f t="shared" si="7"/>
        <v/>
      </c>
    </row>
    <row r="83" spans="1:12" x14ac:dyDescent="0.3">
      <c r="A83" t="s">
        <v>86</v>
      </c>
      <c r="B83">
        <v>2</v>
      </c>
      <c r="C83" t="s">
        <v>2</v>
      </c>
      <c r="D83">
        <v>41</v>
      </c>
      <c r="F83" t="s">
        <v>93</v>
      </c>
      <c r="G83" s="5">
        <v>178000</v>
      </c>
      <c r="H83" t="str">
        <f t="shared" si="4"/>
        <v/>
      </c>
      <c r="I83" s="3">
        <f t="shared" si="5"/>
        <v>178000</v>
      </c>
      <c r="J83" s="3">
        <f t="shared" si="6"/>
        <v>5340</v>
      </c>
      <c r="K83" t="str" cm="1">
        <f t="array" ref="K83">_xlfn.IFS(I83/D83&lt;4200,"Cheap sqm price",AND(I83/D83&gt;4200,I83/D83&lt;6000),"Normal sqm price",I83/D83&gt;=6000,"Expensive sqm price")</f>
        <v>Normal sqm price</v>
      </c>
      <c r="L83" t="str">
        <f t="shared" si="7"/>
        <v>Big deal</v>
      </c>
    </row>
    <row r="84" spans="1:12" x14ac:dyDescent="0.3">
      <c r="A84" t="s">
        <v>87</v>
      </c>
      <c r="B84">
        <v>6</v>
      </c>
      <c r="C84" t="s">
        <v>2</v>
      </c>
      <c r="D84">
        <v>150</v>
      </c>
      <c r="F84" t="s">
        <v>91</v>
      </c>
      <c r="G84" s="5">
        <v>864000</v>
      </c>
      <c r="H84" t="str">
        <f t="shared" si="4"/>
        <v>Big Size</v>
      </c>
      <c r="I84" s="3">
        <f t="shared" si="5"/>
        <v>864000</v>
      </c>
      <c r="J84" s="3">
        <f t="shared" si="6"/>
        <v>25920</v>
      </c>
      <c r="K84" t="str" cm="1">
        <f t="array" ref="K84">_xlfn.IFS(I84/D84&lt;4200,"Cheap sqm price",AND(I84/D84&gt;4200,I84/D84&lt;6000),"Normal sqm price",I84/D84&gt;=6000,"Expensive sqm price")</f>
        <v>Normal sqm price</v>
      </c>
      <c r="L84" t="str">
        <f>IF(AND(OR(C84="Excellent",C84="Normal"),I84/D84&lt;5000),"Big deal","")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</dc:creator>
  <cp:lastModifiedBy>PAVEL ANDREEV</cp:lastModifiedBy>
  <dcterms:created xsi:type="dcterms:W3CDTF">2015-06-05T18:17:20Z</dcterms:created>
  <dcterms:modified xsi:type="dcterms:W3CDTF">2026-02-01T10:43:19Z</dcterms:modified>
</cp:coreProperties>
</file>
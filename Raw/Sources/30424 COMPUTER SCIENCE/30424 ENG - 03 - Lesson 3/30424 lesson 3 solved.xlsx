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3 - Lesson 3/"/>
    </mc:Choice>
  </mc:AlternateContent>
  <xr:revisionPtr revIDLastSave="1" documentId="13_ncr:1_{4624A379-510A-4266-A4D7-16C83747FBC1}" xr6:coauthVersionLast="47" xr6:coauthVersionMax="47" xr10:uidLastSave="{6EEF2BE4-317D-4464-8A35-377062835E3C}"/>
  <bookViews>
    <workbookView xWindow="-108" yWindow="-108" windowWidth="23256" windowHeight="12456" xr2:uid="{00000000-000D-0000-FFFF-FFFF00000000}"/>
  </bookViews>
  <sheets>
    <sheet name="Sales (solved)" sheetId="8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8" l="1"/>
  <c r="E38" i="8"/>
  <c r="G18" i="8"/>
  <c r="H9" i="8" s="1"/>
  <c r="C18" i="8"/>
  <c r="D11" i="8" s="1"/>
  <c r="K16" i="8"/>
  <c r="E16" i="8" s="1"/>
  <c r="I16" i="8"/>
  <c r="K15" i="8"/>
  <c r="I15" i="8" s="1"/>
  <c r="E15" i="8"/>
  <c r="K14" i="8"/>
  <c r="I14" i="8"/>
  <c r="E14" i="8"/>
  <c r="K13" i="8"/>
  <c r="I13" i="8"/>
  <c r="E13" i="8"/>
  <c r="K12" i="8"/>
  <c r="E12" i="8" s="1"/>
  <c r="I12" i="8"/>
  <c r="K11" i="8"/>
  <c r="I11" i="8" s="1"/>
  <c r="K10" i="8"/>
  <c r="I10" i="8" s="1"/>
  <c r="K9" i="8"/>
  <c r="P9" i="8" s="1"/>
  <c r="K8" i="8"/>
  <c r="I8" i="8"/>
  <c r="E8" i="8"/>
  <c r="K7" i="8"/>
  <c r="P7" i="8" s="1"/>
  <c r="K6" i="8"/>
  <c r="E6" i="8" s="1"/>
  <c r="I6" i="8"/>
  <c r="K5" i="8"/>
  <c r="E5" i="8" s="1"/>
  <c r="I5" i="8"/>
  <c r="P13" i="8" l="1"/>
  <c r="P8" i="8"/>
  <c r="H6" i="8"/>
  <c r="E10" i="8"/>
  <c r="M14" i="8"/>
  <c r="P14" i="8"/>
  <c r="D15" i="8"/>
  <c r="P5" i="8"/>
  <c r="H11" i="8"/>
  <c r="H15" i="8"/>
  <c r="M5" i="8"/>
  <c r="P10" i="8"/>
  <c r="D6" i="8"/>
  <c r="E11" i="8"/>
  <c r="P11" i="8"/>
  <c r="H13" i="8"/>
  <c r="H8" i="8"/>
  <c r="P15" i="8"/>
  <c r="P16" i="8"/>
  <c r="P12" i="8"/>
  <c r="P6" i="8"/>
  <c r="D13" i="8"/>
  <c r="M16" i="8"/>
  <c r="E9" i="8"/>
  <c r="M9" i="8"/>
  <c r="I7" i="8"/>
  <c r="E7" i="8"/>
  <c r="M7" i="8"/>
  <c r="I9" i="8"/>
  <c r="D8" i="8"/>
  <c r="D18" i="8"/>
  <c r="M11" i="8"/>
  <c r="D10" i="8"/>
  <c r="M13" i="8"/>
  <c r="D12" i="8"/>
  <c r="H18" i="8"/>
  <c r="H10" i="8"/>
  <c r="M15" i="8"/>
  <c r="M6" i="8"/>
  <c r="D14" i="8"/>
  <c r="D5" i="8"/>
  <c r="H12" i="8"/>
  <c r="K18" i="8"/>
  <c r="N13" i="8" s="1"/>
  <c r="M8" i="8"/>
  <c r="D16" i="8"/>
  <c r="D7" i="8"/>
  <c r="N8" i="8"/>
  <c r="H14" i="8"/>
  <c r="H5" i="8"/>
  <c r="M10" i="8"/>
  <c r="D9" i="8"/>
  <c r="H16" i="8"/>
  <c r="H7" i="8"/>
  <c r="M12" i="8"/>
  <c r="L7" i="8" l="1"/>
  <c r="F18" i="8"/>
  <c r="L10" i="8"/>
  <c r="N11" i="8"/>
  <c r="L8" i="8"/>
  <c r="N6" i="8"/>
  <c r="L9" i="8"/>
  <c r="L5" i="8"/>
  <c r="L12" i="8"/>
  <c r="I18" i="8"/>
  <c r="N10" i="8"/>
  <c r="L6" i="8"/>
  <c r="L15" i="8"/>
  <c r="N7" i="8"/>
  <c r="N16" i="8"/>
  <c r="J7" i="8"/>
  <c r="J16" i="8"/>
  <c r="F9" i="8"/>
  <c r="J5" i="8"/>
  <c r="E37" i="8"/>
  <c r="J14" i="8"/>
  <c r="F7" i="8"/>
  <c r="N18" i="8"/>
  <c r="F16" i="8"/>
  <c r="M18" i="8"/>
  <c r="J12" i="8"/>
  <c r="F5" i="8"/>
  <c r="L18" i="8"/>
  <c r="F14" i="8"/>
  <c r="J10" i="8"/>
  <c r="F12" i="8"/>
  <c r="J8" i="8"/>
  <c r="F10" i="8"/>
  <c r="J6" i="8"/>
  <c r="J15" i="8"/>
  <c r="F8" i="8"/>
  <c r="J13" i="8"/>
  <c r="F6" i="8"/>
  <c r="F15" i="8"/>
  <c r="F13" i="8"/>
  <c r="L16" i="8"/>
  <c r="J11" i="8"/>
  <c r="F11" i="8"/>
  <c r="N14" i="8"/>
  <c r="N5" i="8"/>
  <c r="J9" i="8"/>
  <c r="L13" i="8"/>
  <c r="E18" i="8"/>
  <c r="L14" i="8"/>
  <c r="N12" i="8"/>
  <c r="J18" i="8"/>
  <c r="N9" i="8"/>
  <c r="N15" i="8"/>
  <c r="L11" i="8"/>
</calcChain>
</file>

<file path=xl/sharedStrings.xml><?xml version="1.0" encoding="utf-8"?>
<sst xmlns="http://schemas.openxmlformats.org/spreadsheetml/2006/main" count="32" uniqueCount="24">
  <si>
    <t>Europe</t>
  </si>
  <si>
    <t>Rest of the World</t>
  </si>
  <si>
    <t>Worldwide</t>
  </si>
  <si>
    <t>Sales last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</si>
  <si>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</si>
  <si>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</si>
  <si>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</si>
  <si>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</si>
  <si>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</si>
  <si>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</si>
  <si>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</si>
  <si>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</si>
  <si>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</si>
  <si>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</si>
  <si>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</si>
  <si>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</si>
  <si>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</si>
  <si>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% on worldwide yearly sales</t>
  </si>
  <si>
    <t>% on worldwide monthly sales</t>
  </si>
  <si>
    <t>Amounts</t>
  </si>
  <si>
    <t>% on 
the territory yearly sales</t>
  </si>
  <si>
    <t>Total sales last year:</t>
  </si>
  <si>
    <t>Montly average Europe</t>
  </si>
  <si>
    <t>Lowest value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</si>
</sst>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\ [$€-410]_-;\-* #,##0\ [$€-410]_-;_-* &quot;-&quot;??\ [$€-410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65" fontId="2" fillId="0" borderId="18" xfId="0" applyNumberFormat="1" applyFont="1" applyBorder="1" applyAlignment="1">
      <alignment horizontal="center" vertical="center"/>
    </xf>
    <xf numFmtId="10" fontId="2" fillId="0" borderId="19" xfId="1" applyNumberFormat="1" applyFont="1" applyFill="1" applyBorder="1" applyAlignment="1">
      <alignment horizontal="center" vertical="center"/>
    </xf>
    <xf numFmtId="10" fontId="2" fillId="0" borderId="20" xfId="1" applyNumberFormat="1" applyFont="1" applyFill="1" applyBorder="1" applyAlignment="1">
      <alignment horizontal="center" vertical="center"/>
    </xf>
    <xf numFmtId="10" fontId="2" fillId="0" borderId="11" xfId="1" applyNumberFormat="1" applyFont="1" applyFill="1" applyBorder="1" applyAlignment="1">
      <alignment horizontal="center" vertical="center"/>
    </xf>
    <xf numFmtId="10" fontId="2" fillId="0" borderId="15" xfId="1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/>
    </xf>
    <xf numFmtId="165" fontId="0" fillId="5" borderId="25" xfId="0" applyNumberFormat="1" applyFill="1" applyBorder="1" applyAlignment="1">
      <alignment vertical="center"/>
    </xf>
    <xf numFmtId="10" fontId="0" fillId="0" borderId="26" xfId="1" applyNumberFormat="1" applyFont="1" applyBorder="1" applyAlignment="1">
      <alignment vertical="center"/>
    </xf>
    <xf numFmtId="10" fontId="0" fillId="0" borderId="27" xfId="1" applyNumberFormat="1" applyFont="1" applyBorder="1" applyAlignment="1">
      <alignment vertical="center"/>
    </xf>
    <xf numFmtId="165" fontId="0" fillId="0" borderId="25" xfId="0" applyNumberFormat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165" fontId="0" fillId="5" borderId="29" xfId="0" applyNumberFormat="1" applyFill="1" applyBorder="1" applyAlignment="1">
      <alignment vertical="center"/>
    </xf>
    <xf numFmtId="10" fontId="0" fillId="0" borderId="30" xfId="1" applyNumberFormat="1" applyFont="1" applyBorder="1" applyAlignment="1">
      <alignment vertical="center"/>
    </xf>
    <xf numFmtId="10" fontId="0" fillId="0" borderId="31" xfId="1" applyNumberFormat="1" applyFont="1" applyBorder="1" applyAlignment="1">
      <alignment vertical="center"/>
    </xf>
    <xf numFmtId="165" fontId="0" fillId="0" borderId="29" xfId="0" applyNumberFormat="1" applyBorder="1" applyAlignment="1">
      <alignment vertical="center"/>
    </xf>
    <xf numFmtId="0" fontId="2" fillId="4" borderId="32" xfId="0" applyFont="1" applyFill="1" applyBorder="1" applyAlignment="1">
      <alignment vertical="center"/>
    </xf>
    <xf numFmtId="165" fontId="0" fillId="5" borderId="33" xfId="0" applyNumberFormat="1" applyFill="1" applyBorder="1" applyAlignment="1">
      <alignment vertical="center"/>
    </xf>
    <xf numFmtId="10" fontId="0" fillId="0" borderId="34" xfId="1" applyNumberFormat="1" applyFont="1" applyBorder="1" applyAlignment="1">
      <alignment vertical="center"/>
    </xf>
    <xf numFmtId="10" fontId="0" fillId="0" borderId="35" xfId="1" applyNumberFormat="1" applyFont="1" applyBorder="1" applyAlignment="1">
      <alignment vertical="center"/>
    </xf>
    <xf numFmtId="165" fontId="0" fillId="0" borderId="33" xfId="0" applyNumberFormat="1" applyBorder="1" applyAlignment="1">
      <alignment vertical="center"/>
    </xf>
    <xf numFmtId="165" fontId="2" fillId="7" borderId="4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</cellXfs>
  <cellStyles count="3">
    <cellStyle name="Comma 2" xfId="2" xr:uid="{2F723FB2-777D-4A28-8A2E-785650A2F03A}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33CC33"/>
      <color rgb="FFCC0066"/>
      <color rgb="FFD60093"/>
      <color rgb="FFFFCCFF"/>
      <color rgb="FF990099"/>
      <color rgb="FF660066"/>
      <color rgb="FF993366"/>
      <color rgb="FF660033"/>
      <color rgb="FF990033"/>
      <color rgb="FF85B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'Sales (solved)'!$B$1</c:f>
          <c:strCache>
            <c:ptCount val="1"/>
            <c:pt idx="0">
              <c:v>Sales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163590314664981E-2"/>
          <c:y val="0.15430059729517073"/>
          <c:w val="0.91619340448526543"/>
          <c:h val="0.6512892259534153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'Sales (solved)'!$C$3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(solved)'!$B$5:$B$16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(solved)'!$C$5:$C$16</c:f>
              <c:numCache>
                <c:formatCode>_-* #,##0\ [$€-410]_-;\-* #,##0\ [$€-410]_-;_-* "-"??\ [$€-410]_-;_-@_-</c:formatCode>
                <c:ptCount val="12"/>
                <c:pt idx="0">
                  <c:v>864254</c:v>
                </c:pt>
                <c:pt idx="1">
                  <c:v>764523</c:v>
                </c:pt>
                <c:pt idx="2">
                  <c:v>654789</c:v>
                </c:pt>
                <c:pt idx="3">
                  <c:v>973468</c:v>
                </c:pt>
                <c:pt idx="4">
                  <c:v>1497638</c:v>
                </c:pt>
                <c:pt idx="5">
                  <c:v>1625462</c:v>
                </c:pt>
                <c:pt idx="6">
                  <c:v>764319</c:v>
                </c:pt>
                <c:pt idx="7">
                  <c:v>486427</c:v>
                </c:pt>
                <c:pt idx="8">
                  <c:v>648376</c:v>
                </c:pt>
                <c:pt idx="9">
                  <c:v>1167538</c:v>
                </c:pt>
                <c:pt idx="10">
                  <c:v>1386738</c:v>
                </c:pt>
                <c:pt idx="11">
                  <c:v>976482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3-43D1-9926-516B48C85749}"/>
            </c:ext>
          </c:extLst>
        </c:ser>
        <c:ser>
          <c:idx val="1"/>
          <c:order val="1"/>
          <c:tx>
            <c:strRef>
              <c:f>'Sales (solved)'!$G$3</c:f>
              <c:strCache>
                <c:ptCount val="1"/>
                <c:pt idx="0">
                  <c:v>Rest of the World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(solved)'!$B$5:$B$16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(solved)'!$G$5:$G$16</c:f>
              <c:numCache>
                <c:formatCode>_-* #,##0\ [$€-410]_-;\-* #,##0\ [$€-410]_-;_-* "-"??\ [$€-410]_-;_-@_-</c:formatCode>
                <c:ptCount val="12"/>
                <c:pt idx="0">
                  <c:v>3871857.9200000004</c:v>
                </c:pt>
                <c:pt idx="1">
                  <c:v>2522925.9</c:v>
                </c:pt>
                <c:pt idx="2">
                  <c:v>2101872.69</c:v>
                </c:pt>
                <c:pt idx="3">
                  <c:v>3962014.7600000002</c:v>
                </c:pt>
                <c:pt idx="4">
                  <c:v>6335008.7400000002</c:v>
                </c:pt>
                <c:pt idx="5">
                  <c:v>5087696.0599999996</c:v>
                </c:pt>
                <c:pt idx="6">
                  <c:v>2965557.7199999997</c:v>
                </c:pt>
                <c:pt idx="7">
                  <c:v>1527380.78</c:v>
                </c:pt>
                <c:pt idx="8">
                  <c:v>2742630.4800000004</c:v>
                </c:pt>
                <c:pt idx="9">
                  <c:v>4786905.8</c:v>
                </c:pt>
                <c:pt idx="10">
                  <c:v>5879769.1200000001</c:v>
                </c:pt>
                <c:pt idx="11">
                  <c:v>3954752.0999999996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3-43D1-9926-516B48C8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83371680"/>
        <c:axId val="670662880"/>
        <c:axId val="0"/>
      </c:bar3DChart>
      <c:catAx>
        <c:axId val="6833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662880"/>
        <c:crosses val="autoZero"/>
        <c:auto val="1"/>
        <c:lblAlgn val="ctr"/>
        <c:lblOffset val="100"/>
        <c:noMultiLvlLbl val="0"/>
      </c:catAx>
      <c:valAx>
        <c:axId val="6706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Velue of sales</a:t>
                </a:r>
              </a:p>
            </c:rich>
          </c:tx>
          <c:layout>
            <c:manualLayout>
              <c:xMode val="edge"/>
              <c:yMode val="edge"/>
              <c:x val="8.202510355792508E-3"/>
              <c:y val="0.57982934798061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\ [$€-410]_-;\-* #,##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3716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>
                <a:solidFill>
                  <a:schemeClr val="tx1">
                    <a:lumMod val="65000"/>
                    <a:lumOff val="35000"/>
                  </a:schemeClr>
                </a:solidFill>
              </a:rPr>
              <a:t>Worldwide</a:t>
            </a:r>
            <a:r>
              <a:rPr lang="it-IT" sz="20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sales last year</a:t>
            </a:r>
            <a:endParaRPr lang="it-IT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71052130718132"/>
          <c:y val="0.25819036721815614"/>
          <c:w val="0.71593568368076421"/>
          <c:h val="0.59583989978914187"/>
        </c:manualLayout>
      </c:layout>
      <c:pie3DChart>
        <c:varyColors val="1"/>
        <c:ser>
          <c:idx val="0"/>
          <c:order val="0"/>
          <c:spPr>
            <a:ln>
              <a:solidFill>
                <a:schemeClr val="bg1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33-483A-9C56-91E4A1D897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33-483A-9C56-91E4A1D897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33-483A-9C56-91E4A1D897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33-483A-9C56-91E4A1D897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33-483A-9C56-91E4A1D897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33-483A-9C56-91E4A1D897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F33-483A-9C56-91E4A1D897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F33-483A-9C56-91E4A1D897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F33-483A-9C56-91E4A1D897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F33-483A-9C56-91E4A1D897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F33-483A-9C56-91E4A1D897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F33-483A-9C56-91E4A1D897CD}"/>
              </c:ext>
            </c:extLst>
          </c:dPt>
          <c:dLbls>
            <c:dLbl>
              <c:idx val="1"/>
              <c:layout>
                <c:manualLayout>
                  <c:x val="-1.871345259025373E-2"/>
                  <c:y val="-1.66406629011161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33-483A-9C56-91E4A1D897CD}"/>
                </c:ext>
              </c:extLst>
            </c:dLbl>
            <c:dLbl>
              <c:idx val="2"/>
              <c:layout>
                <c:manualLayout>
                  <c:x val="0"/>
                  <c:y val="-1.24804971758371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33-483A-9C56-91E4A1D897C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(solved)'!$B$5:$B$16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(solved)'!$K$5:$K$16</c:f>
              <c:numCache>
                <c:formatCode>_-* #,##0\ [$€-410]_-;\-* #,##0\ [$€-410]_-;_-* "-"??\ [$€-410]_-;_-@_-</c:formatCode>
                <c:ptCount val="12"/>
                <c:pt idx="0">
                  <c:v>4736111.92</c:v>
                </c:pt>
                <c:pt idx="1">
                  <c:v>3287448.9</c:v>
                </c:pt>
                <c:pt idx="2">
                  <c:v>2756661.69</c:v>
                </c:pt>
                <c:pt idx="3">
                  <c:v>4935482.76</c:v>
                </c:pt>
                <c:pt idx="4">
                  <c:v>7832646.7400000002</c:v>
                </c:pt>
                <c:pt idx="5">
                  <c:v>6713158.0599999996</c:v>
                </c:pt>
                <c:pt idx="6">
                  <c:v>3729876.7199999997</c:v>
                </c:pt>
                <c:pt idx="7">
                  <c:v>2013807.78</c:v>
                </c:pt>
                <c:pt idx="8">
                  <c:v>3391006.4800000004</c:v>
                </c:pt>
                <c:pt idx="9">
                  <c:v>5954443.7999999998</c:v>
                </c:pt>
                <c:pt idx="10">
                  <c:v>7266507.1200000001</c:v>
                </c:pt>
                <c:pt idx="11">
                  <c:v>4931234.0999999996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33-483A-9C56-91E4A1D89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</xdr:colOff>
      <xdr:row>19</xdr:row>
      <xdr:rowOff>25718</xdr:rowOff>
    </xdr:from>
    <xdr:to>
      <xdr:col>9</xdr:col>
      <xdr:colOff>310514</xdr:colOff>
      <xdr:row>35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5F0C6-3AE7-4D7F-BF51-BA9CBAFC2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504824</xdr:colOff>
      <xdr:row>18</xdr:row>
      <xdr:rowOff>185736</xdr:rowOff>
    </xdr:from>
    <xdr:to>
      <xdr:col>14</xdr:col>
      <xdr:colOff>4761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74710C-70D9-40C3-B8A0-D12BD92C1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C7EE-8C14-46C9-80CE-F874A9E53CA1}">
  <dimension ref="B1:P39"/>
  <sheetViews>
    <sheetView showGridLines="0" tabSelected="1" topLeftCell="A13" zoomScaleNormal="100" workbookViewId="0">
      <selection activeCell="B1" sqref="B1:N1"/>
    </sheetView>
  </sheetViews>
  <sheetFormatPr defaultColWidth="9.109375" defaultRowHeight="14.4" x14ac:dyDescent="0.3"/>
  <cols>
    <col min="1" max="1" width="4" style="1" customWidth="1"/>
    <col min="2" max="14" width="13.6640625" style="1" customWidth="1"/>
    <col min="15" max="15" width="4" style="1" customWidth="1"/>
    <col min="16" max="16" width="41.5546875" style="1" bestFit="1" customWidth="1"/>
    <col min="17" max="16384" width="9.109375" style="1"/>
  </cols>
  <sheetData>
    <row r="1" spans="2:16" ht="40.5" customHeight="1" x14ac:dyDescent="0.3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2:16" ht="30" customHeight="1" thickBot="1" x14ac:dyDescent="0.35"/>
    <row r="3" spans="2:16" ht="30" customHeight="1" thickBot="1" x14ac:dyDescent="0.35">
      <c r="C3" s="35" t="s">
        <v>0</v>
      </c>
      <c r="D3" s="36"/>
      <c r="E3" s="36"/>
      <c r="F3" s="37"/>
      <c r="G3" s="35" t="s">
        <v>1</v>
      </c>
      <c r="H3" s="36"/>
      <c r="I3" s="36"/>
      <c r="J3" s="37"/>
      <c r="K3" s="35" t="s">
        <v>2</v>
      </c>
      <c r="L3" s="36"/>
      <c r="M3" s="36"/>
      <c r="N3" s="37"/>
    </row>
    <row r="4" spans="2:16" ht="48" customHeight="1" thickBot="1" x14ac:dyDescent="0.35">
      <c r="C4" s="9" t="s">
        <v>19</v>
      </c>
      <c r="D4" s="10" t="s">
        <v>20</v>
      </c>
      <c r="E4" s="10" t="s">
        <v>18</v>
      </c>
      <c r="F4" s="11" t="s">
        <v>17</v>
      </c>
      <c r="G4" s="9" t="s">
        <v>19</v>
      </c>
      <c r="H4" s="10" t="s">
        <v>20</v>
      </c>
      <c r="I4" s="10" t="s">
        <v>18</v>
      </c>
      <c r="J4" s="11" t="s">
        <v>17</v>
      </c>
      <c r="K4" s="9" t="s">
        <v>19</v>
      </c>
      <c r="L4" s="10" t="s">
        <v>20</v>
      </c>
      <c r="M4" s="10" t="s">
        <v>18</v>
      </c>
      <c r="N4" s="11" t="s">
        <v>17</v>
      </c>
    </row>
    <row r="5" spans="2:16" ht="21" customHeight="1" x14ac:dyDescent="0.3">
      <c r="B5" s="12" t="s">
        <v>4</v>
      </c>
      <c r="C5" s="13">
        <v>864254</v>
      </c>
      <c r="D5" s="14">
        <f>C5/C$18</f>
        <v>7.3179760836862687E-2</v>
      </c>
      <c r="E5" s="14">
        <f>C5/$K5</f>
        <v>0.18248175182481752</v>
      </c>
      <c r="F5" s="15">
        <f>C5/$K$18</f>
        <v>1.5017866859875956E-2</v>
      </c>
      <c r="G5" s="13">
        <v>3871857.9200000004</v>
      </c>
      <c r="H5" s="14">
        <f>G5/G$18</f>
        <v>8.4652289637120029E-2</v>
      </c>
      <c r="I5" s="14">
        <f>G5/$K5</f>
        <v>0.81751824817518259</v>
      </c>
      <c r="J5" s="15">
        <f>G5/$K$18</f>
        <v>6.7280043532244288E-2</v>
      </c>
      <c r="K5" s="16">
        <f>C5+G5</f>
        <v>4736111.92</v>
      </c>
      <c r="L5" s="14">
        <f>K5/K$18</f>
        <v>8.2297910392120241E-2</v>
      </c>
      <c r="M5" s="14">
        <f>K5/$K5</f>
        <v>1</v>
      </c>
      <c r="N5" s="15">
        <f>K5/$K$18</f>
        <v>8.2297910392120241E-2</v>
      </c>
      <c r="P5" s="30" t="str">
        <f>IF(K5=MAX(K$5:K$16),"&lt;&lt;&lt; Highest montly sales worlwide","")</f>
        <v/>
      </c>
    </row>
    <row r="6" spans="2:16" ht="21" customHeight="1" x14ac:dyDescent="0.3">
      <c r="B6" s="17" t="s">
        <v>5</v>
      </c>
      <c r="C6" s="18">
        <v>764523</v>
      </c>
      <c r="D6" s="19">
        <f t="shared" ref="D6:D16" si="0">C6/C$18</f>
        <v>6.4735147646734367E-2</v>
      </c>
      <c r="E6" s="19">
        <f t="shared" ref="E6:E16" si="1">C6/$K6</f>
        <v>0.23255813953488372</v>
      </c>
      <c r="F6" s="20">
        <f t="shared" ref="F6:F16" si="2">C6/$K$18</f>
        <v>1.3284872994875286E-2</v>
      </c>
      <c r="G6" s="18">
        <v>2522925.9</v>
      </c>
      <c r="H6" s="19">
        <f t="shared" ref="H6:H16" si="3">G6/G$18</f>
        <v>5.5159940894678204E-2</v>
      </c>
      <c r="I6" s="19">
        <f t="shared" ref="I6:I16" si="4">G6/$K6</f>
        <v>0.76744186046511631</v>
      </c>
      <c r="J6" s="20">
        <f t="shared" ref="J6:J16" si="5">G6/$K$18</f>
        <v>4.3840080883088439E-2</v>
      </c>
      <c r="K6" s="21">
        <f t="shared" ref="K6:K16" si="6">C6+G6</f>
        <v>3287448.9</v>
      </c>
      <c r="L6" s="19">
        <f t="shared" ref="L6:L16" si="7">K6/K$18</f>
        <v>5.7124953877963729E-2</v>
      </c>
      <c r="M6" s="19">
        <f t="shared" ref="M6:M16" si="8">K6/$K6</f>
        <v>1</v>
      </c>
      <c r="N6" s="20">
        <f t="shared" ref="N6:N16" si="9">K6/$K$18</f>
        <v>5.7124953877963729E-2</v>
      </c>
      <c r="P6" s="30" t="str">
        <f t="shared" ref="P6:P16" si="10">IF(K6=MAX(K$5:K$16),"&lt;&lt;&lt; Highest montly sales worlwide","")</f>
        <v/>
      </c>
    </row>
    <row r="7" spans="2:16" ht="21" customHeight="1" x14ac:dyDescent="0.3">
      <c r="B7" s="17" t="s">
        <v>6</v>
      </c>
      <c r="C7" s="18">
        <v>654789</v>
      </c>
      <c r="D7" s="19">
        <f t="shared" si="0"/>
        <v>5.5443541387842556E-2</v>
      </c>
      <c r="E7" s="19">
        <f t="shared" si="1"/>
        <v>0.23752969121140144</v>
      </c>
      <c r="F7" s="20">
        <f t="shared" si="2"/>
        <v>1.1378060180585009E-2</v>
      </c>
      <c r="G7" s="18">
        <v>2101872.69</v>
      </c>
      <c r="H7" s="19">
        <f t="shared" si="3"/>
        <v>4.5954252302272645E-2</v>
      </c>
      <c r="I7" s="19">
        <f t="shared" si="4"/>
        <v>0.76247030878859856</v>
      </c>
      <c r="J7" s="20">
        <f t="shared" si="5"/>
        <v>3.652357317967788E-2</v>
      </c>
      <c r="K7" s="21">
        <f t="shared" si="6"/>
        <v>2756661.69</v>
      </c>
      <c r="L7" s="19">
        <f t="shared" si="7"/>
        <v>4.7901633360262895E-2</v>
      </c>
      <c r="M7" s="19">
        <f t="shared" si="8"/>
        <v>1</v>
      </c>
      <c r="N7" s="20">
        <f t="shared" si="9"/>
        <v>4.7901633360262895E-2</v>
      </c>
      <c r="P7" s="30" t="str">
        <f t="shared" si="10"/>
        <v/>
      </c>
    </row>
    <row r="8" spans="2:16" ht="21" customHeight="1" x14ac:dyDescent="0.3">
      <c r="B8" s="17" t="s">
        <v>7</v>
      </c>
      <c r="C8" s="18">
        <v>973468</v>
      </c>
      <c r="D8" s="19">
        <f t="shared" si="0"/>
        <v>8.2427336665307938E-2</v>
      </c>
      <c r="E8" s="19">
        <f t="shared" si="1"/>
        <v>0.19723865877712032</v>
      </c>
      <c r="F8" s="20">
        <f t="shared" si="2"/>
        <v>1.6915643799565554E-2</v>
      </c>
      <c r="G8" s="18">
        <v>3962014.7600000002</v>
      </c>
      <c r="H8" s="19">
        <f t="shared" si="3"/>
        <v>8.6623431938862197E-2</v>
      </c>
      <c r="I8" s="19">
        <f t="shared" si="4"/>
        <v>0.80276134122287979</v>
      </c>
      <c r="J8" s="20">
        <f t="shared" si="5"/>
        <v>6.8846670264231802E-2</v>
      </c>
      <c r="K8" s="21">
        <f t="shared" si="6"/>
        <v>4935482.76</v>
      </c>
      <c r="L8" s="19">
        <f t="shared" si="7"/>
        <v>8.5762314063797349E-2</v>
      </c>
      <c r="M8" s="19">
        <f t="shared" si="8"/>
        <v>1</v>
      </c>
      <c r="N8" s="20">
        <f t="shared" si="9"/>
        <v>8.5762314063797349E-2</v>
      </c>
      <c r="P8" s="30" t="str">
        <f t="shared" si="10"/>
        <v/>
      </c>
    </row>
    <row r="9" spans="2:16" ht="21" customHeight="1" x14ac:dyDescent="0.3">
      <c r="B9" s="17" t="s">
        <v>8</v>
      </c>
      <c r="C9" s="18">
        <v>1497638</v>
      </c>
      <c r="D9" s="19">
        <f t="shared" si="0"/>
        <v>0.12681085729449601</v>
      </c>
      <c r="E9" s="19">
        <f t="shared" si="1"/>
        <v>0.19120458891013384</v>
      </c>
      <c r="F9" s="20">
        <f t="shared" si="2"/>
        <v>2.6023979163869542E-2</v>
      </c>
      <c r="G9" s="18">
        <v>6335008.7400000002</v>
      </c>
      <c r="H9" s="19">
        <f t="shared" si="3"/>
        <v>0.13850533924348307</v>
      </c>
      <c r="I9" s="19">
        <f t="shared" si="4"/>
        <v>0.80879541108986619</v>
      </c>
      <c r="J9" s="20">
        <f t="shared" si="5"/>
        <v>0.11008143186316817</v>
      </c>
      <c r="K9" s="21">
        <f t="shared" si="6"/>
        <v>7832646.7400000002</v>
      </c>
      <c r="L9" s="19">
        <f t="shared" si="7"/>
        <v>0.13610541102703771</v>
      </c>
      <c r="M9" s="19">
        <f t="shared" si="8"/>
        <v>1</v>
      </c>
      <c r="N9" s="20">
        <f t="shared" si="9"/>
        <v>0.13610541102703771</v>
      </c>
      <c r="P9" s="30" t="str">
        <f t="shared" si="10"/>
        <v>&lt;&lt;&lt; Highest montly sales worlwide</v>
      </c>
    </row>
    <row r="10" spans="2:16" ht="21" customHeight="1" x14ac:dyDescent="0.3">
      <c r="B10" s="17" t="s">
        <v>9</v>
      </c>
      <c r="C10" s="18">
        <v>1625462</v>
      </c>
      <c r="D10" s="19">
        <f t="shared" si="0"/>
        <v>0.1376342144895002</v>
      </c>
      <c r="E10" s="19">
        <f t="shared" si="1"/>
        <v>0.24213075060532688</v>
      </c>
      <c r="F10" s="20">
        <f t="shared" si="2"/>
        <v>2.8245136154171912E-2</v>
      </c>
      <c r="G10" s="18">
        <v>5087696.0599999996</v>
      </c>
      <c r="H10" s="19">
        <f t="shared" si="3"/>
        <v>0.11123474294654756</v>
      </c>
      <c r="I10" s="19">
        <f t="shared" si="4"/>
        <v>0.75786924939467315</v>
      </c>
      <c r="J10" s="20">
        <f t="shared" si="5"/>
        <v>8.8407276162558071E-2</v>
      </c>
      <c r="K10" s="21">
        <f t="shared" si="6"/>
        <v>6713158.0599999996</v>
      </c>
      <c r="L10" s="19">
        <f t="shared" si="7"/>
        <v>0.11665241231672999</v>
      </c>
      <c r="M10" s="19">
        <f t="shared" si="8"/>
        <v>1</v>
      </c>
      <c r="N10" s="20">
        <f t="shared" si="9"/>
        <v>0.11665241231672999</v>
      </c>
      <c r="P10" s="30" t="str">
        <f t="shared" si="10"/>
        <v/>
      </c>
    </row>
    <row r="11" spans="2:16" ht="21" customHeight="1" x14ac:dyDescent="0.3">
      <c r="B11" s="17" t="s">
        <v>10</v>
      </c>
      <c r="C11" s="18">
        <v>764319</v>
      </c>
      <c r="D11" s="19">
        <f t="shared" si="0"/>
        <v>6.4717874170174564E-2</v>
      </c>
      <c r="E11" s="19">
        <f t="shared" si="1"/>
        <v>0.20491803278688525</v>
      </c>
      <c r="F11" s="20">
        <f t="shared" si="2"/>
        <v>1.3281328151762712E-2</v>
      </c>
      <c r="G11" s="18">
        <v>2965557.7199999997</v>
      </c>
      <c r="H11" s="19">
        <f t="shared" si="3"/>
        <v>6.4837413003273947E-2</v>
      </c>
      <c r="I11" s="19">
        <f t="shared" si="4"/>
        <v>0.79508196721311475</v>
      </c>
      <c r="J11" s="20">
        <f t="shared" si="5"/>
        <v>5.1531553228839316E-2</v>
      </c>
      <c r="K11" s="21">
        <f t="shared" si="6"/>
        <v>3729876.7199999997</v>
      </c>
      <c r="L11" s="19">
        <f t="shared" si="7"/>
        <v>6.4812881380602025E-2</v>
      </c>
      <c r="M11" s="19">
        <f t="shared" si="8"/>
        <v>1</v>
      </c>
      <c r="N11" s="20">
        <f t="shared" si="9"/>
        <v>6.4812881380602025E-2</v>
      </c>
      <c r="P11" s="30" t="str">
        <f t="shared" si="10"/>
        <v/>
      </c>
    </row>
    <row r="12" spans="2:16" ht="21" customHeight="1" x14ac:dyDescent="0.3">
      <c r="B12" s="17" t="s">
        <v>11</v>
      </c>
      <c r="C12" s="18">
        <v>486427</v>
      </c>
      <c r="D12" s="19">
        <f t="shared" si="0"/>
        <v>4.1187673443909549E-2</v>
      </c>
      <c r="E12" s="19">
        <f t="shared" si="1"/>
        <v>0.24154589371980675</v>
      </c>
      <c r="F12" s="20">
        <f t="shared" si="2"/>
        <v>8.4524872584319909E-3</v>
      </c>
      <c r="G12" s="18">
        <v>1527380.78</v>
      </c>
      <c r="H12" s="19">
        <f t="shared" si="3"/>
        <v>3.3393859704110809E-2</v>
      </c>
      <c r="I12" s="19">
        <f t="shared" si="4"/>
        <v>0.75845410628019327</v>
      </c>
      <c r="J12" s="20">
        <f t="shared" si="5"/>
        <v>2.6540809991476452E-2</v>
      </c>
      <c r="K12" s="21">
        <f t="shared" si="6"/>
        <v>2013807.78</v>
      </c>
      <c r="L12" s="19">
        <f t="shared" si="7"/>
        <v>3.4993297249908441E-2</v>
      </c>
      <c r="M12" s="19">
        <f t="shared" si="8"/>
        <v>1</v>
      </c>
      <c r="N12" s="20">
        <f t="shared" si="9"/>
        <v>3.4993297249908441E-2</v>
      </c>
      <c r="P12" s="30" t="str">
        <f t="shared" si="10"/>
        <v/>
      </c>
    </row>
    <row r="13" spans="2:16" ht="21" customHeight="1" x14ac:dyDescent="0.3">
      <c r="B13" s="17" t="s">
        <v>12</v>
      </c>
      <c r="C13" s="18">
        <v>648376</v>
      </c>
      <c r="D13" s="19">
        <f t="shared" si="0"/>
        <v>5.490052763696978E-2</v>
      </c>
      <c r="E13" s="19">
        <f t="shared" si="1"/>
        <v>0.19120458891013381</v>
      </c>
      <c r="F13" s="20">
        <f t="shared" si="2"/>
        <v>1.126662351940394E-2</v>
      </c>
      <c r="G13" s="18">
        <v>2742630.4800000004</v>
      </c>
      <c r="H13" s="19">
        <f t="shared" si="3"/>
        <v>5.9963447667148263E-2</v>
      </c>
      <c r="I13" s="19">
        <f t="shared" si="4"/>
        <v>0.80879541108986619</v>
      </c>
      <c r="J13" s="20">
        <f t="shared" si="5"/>
        <v>4.7657817487078674E-2</v>
      </c>
      <c r="K13" s="21">
        <f t="shared" si="6"/>
        <v>3391006.4800000004</v>
      </c>
      <c r="L13" s="19">
        <f t="shared" si="7"/>
        <v>5.8924441006482614E-2</v>
      </c>
      <c r="M13" s="19">
        <f t="shared" si="8"/>
        <v>1</v>
      </c>
      <c r="N13" s="20">
        <f t="shared" si="9"/>
        <v>5.8924441006482614E-2</v>
      </c>
      <c r="P13" s="30" t="str">
        <f t="shared" si="10"/>
        <v/>
      </c>
    </row>
    <row r="14" spans="2:16" ht="21" customHeight="1" x14ac:dyDescent="0.3">
      <c r="B14" s="17" t="s">
        <v>13</v>
      </c>
      <c r="C14" s="18">
        <v>1167538</v>
      </c>
      <c r="D14" s="19">
        <f t="shared" si="0"/>
        <v>9.8860001351395513E-2</v>
      </c>
      <c r="E14" s="19">
        <f t="shared" si="1"/>
        <v>0.19607843137254902</v>
      </c>
      <c r="F14" s="20">
        <f t="shared" si="2"/>
        <v>2.0287936460630616E-2</v>
      </c>
      <c r="G14" s="18">
        <v>4786905.8</v>
      </c>
      <c r="H14" s="19">
        <f t="shared" si="3"/>
        <v>0.10465842100094667</v>
      </c>
      <c r="I14" s="19">
        <f t="shared" si="4"/>
        <v>0.80392156862745101</v>
      </c>
      <c r="J14" s="20">
        <f t="shared" si="5"/>
        <v>8.3180539488585531E-2</v>
      </c>
      <c r="K14" s="21">
        <f t="shared" si="6"/>
        <v>5954443.7999999998</v>
      </c>
      <c r="L14" s="19">
        <f t="shared" si="7"/>
        <v>0.10346847594921614</v>
      </c>
      <c r="M14" s="19">
        <f t="shared" si="8"/>
        <v>1</v>
      </c>
      <c r="N14" s="20">
        <f t="shared" si="9"/>
        <v>0.10346847594921614</v>
      </c>
      <c r="P14" s="30" t="str">
        <f t="shared" si="10"/>
        <v/>
      </c>
    </row>
    <row r="15" spans="2:16" ht="21" customHeight="1" x14ac:dyDescent="0.3">
      <c r="B15" s="17" t="s">
        <v>14</v>
      </c>
      <c r="C15" s="18">
        <v>1386738</v>
      </c>
      <c r="D15" s="19">
        <f t="shared" si="0"/>
        <v>0.11742052126271824</v>
      </c>
      <c r="E15" s="19">
        <f t="shared" si="1"/>
        <v>0.19083969465648853</v>
      </c>
      <c r="F15" s="20">
        <f t="shared" si="2"/>
        <v>2.4096905138455436E-2</v>
      </c>
      <c r="G15" s="18">
        <v>5879769.1200000001</v>
      </c>
      <c r="H15" s="19">
        <f t="shared" si="3"/>
        <v>0.12855221674705314</v>
      </c>
      <c r="I15" s="19">
        <f t="shared" si="4"/>
        <v>0.80916030534351147</v>
      </c>
      <c r="J15" s="20">
        <f t="shared" si="5"/>
        <v>0.10217087778705104</v>
      </c>
      <c r="K15" s="21">
        <f t="shared" si="6"/>
        <v>7266507.1200000001</v>
      </c>
      <c r="L15" s="19">
        <f t="shared" si="7"/>
        <v>0.12626778292550647</v>
      </c>
      <c r="M15" s="19">
        <f t="shared" si="8"/>
        <v>1</v>
      </c>
      <c r="N15" s="20">
        <f t="shared" si="9"/>
        <v>0.12626778292550647</v>
      </c>
      <c r="P15" s="30" t="str">
        <f t="shared" si="10"/>
        <v/>
      </c>
    </row>
    <row r="16" spans="2:16" ht="21" customHeight="1" thickBot="1" x14ac:dyDescent="0.35">
      <c r="B16" s="22" t="s">
        <v>15</v>
      </c>
      <c r="C16" s="23">
        <v>976482</v>
      </c>
      <c r="D16" s="24">
        <f t="shared" si="0"/>
        <v>8.2682543814088613E-2</v>
      </c>
      <c r="E16" s="24">
        <f t="shared" si="1"/>
        <v>0.19801980198019803</v>
      </c>
      <c r="F16" s="25">
        <f t="shared" si="2"/>
        <v>1.6968017118885643E-2</v>
      </c>
      <c r="G16" s="23">
        <v>3954752.0999999996</v>
      </c>
      <c r="H16" s="24">
        <f t="shared" si="3"/>
        <v>8.6464644914503633E-2</v>
      </c>
      <c r="I16" s="24">
        <f t="shared" si="4"/>
        <v>0.80198019801980192</v>
      </c>
      <c r="J16" s="25">
        <f t="shared" si="5"/>
        <v>6.8720469331486858E-2</v>
      </c>
      <c r="K16" s="26">
        <f t="shared" si="6"/>
        <v>4931234.0999999996</v>
      </c>
      <c r="L16" s="24">
        <f t="shared" si="7"/>
        <v>8.5688486450372497E-2</v>
      </c>
      <c r="M16" s="24">
        <f t="shared" si="8"/>
        <v>1</v>
      </c>
      <c r="N16" s="25">
        <f t="shared" si="9"/>
        <v>8.5688486450372497E-2</v>
      </c>
      <c r="P16" s="30" t="str">
        <f t="shared" si="10"/>
        <v/>
      </c>
    </row>
    <row r="17" spans="2:14" ht="21" customHeight="1" thickBot="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24" customHeight="1" thickBot="1" x14ac:dyDescent="0.35">
      <c r="B18" s="31" t="s">
        <v>16</v>
      </c>
      <c r="C18" s="4">
        <f>SUM(C5:C16)</f>
        <v>11810014</v>
      </c>
      <c r="D18" s="5">
        <f>C18/C$18</f>
        <v>1</v>
      </c>
      <c r="E18" s="5">
        <f>C18/$K18</f>
        <v>0.2052188568005136</v>
      </c>
      <c r="F18" s="6">
        <f>C18/$K$18</f>
        <v>0.2052188568005136</v>
      </c>
      <c r="G18" s="4">
        <f>SUM(G5:G16)</f>
        <v>45738372.069999993</v>
      </c>
      <c r="H18" s="7">
        <f>G18/G$18</f>
        <v>1</v>
      </c>
      <c r="I18" s="7">
        <f>G18/$K18</f>
        <v>0.79478114319948645</v>
      </c>
      <c r="J18" s="8">
        <f>G18/$K$18</f>
        <v>0.79478114319948645</v>
      </c>
      <c r="K18" s="4">
        <f>SUM(K5:K16)</f>
        <v>57548386.069999993</v>
      </c>
      <c r="L18" s="7">
        <f>K18/K$18</f>
        <v>1</v>
      </c>
      <c r="M18" s="7">
        <f>K18/$K18</f>
        <v>1</v>
      </c>
      <c r="N18" s="8">
        <f>K18/$K$18</f>
        <v>1</v>
      </c>
    </row>
    <row r="19" spans="2:14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36" spans="2:5" ht="27" customHeight="1" thickBot="1" x14ac:dyDescent="0.35"/>
    <row r="37" spans="2:5" ht="27" customHeight="1" x14ac:dyDescent="0.3">
      <c r="B37" s="38" t="s">
        <v>21</v>
      </c>
      <c r="C37" s="39"/>
      <c r="D37" s="39"/>
      <c r="E37" s="27">
        <f>K18</f>
        <v>57548386.069999993</v>
      </c>
    </row>
    <row r="38" spans="2:5" ht="27" customHeight="1" x14ac:dyDescent="0.3">
      <c r="B38" s="40" t="s">
        <v>22</v>
      </c>
      <c r="C38" s="41"/>
      <c r="D38" s="41"/>
      <c r="E38" s="28">
        <f>AVERAGE(C5:C16)</f>
        <v>984167.83333333337</v>
      </c>
    </row>
    <row r="39" spans="2:5" ht="27" customHeight="1" thickBot="1" x14ac:dyDescent="0.35">
      <c r="B39" s="32" t="s">
        <v>23</v>
      </c>
      <c r="C39" s="33"/>
      <c r="D39" s="33"/>
      <c r="E39" s="29">
        <f>MIN(C5:C16,G5:G16)</f>
        <v>486427</v>
      </c>
    </row>
  </sheetData>
  <mergeCells count="7">
    <mergeCell ref="B39:D39"/>
    <mergeCell ref="B1:N1"/>
    <mergeCell ref="C3:F3"/>
    <mergeCell ref="G3:J3"/>
    <mergeCell ref="K3:N3"/>
    <mergeCell ref="B37:D37"/>
    <mergeCell ref="B38:D38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BalleriniM</dc:creator>
  <cp:lastModifiedBy>PAVEL ANDREEV</cp:lastModifiedBy>
  <cp:lastPrinted>2011-06-14T15:06:45Z</cp:lastPrinted>
  <dcterms:created xsi:type="dcterms:W3CDTF">2011-06-14T12:15:19Z</dcterms:created>
  <dcterms:modified xsi:type="dcterms:W3CDTF">2026-02-01T08:22:43Z</dcterms:modified>
</cp:coreProperties>
</file>
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6 - Lesson 6/"/>
    </mc:Choice>
  </mc:AlternateContent>
  <xr:revisionPtr revIDLastSave="142" documentId="13_ncr:1_{6ECAFB2F-1385-409F-B63C-3CEC3CD3BF58}" xr6:coauthVersionLast="47" xr6:coauthVersionMax="47" xr10:uidLastSave="{51C2A120-63C8-4484-8F6B-75914E1E99BE}"/>
  <bookViews>
    <workbookView xWindow="-96" yWindow="0" windowWidth="11712" windowHeight="12336" activeTab="1" xr2:uid="{00000000-000D-0000-FFFF-FFFF00000000}"/>
  </bookViews>
  <sheets>
    <sheet name="Articles" sheetId="3" r:id="rId1"/>
    <sheet name="Press campaig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3" i="4"/>
  <c r="E4" i="4" l="1"/>
  <c r="E5" i="4"/>
  <c r="E6" i="4"/>
  <c r="E7" i="4"/>
  <c r="E8" i="4"/>
  <c r="E9" i="4"/>
  <c r="E10" i="4"/>
  <c r="E11" i="4"/>
  <c r="E12" i="4"/>
  <c r="E3" i="4"/>
  <c r="C4" i="4"/>
  <c r="C5" i="4"/>
  <c r="C6" i="4"/>
  <c r="C7" i="4"/>
  <c r="C8" i="4"/>
  <c r="C9" i="4"/>
  <c r="C10" i="4"/>
  <c r="C11" i="4"/>
  <c r="C12" i="4"/>
  <c r="C3" i="4"/>
</calcChain>
</file>

<file path=xl/sharedStrings.xml><?xml version="1.0" encoding="utf-8"?>
<sst xmlns="http://schemas.openxmlformats.org/spreadsheetml/2006/main" count="927" uniqueCount="359">
  <si>
    <t>Year</t>
  </si>
  <si>
    <t>Number of Authors</t>
  </si>
  <si>
    <t>Magazine</t>
  </si>
  <si>
    <t>Sector</t>
  </si>
  <si>
    <t xml:space="preserve">Quotations </t>
  </si>
  <si>
    <t>Copies Sold</t>
  </si>
  <si>
    <t>Cost</t>
  </si>
  <si>
    <t>Journal of Convention and Event Tourism</t>
  </si>
  <si>
    <t>Tourism</t>
  </si>
  <si>
    <t>Tourism Economics</t>
  </si>
  <si>
    <t>Tourism Management</t>
  </si>
  <si>
    <t>Journal of Urban Affairs</t>
  </si>
  <si>
    <t>Architecture</t>
  </si>
  <si>
    <t>Journal of Sport &amp; Tourism</t>
  </si>
  <si>
    <t>Annals of Tourism Research</t>
  </si>
  <si>
    <t>Journal of Travel Research</t>
  </si>
  <si>
    <t>Journal of Hospitality Management</t>
  </si>
  <si>
    <t>Event Management</t>
  </si>
  <si>
    <t>Marketing</t>
  </si>
  <si>
    <t>Tourism etc</t>
  </si>
  <si>
    <t>Public Transport International</t>
  </si>
  <si>
    <t>Journal of Travel and Tourism Marketing</t>
  </si>
  <si>
    <t>Tourism Analysis</t>
  </si>
  <si>
    <t>Tourism Review International</t>
  </si>
  <si>
    <t>Canadian Geographer</t>
  </si>
  <si>
    <t>Geography</t>
  </si>
  <si>
    <t>Current Issues in Tourism</t>
  </si>
  <si>
    <t>Asia-Pacific Journal of Tourism Research</t>
  </si>
  <si>
    <t>Cornell H&amp;R Administration Quarterly</t>
  </si>
  <si>
    <t>Economics</t>
  </si>
  <si>
    <t>Tourism Geographies</t>
  </si>
  <si>
    <t>Tourism Culture and Communication</t>
  </si>
  <si>
    <t>Urban Studies</t>
  </si>
  <si>
    <t>Tourist Studies</t>
  </si>
  <si>
    <t>Journal of Sustainable Tourism</t>
  </si>
  <si>
    <t>International Marketing Review</t>
  </si>
  <si>
    <t>Journal of Advertising</t>
  </si>
  <si>
    <t>Advertising</t>
  </si>
  <si>
    <t>Leisure Studies</t>
  </si>
  <si>
    <t>Journal of Advertising Research</t>
  </si>
  <si>
    <t>Journal of Business Research</t>
  </si>
  <si>
    <t>Leisure Sciences</t>
  </si>
  <si>
    <t>Journal of Hospitality and Leisure Marketing</t>
  </si>
  <si>
    <t>Cultural Geographies</t>
  </si>
  <si>
    <t>Applied Economics</t>
  </si>
  <si>
    <t>Journal of Vacation Marketing</t>
  </si>
  <si>
    <t>Journal of Euromarketing</t>
  </si>
  <si>
    <t>Journal of Applied Econometrics</t>
  </si>
  <si>
    <t>European Journal of Marketing</t>
  </si>
  <si>
    <t>Scandinavian Journal of Tourism</t>
  </si>
  <si>
    <t>Article ID</t>
  </si>
  <si>
    <t>ART8062</t>
  </si>
  <si>
    <t>ART7942</t>
  </si>
  <si>
    <t>ART6879</t>
  </si>
  <si>
    <t>ART1326</t>
  </si>
  <si>
    <t>ART1121</t>
  </si>
  <si>
    <t>ART9483</t>
  </si>
  <si>
    <t>ART7405</t>
  </si>
  <si>
    <t>ART9781</t>
  </si>
  <si>
    <t>ART7411</t>
  </si>
  <si>
    <t>ART9588</t>
  </si>
  <si>
    <t>ART2865</t>
  </si>
  <si>
    <t>ART6658</t>
  </si>
  <si>
    <t>ART7727</t>
  </si>
  <si>
    <t>ART6748</t>
  </si>
  <si>
    <t>ART7662</t>
  </si>
  <si>
    <t>ART9180</t>
  </si>
  <si>
    <t>ART1747</t>
  </si>
  <si>
    <t>ART2693</t>
  </si>
  <si>
    <t>ART2940</t>
  </si>
  <si>
    <t>ART8985</t>
  </si>
  <si>
    <t>ART9898</t>
  </si>
  <si>
    <t>ART7327</t>
  </si>
  <si>
    <t>ART5720</t>
  </si>
  <si>
    <t>ART3191</t>
  </si>
  <si>
    <t>ART1729</t>
  </si>
  <si>
    <t>ART6572</t>
  </si>
  <si>
    <t>ART5370</t>
  </si>
  <si>
    <t>ART6364</t>
  </si>
  <si>
    <t>ART3339</t>
  </si>
  <si>
    <t>ART8902</t>
  </si>
  <si>
    <t>ART9843</t>
  </si>
  <si>
    <t>ART5478</t>
  </si>
  <si>
    <t>ART7741</t>
  </si>
  <si>
    <t>ART1266</t>
  </si>
  <si>
    <t>ART1733</t>
  </si>
  <si>
    <t>ART2701</t>
  </si>
  <si>
    <t>ART4739</t>
  </si>
  <si>
    <t>ART5847</t>
  </si>
  <si>
    <t>ART5539</t>
  </si>
  <si>
    <t>ART5261</t>
  </si>
  <si>
    <t>ART3136</t>
  </si>
  <si>
    <t>ART6728</t>
  </si>
  <si>
    <t>ART3087</t>
  </si>
  <si>
    <t>ART2590</t>
  </si>
  <si>
    <t>ART4208</t>
  </si>
  <si>
    <t>ART9856</t>
  </si>
  <si>
    <t>ART8737</t>
  </si>
  <si>
    <t>ART1920</t>
  </si>
  <si>
    <t>ART5224</t>
  </si>
  <si>
    <t>ART4407</t>
  </si>
  <si>
    <t>ART9683</t>
  </si>
  <si>
    <t>ART3124</t>
  </si>
  <si>
    <t>ART7109</t>
  </si>
  <si>
    <t>ART4454</t>
  </si>
  <si>
    <t>ART1814</t>
  </si>
  <si>
    <t>ART6056</t>
  </si>
  <si>
    <t>ART6563</t>
  </si>
  <si>
    <t>ART9344</t>
  </si>
  <si>
    <t>ART1932</t>
  </si>
  <si>
    <t>ART2366</t>
  </si>
  <si>
    <t>ART5127</t>
  </si>
  <si>
    <t>ART9354</t>
  </si>
  <si>
    <t>ART7151</t>
  </si>
  <si>
    <t>ART5251</t>
  </si>
  <si>
    <t>ART4763</t>
  </si>
  <si>
    <t>ART2679</t>
  </si>
  <si>
    <t>ART2874</t>
  </si>
  <si>
    <t>ART7422</t>
  </si>
  <si>
    <t>ART2963</t>
  </si>
  <si>
    <t>ART7717</t>
  </si>
  <si>
    <t>ART2807</t>
  </si>
  <si>
    <t>ART6481</t>
  </si>
  <si>
    <t>ART4984</t>
  </si>
  <si>
    <t>ART1256</t>
  </si>
  <si>
    <t>ART6358</t>
  </si>
  <si>
    <t>ART2160</t>
  </si>
  <si>
    <t>ART7236</t>
  </si>
  <si>
    <t>ART9681</t>
  </si>
  <si>
    <t>ART9282</t>
  </si>
  <si>
    <t>ART7406</t>
  </si>
  <si>
    <t>ART3798</t>
  </si>
  <si>
    <t>ART4217</t>
  </si>
  <si>
    <t>ART6088</t>
  </si>
  <si>
    <t>ART5773</t>
  </si>
  <si>
    <t>ART1022</t>
  </si>
  <si>
    <t>ART4063</t>
  </si>
  <si>
    <t>ART8356</t>
  </si>
  <si>
    <t>ART8391</t>
  </si>
  <si>
    <t>ART3517</t>
  </si>
  <si>
    <t>ART9855</t>
  </si>
  <si>
    <t>ART6918</t>
  </si>
  <si>
    <t>ART6575</t>
  </si>
  <si>
    <t>ART5605</t>
  </si>
  <si>
    <t>ART9177</t>
  </si>
  <si>
    <t>ART6712</t>
  </si>
  <si>
    <t>ART9067</t>
  </si>
  <si>
    <t>ART7529</t>
  </si>
  <si>
    <t>ART6435</t>
  </si>
  <si>
    <t>ART8016</t>
  </si>
  <si>
    <t>ART8366</t>
  </si>
  <si>
    <t>ART1978</t>
  </si>
  <si>
    <t>ART8285</t>
  </si>
  <si>
    <t>ART8983</t>
  </si>
  <si>
    <t>ART3491</t>
  </si>
  <si>
    <t>ART7732</t>
  </si>
  <si>
    <t>ART7134</t>
  </si>
  <si>
    <t>ART7496</t>
  </si>
  <si>
    <t>ART9335</t>
  </si>
  <si>
    <t>ART9225</t>
  </si>
  <si>
    <t>ART2066</t>
  </si>
  <si>
    <t>ART6990</t>
  </si>
  <si>
    <t>ART8320</t>
  </si>
  <si>
    <t>ART8082</t>
  </si>
  <si>
    <t>ART9621</t>
  </si>
  <si>
    <t>ART4251</t>
  </si>
  <si>
    <t>ART4400</t>
  </si>
  <si>
    <t>ART7809</t>
  </si>
  <si>
    <t>ART8599</t>
  </si>
  <si>
    <t>ART3300</t>
  </si>
  <si>
    <t>ART6922</t>
  </si>
  <si>
    <t>ART1012</t>
  </si>
  <si>
    <t>ART2352</t>
  </si>
  <si>
    <t>ART1304</t>
  </si>
  <si>
    <t>ART2835</t>
  </si>
  <si>
    <t>ART3929</t>
  </si>
  <si>
    <t>ART1684</t>
  </si>
  <si>
    <t>ART4971</t>
  </si>
  <si>
    <t>ART1609</t>
  </si>
  <si>
    <t>ART1508</t>
  </si>
  <si>
    <t>ART8965</t>
  </si>
  <si>
    <t>ART2464</t>
  </si>
  <si>
    <t>ART1092</t>
  </si>
  <si>
    <t>ART3644</t>
  </si>
  <si>
    <t>ART2109</t>
  </si>
  <si>
    <t>ART6556</t>
  </si>
  <si>
    <t>ART7734</t>
  </si>
  <si>
    <t>ART4590</t>
  </si>
  <si>
    <t>ART5950</t>
  </si>
  <si>
    <t>ART5857</t>
  </si>
  <si>
    <t>ART3156</t>
  </si>
  <si>
    <t>ART4979</t>
  </si>
  <si>
    <t>ART4535</t>
  </si>
  <si>
    <t>ART2501</t>
  </si>
  <si>
    <t>ART9411</t>
  </si>
  <si>
    <t>ART3373</t>
  </si>
  <si>
    <t>ART4559</t>
  </si>
  <si>
    <t>ART6316</t>
  </si>
  <si>
    <t>ART3221</t>
  </si>
  <si>
    <t>ART3158</t>
  </si>
  <si>
    <t>ART3822</t>
  </si>
  <si>
    <t>ART6876</t>
  </si>
  <si>
    <t>ART2259</t>
  </si>
  <si>
    <t>ART5411</t>
  </si>
  <si>
    <t>ART8007</t>
  </si>
  <si>
    <t>ART2281</t>
  </si>
  <si>
    <t>ART7267</t>
  </si>
  <si>
    <t>ART3132</t>
  </si>
  <si>
    <t>ART2799</t>
  </si>
  <si>
    <t>ART2726</t>
  </si>
  <si>
    <t>ART5834</t>
  </si>
  <si>
    <t>ART3693</t>
  </si>
  <si>
    <t>ART5636</t>
  </si>
  <si>
    <t>ART1739</t>
  </si>
  <si>
    <t>ART2860</t>
  </si>
  <si>
    <t>ART9372</t>
  </si>
  <si>
    <t>ART9753</t>
  </si>
  <si>
    <t>ART7409</t>
  </si>
  <si>
    <t>ART4310</t>
  </si>
  <si>
    <t>ART3868</t>
  </si>
  <si>
    <t>ART6495</t>
  </si>
  <si>
    <t>ART9268</t>
  </si>
  <si>
    <t>ART4261</t>
  </si>
  <si>
    <t>ART8699</t>
  </si>
  <si>
    <t>ART1803</t>
  </si>
  <si>
    <t>ART5353</t>
  </si>
  <si>
    <t>ART3477</t>
  </si>
  <si>
    <t>ART5742</t>
  </si>
  <si>
    <t>ART1582</t>
  </si>
  <si>
    <t>ART3973</t>
  </si>
  <si>
    <t>ART3239</t>
  </si>
  <si>
    <t>ART5871</t>
  </si>
  <si>
    <t>ART5574</t>
  </si>
  <si>
    <t>ART9360</t>
  </si>
  <si>
    <t>ART2457</t>
  </si>
  <si>
    <t>ART2070</t>
  </si>
  <si>
    <t>ART3110</t>
  </si>
  <si>
    <t>ART6415</t>
  </si>
  <si>
    <t>ART1511</t>
  </si>
  <si>
    <t>ART6544</t>
  </si>
  <si>
    <t>ART2024</t>
  </si>
  <si>
    <t>ART4656</t>
  </si>
  <si>
    <t>ART9536</t>
  </si>
  <si>
    <t>ART4130</t>
  </si>
  <si>
    <t>ART2589</t>
  </si>
  <si>
    <t>ART9653</t>
  </si>
  <si>
    <t>ART3647</t>
  </si>
  <si>
    <t>ART2622</t>
  </si>
  <si>
    <t>ART6875</t>
  </si>
  <si>
    <t>ART4546</t>
  </si>
  <si>
    <t>ART7323</t>
  </si>
  <si>
    <t>ART3080</t>
  </si>
  <si>
    <t>ART2292</t>
  </si>
  <si>
    <t>ART4487</t>
  </si>
  <si>
    <t>ART3989</t>
  </si>
  <si>
    <t>ART1718</t>
  </si>
  <si>
    <t>ART9832</t>
  </si>
  <si>
    <t>ART3700</t>
  </si>
  <si>
    <t>ART1178</t>
  </si>
  <si>
    <t>ART6923</t>
  </si>
  <si>
    <t>ART1300</t>
  </si>
  <si>
    <t>ART2823</t>
  </si>
  <si>
    <t>ART7190</t>
  </si>
  <si>
    <t>ART1377</t>
  </si>
  <si>
    <t>ART2749</t>
  </si>
  <si>
    <t>ART1019</t>
  </si>
  <si>
    <t>ART5953</t>
  </si>
  <si>
    <t>ART2608</t>
  </si>
  <si>
    <t>ART1842</t>
  </si>
  <si>
    <t>ART5302</t>
  </si>
  <si>
    <t>ART2072</t>
  </si>
  <si>
    <t>ART6908</t>
  </si>
  <si>
    <t>ART9127</t>
  </si>
  <si>
    <t>ART6659</t>
  </si>
  <si>
    <t>ART9365</t>
  </si>
  <si>
    <t>ART6617</t>
  </si>
  <si>
    <t>ART2279</t>
  </si>
  <si>
    <t>ART5775</t>
  </si>
  <si>
    <t>ART1228</t>
  </si>
  <si>
    <t>ART8592</t>
  </si>
  <si>
    <t>ART1397</t>
  </si>
  <si>
    <t>ART3095</t>
  </si>
  <si>
    <t>ART4799</t>
  </si>
  <si>
    <t>ART7777</t>
  </si>
  <si>
    <t>ART4885</t>
  </si>
  <si>
    <t>ART2631</t>
  </si>
  <si>
    <t>ART8376</t>
  </si>
  <si>
    <t>ART8507</t>
  </si>
  <si>
    <t>ART6794</t>
  </si>
  <si>
    <t>ART3990</t>
  </si>
  <si>
    <t>ART4290</t>
  </si>
  <si>
    <t>ART2758</t>
  </si>
  <si>
    <t>ART1961</t>
  </si>
  <si>
    <t>ART1686</t>
  </si>
  <si>
    <t>ART9831</t>
  </si>
  <si>
    <t>ART6832</t>
  </si>
  <si>
    <t>ART3035</t>
  </si>
  <si>
    <t>ART4273</t>
  </si>
  <si>
    <t>ART5523</t>
  </si>
  <si>
    <t>ART8106</t>
  </si>
  <si>
    <t>ART9274</t>
  </si>
  <si>
    <t>ART3183</t>
  </si>
  <si>
    <t>ART1991</t>
  </si>
  <si>
    <t>ART1966</t>
  </si>
  <si>
    <t>ART6613</t>
  </si>
  <si>
    <t>ART4459</t>
  </si>
  <si>
    <t>ART5152</t>
  </si>
  <si>
    <t>ART4073</t>
  </si>
  <si>
    <t>ART4455</t>
  </si>
  <si>
    <t>ART6386</t>
  </si>
  <si>
    <t>ART5214</t>
  </si>
  <si>
    <t>ART5197</t>
  </si>
  <si>
    <t>ART7321</t>
  </si>
  <si>
    <t>ART7946</t>
  </si>
  <si>
    <t>ART2610</t>
  </si>
  <si>
    <t>ART5509</t>
  </si>
  <si>
    <t>ART4512</t>
  </si>
  <si>
    <t>ART9114</t>
  </si>
  <si>
    <t>ART4398</t>
  </si>
  <si>
    <t>ART2570</t>
  </si>
  <si>
    <t>ART9640</t>
  </si>
  <si>
    <t>ART9172</t>
  </si>
  <si>
    <t>ART8464</t>
  </si>
  <si>
    <t>ART8212</t>
  </si>
  <si>
    <t>ART5349</t>
  </si>
  <si>
    <t>ART9181</t>
  </si>
  <si>
    <t>ART3969</t>
  </si>
  <si>
    <t>ART6085</t>
  </si>
  <si>
    <t>ART4268</t>
  </si>
  <si>
    <t>ART6892</t>
  </si>
  <si>
    <t>ART8688</t>
  </si>
  <si>
    <t>ART6955</t>
  </si>
  <si>
    <t>ART6810</t>
  </si>
  <si>
    <t>ART1014</t>
  </si>
  <si>
    <t>ART8841</t>
  </si>
  <si>
    <t>ART7978</t>
  </si>
  <si>
    <t>ART8471</t>
  </si>
  <si>
    <t>ART1028</t>
  </si>
  <si>
    <t>ART9598</t>
  </si>
  <si>
    <t>ART8446</t>
  </si>
  <si>
    <t>ART4879</t>
  </si>
  <si>
    <t>ART6148</t>
  </si>
  <si>
    <t>ART2302</t>
  </si>
  <si>
    <t>ART9673</t>
  </si>
  <si>
    <t>ART4271</t>
  </si>
  <si>
    <t>ART5833</t>
  </si>
  <si>
    <t>ART6991</t>
  </si>
  <si>
    <t>ART7724</t>
  </si>
  <si>
    <t>ART1990</t>
  </si>
  <si>
    <t>ART3814</t>
  </si>
  <si>
    <t>ART7769</t>
  </si>
  <si>
    <t>ART8134</t>
  </si>
  <si>
    <t>ART7776</t>
  </si>
  <si>
    <t>ART1487</t>
  </si>
  <si>
    <t>ART6338</t>
  </si>
  <si>
    <t>ART1808</t>
  </si>
  <si>
    <t>The total number of articles with more than 5 quotations, for each year</t>
  </si>
  <si>
    <t>Total cost on magazines with more than 25,000 copies sold</t>
  </si>
  <si>
    <t>The average quotations on articles with cost less than or equal to 10,000 $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</si>
</sst>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$-409]#,##0.00"/>
    <numFmt numFmtId="166" formatCode="_-* #,##0_-;\-* #,##0_-;_-* &quot;-&quot;??_-;_-@_-"/>
    <numFmt numFmtId="177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177" fontId="0" fillId="0" borderId="3" xfId="0" applyNumberFormat="1" applyBorder="1"/>
    <xf numFmtId="177" fontId="0" fillId="0" borderId="2" xfId="0" applyNumberFormat="1" applyBorder="1"/>
    <xf numFmtId="2" fontId="0" fillId="0" borderId="10" xfId="0" applyNumberFormat="1" applyBorder="1"/>
    <xf numFmtId="177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0" fontId="3" fillId="0" borderId="14" xfId="0" applyFont="1" applyBorder="1" applyAlignment="1">
      <alignment vertical="top" wrapText="1"/>
    </xf>
    <xf numFmtId="0" fontId="0" fillId="0" borderId="15" xfId="0" applyBorder="1"/>
    <xf numFmtId="0" fontId="0" fillId="0" borderId="16" xfId="0" applyBorder="1" applyAlignment="1">
      <alignment horizontal="center"/>
    </xf>
    <xf numFmtId="0" fontId="3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C6DD-2DFC-4D84-827C-6377074DEA7A}">
  <dimension ref="A1:H306"/>
  <sheetViews>
    <sheetView topLeftCell="A280" workbookViewId="0">
      <selection activeCell="D2" sqref="D2"/>
    </sheetView>
  </sheetViews>
  <sheetFormatPr defaultRowHeight="14.4" x14ac:dyDescent="0.3"/>
  <cols>
    <col min="2" max="3" width="13.6640625" style="1" customWidth="1"/>
    <col min="4" max="4" width="40.6640625" bestFit="1" customWidth="1"/>
    <col min="5" max="5" width="13.6640625" customWidth="1"/>
    <col min="6" max="6" width="13.6640625" style="1" customWidth="1"/>
    <col min="7" max="8" width="13.6640625" customWidth="1"/>
  </cols>
  <sheetData>
    <row r="1" spans="1:8" ht="30" customHeight="1" x14ac:dyDescent="0.3">
      <c r="A1" s="4" t="s">
        <v>50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3">
      <c r="A2" t="s">
        <v>51</v>
      </c>
      <c r="B2" s="1">
        <v>2018</v>
      </c>
      <c r="C2" s="1">
        <v>1</v>
      </c>
      <c r="D2" t="s">
        <v>7</v>
      </c>
      <c r="E2" t="s">
        <v>8</v>
      </c>
      <c r="F2" s="1">
        <v>7</v>
      </c>
      <c r="G2" s="3">
        <v>25464</v>
      </c>
      <c r="H2" s="2">
        <v>12239</v>
      </c>
    </row>
    <row r="3" spans="1:8" x14ac:dyDescent="0.3">
      <c r="A3" t="s">
        <v>52</v>
      </c>
      <c r="B3" s="1">
        <v>2019</v>
      </c>
      <c r="C3" s="1">
        <v>1</v>
      </c>
      <c r="D3" t="s">
        <v>9</v>
      </c>
      <c r="E3" t="s">
        <v>8</v>
      </c>
      <c r="F3" s="1">
        <v>3</v>
      </c>
      <c r="G3" s="3">
        <v>22158</v>
      </c>
      <c r="H3" s="2">
        <v>9461</v>
      </c>
    </row>
    <row r="4" spans="1:8" x14ac:dyDescent="0.3">
      <c r="A4" t="s">
        <v>53</v>
      </c>
      <c r="B4" s="1">
        <v>2016</v>
      </c>
      <c r="C4" s="1">
        <v>1</v>
      </c>
      <c r="D4" t="s">
        <v>10</v>
      </c>
      <c r="E4" t="s">
        <v>8</v>
      </c>
      <c r="F4" s="1">
        <v>9</v>
      </c>
      <c r="G4" s="3">
        <v>22767</v>
      </c>
      <c r="H4" s="2">
        <v>24325</v>
      </c>
    </row>
    <row r="5" spans="1:8" x14ac:dyDescent="0.3">
      <c r="A5" t="s">
        <v>54</v>
      </c>
      <c r="B5" s="1">
        <v>2019</v>
      </c>
      <c r="C5" s="1">
        <v>3</v>
      </c>
      <c r="D5" t="s">
        <v>11</v>
      </c>
      <c r="E5" t="s">
        <v>12</v>
      </c>
      <c r="F5" s="1">
        <v>13</v>
      </c>
      <c r="G5" s="3">
        <v>32613</v>
      </c>
      <c r="H5" s="2">
        <v>0</v>
      </c>
    </row>
    <row r="6" spans="1:8" x14ac:dyDescent="0.3">
      <c r="A6" t="s">
        <v>55</v>
      </c>
      <c r="B6" s="1">
        <v>2020</v>
      </c>
      <c r="C6" s="1">
        <v>1</v>
      </c>
      <c r="D6" t="s">
        <v>10</v>
      </c>
      <c r="E6" t="s">
        <v>8</v>
      </c>
      <c r="F6" s="1">
        <v>13</v>
      </c>
      <c r="G6" s="3"/>
      <c r="H6" s="2">
        <v>0</v>
      </c>
    </row>
    <row r="7" spans="1:8" x14ac:dyDescent="0.3">
      <c r="A7" t="s">
        <v>56</v>
      </c>
      <c r="B7" s="1">
        <v>2016</v>
      </c>
      <c r="C7" s="1">
        <v>2</v>
      </c>
      <c r="D7" t="s">
        <v>13</v>
      </c>
      <c r="E7" t="s">
        <v>8</v>
      </c>
      <c r="F7" s="1">
        <v>7</v>
      </c>
      <c r="G7" s="3">
        <v>34723</v>
      </c>
      <c r="H7" s="2">
        <v>0</v>
      </c>
    </row>
    <row r="8" spans="1:8" x14ac:dyDescent="0.3">
      <c r="A8" t="s">
        <v>57</v>
      </c>
      <c r="B8" s="1">
        <v>2020</v>
      </c>
      <c r="C8" s="1">
        <v>2</v>
      </c>
      <c r="D8" t="s">
        <v>13</v>
      </c>
      <c r="E8" t="s">
        <v>8</v>
      </c>
      <c r="F8" s="1">
        <v>4</v>
      </c>
      <c r="G8" s="3">
        <v>15137</v>
      </c>
      <c r="H8" s="2">
        <v>0</v>
      </c>
    </row>
    <row r="9" spans="1:8" x14ac:dyDescent="0.3">
      <c r="A9" t="s">
        <v>58</v>
      </c>
      <c r="B9" s="1">
        <v>2020</v>
      </c>
      <c r="C9" s="1">
        <v>2</v>
      </c>
      <c r="D9" t="s">
        <v>7</v>
      </c>
      <c r="E9" t="s">
        <v>8</v>
      </c>
      <c r="F9" s="1">
        <v>1</v>
      </c>
      <c r="G9" s="3">
        <v>36226</v>
      </c>
      <c r="H9" s="2">
        <v>8219</v>
      </c>
    </row>
    <row r="10" spans="1:8" x14ac:dyDescent="0.3">
      <c r="A10" t="s">
        <v>59</v>
      </c>
      <c r="B10" s="1">
        <v>2017</v>
      </c>
      <c r="C10" s="1">
        <v>2</v>
      </c>
      <c r="D10" t="s">
        <v>9</v>
      </c>
      <c r="E10" t="s">
        <v>8</v>
      </c>
      <c r="F10" s="1">
        <v>4</v>
      </c>
      <c r="G10" s="3">
        <v>13456</v>
      </c>
      <c r="H10" s="2">
        <v>24098</v>
      </c>
    </row>
    <row r="11" spans="1:8" x14ac:dyDescent="0.3">
      <c r="A11" t="s">
        <v>60</v>
      </c>
      <c r="B11" s="1">
        <v>2018</v>
      </c>
      <c r="C11" s="1">
        <v>1</v>
      </c>
      <c r="D11" t="s">
        <v>7</v>
      </c>
      <c r="E11" t="s">
        <v>8</v>
      </c>
      <c r="F11" s="1">
        <v>3</v>
      </c>
      <c r="G11" s="3">
        <v>13082</v>
      </c>
      <c r="H11" s="2">
        <v>8991</v>
      </c>
    </row>
    <row r="12" spans="1:8" x14ac:dyDescent="0.3">
      <c r="A12" t="s">
        <v>61</v>
      </c>
      <c r="B12" s="1">
        <v>2021</v>
      </c>
      <c r="C12" s="1">
        <v>3</v>
      </c>
      <c r="D12" t="s">
        <v>14</v>
      </c>
      <c r="E12" t="s">
        <v>8</v>
      </c>
      <c r="F12" s="1">
        <v>14</v>
      </c>
      <c r="G12" s="3">
        <v>28807</v>
      </c>
      <c r="H12" s="2">
        <v>12357</v>
      </c>
    </row>
    <row r="13" spans="1:8" x14ac:dyDescent="0.3">
      <c r="A13" t="s">
        <v>62</v>
      </c>
      <c r="B13" s="1">
        <v>2019</v>
      </c>
      <c r="C13" s="1">
        <v>3</v>
      </c>
      <c r="D13" t="s">
        <v>15</v>
      </c>
      <c r="E13" t="s">
        <v>8</v>
      </c>
      <c r="F13" s="1">
        <v>1</v>
      </c>
      <c r="G13" s="3">
        <v>39496</v>
      </c>
      <c r="H13" s="2">
        <v>29793</v>
      </c>
    </row>
    <row r="14" spans="1:8" x14ac:dyDescent="0.3">
      <c r="A14" t="s">
        <v>63</v>
      </c>
      <c r="B14" s="1">
        <v>2018</v>
      </c>
      <c r="C14" s="1">
        <v>1</v>
      </c>
      <c r="D14" t="s">
        <v>9</v>
      </c>
      <c r="E14" t="s">
        <v>8</v>
      </c>
      <c r="F14" s="1">
        <v>10</v>
      </c>
      <c r="G14" s="3"/>
      <c r="H14" s="2">
        <v>0</v>
      </c>
    </row>
    <row r="15" spans="1:8" x14ac:dyDescent="0.3">
      <c r="A15" t="s">
        <v>64</v>
      </c>
      <c r="B15" s="1">
        <v>2024</v>
      </c>
      <c r="C15" s="1">
        <v>1</v>
      </c>
      <c r="D15" t="s">
        <v>16</v>
      </c>
      <c r="E15" t="s">
        <v>8</v>
      </c>
      <c r="F15" s="1">
        <v>14</v>
      </c>
      <c r="G15" s="3">
        <v>26600</v>
      </c>
      <c r="H15" s="2">
        <v>21699</v>
      </c>
    </row>
    <row r="16" spans="1:8" x14ac:dyDescent="0.3">
      <c r="A16" t="s">
        <v>65</v>
      </c>
      <c r="B16" s="1">
        <v>2016</v>
      </c>
      <c r="C16" s="1">
        <v>2</v>
      </c>
      <c r="D16" t="s">
        <v>17</v>
      </c>
      <c r="E16" t="s">
        <v>18</v>
      </c>
      <c r="F16" s="1">
        <v>4</v>
      </c>
      <c r="G16" s="3">
        <v>11384</v>
      </c>
      <c r="H16" s="2">
        <v>25351</v>
      </c>
    </row>
    <row r="17" spans="1:8" x14ac:dyDescent="0.3">
      <c r="A17" t="s">
        <v>66</v>
      </c>
      <c r="B17" s="1">
        <v>2024</v>
      </c>
      <c r="C17" s="1">
        <v>1</v>
      </c>
      <c r="D17" t="s">
        <v>10</v>
      </c>
      <c r="E17" t="s">
        <v>8</v>
      </c>
      <c r="F17" s="1">
        <v>14</v>
      </c>
      <c r="G17" s="3">
        <v>25299</v>
      </c>
      <c r="H17" s="2">
        <v>28069</v>
      </c>
    </row>
    <row r="18" spans="1:8" x14ac:dyDescent="0.3">
      <c r="A18" t="s">
        <v>67</v>
      </c>
      <c r="B18" s="1">
        <v>2024</v>
      </c>
      <c r="C18" s="1">
        <v>3</v>
      </c>
      <c r="D18" t="s">
        <v>10</v>
      </c>
      <c r="E18" t="s">
        <v>8</v>
      </c>
      <c r="F18" s="1">
        <v>10</v>
      </c>
      <c r="G18" s="3"/>
      <c r="H18" s="2">
        <v>0</v>
      </c>
    </row>
    <row r="19" spans="1:8" x14ac:dyDescent="0.3">
      <c r="A19" t="s">
        <v>68</v>
      </c>
      <c r="B19" s="1">
        <v>2018</v>
      </c>
      <c r="C19" s="1">
        <v>1</v>
      </c>
      <c r="D19" t="s">
        <v>19</v>
      </c>
      <c r="E19" t="s">
        <v>8</v>
      </c>
      <c r="F19" s="1">
        <v>9</v>
      </c>
      <c r="G19" s="3">
        <v>28041</v>
      </c>
      <c r="H19" s="2">
        <v>17326</v>
      </c>
    </row>
    <row r="20" spans="1:8" x14ac:dyDescent="0.3">
      <c r="A20" t="s">
        <v>69</v>
      </c>
      <c r="B20" s="1">
        <v>2024</v>
      </c>
      <c r="C20" s="1">
        <v>2</v>
      </c>
      <c r="D20" t="s">
        <v>10</v>
      </c>
      <c r="E20" t="s">
        <v>8</v>
      </c>
      <c r="F20" s="1">
        <v>12</v>
      </c>
      <c r="G20" s="3">
        <v>23957</v>
      </c>
      <c r="H20" s="2">
        <v>0</v>
      </c>
    </row>
    <row r="21" spans="1:8" x14ac:dyDescent="0.3">
      <c r="A21" t="s">
        <v>70</v>
      </c>
      <c r="B21" s="1">
        <v>2022</v>
      </c>
      <c r="C21" s="1">
        <v>1</v>
      </c>
      <c r="D21" t="s">
        <v>20</v>
      </c>
      <c r="E21" t="s">
        <v>8</v>
      </c>
      <c r="F21" s="1">
        <v>15</v>
      </c>
      <c r="G21" s="3">
        <v>23265</v>
      </c>
      <c r="H21" s="2">
        <v>3044</v>
      </c>
    </row>
    <row r="22" spans="1:8" x14ac:dyDescent="0.3">
      <c r="A22" t="s">
        <v>71</v>
      </c>
      <c r="B22" s="1">
        <v>2023</v>
      </c>
      <c r="C22" s="1">
        <v>1</v>
      </c>
      <c r="D22" t="s">
        <v>10</v>
      </c>
      <c r="E22" t="s">
        <v>8</v>
      </c>
      <c r="F22" s="1">
        <v>1</v>
      </c>
      <c r="G22" s="3">
        <v>24265</v>
      </c>
      <c r="H22" s="2">
        <v>23555</v>
      </c>
    </row>
    <row r="23" spans="1:8" x14ac:dyDescent="0.3">
      <c r="A23" t="s">
        <v>72</v>
      </c>
      <c r="B23" s="1">
        <v>2021</v>
      </c>
      <c r="C23" s="1">
        <v>1</v>
      </c>
      <c r="D23" t="s">
        <v>10</v>
      </c>
      <c r="E23" t="s">
        <v>8</v>
      </c>
      <c r="F23" s="1">
        <v>13</v>
      </c>
      <c r="G23" s="3">
        <v>25671</v>
      </c>
      <c r="H23" s="2">
        <v>21929</v>
      </c>
    </row>
    <row r="24" spans="1:8" x14ac:dyDescent="0.3">
      <c r="A24" t="s">
        <v>73</v>
      </c>
      <c r="B24" s="1">
        <v>2019</v>
      </c>
      <c r="C24" s="1">
        <v>2</v>
      </c>
      <c r="D24" t="s">
        <v>9</v>
      </c>
      <c r="E24" t="s">
        <v>8</v>
      </c>
      <c r="F24" s="1">
        <v>4</v>
      </c>
      <c r="G24" s="3">
        <v>16716</v>
      </c>
      <c r="H24" s="2">
        <v>0</v>
      </c>
    </row>
    <row r="25" spans="1:8" x14ac:dyDescent="0.3">
      <c r="A25" t="s">
        <v>74</v>
      </c>
      <c r="B25" s="1">
        <v>2024</v>
      </c>
      <c r="C25" s="1">
        <v>2</v>
      </c>
      <c r="D25" t="s">
        <v>9</v>
      </c>
      <c r="E25" t="s">
        <v>8</v>
      </c>
      <c r="F25" s="1">
        <v>10</v>
      </c>
      <c r="G25" s="3">
        <v>28141</v>
      </c>
      <c r="H25" s="2">
        <v>19958</v>
      </c>
    </row>
    <row r="26" spans="1:8" x14ac:dyDescent="0.3">
      <c r="A26" t="s">
        <v>75</v>
      </c>
      <c r="B26" s="1">
        <v>2015</v>
      </c>
      <c r="C26" s="1">
        <v>3</v>
      </c>
      <c r="D26" t="s">
        <v>10</v>
      </c>
      <c r="E26" t="s">
        <v>8</v>
      </c>
      <c r="F26" s="1">
        <v>3</v>
      </c>
      <c r="G26" s="3">
        <v>23195</v>
      </c>
      <c r="H26" s="2">
        <v>20908</v>
      </c>
    </row>
    <row r="27" spans="1:8" x14ac:dyDescent="0.3">
      <c r="A27" t="s">
        <v>76</v>
      </c>
      <c r="B27" s="1">
        <v>2016</v>
      </c>
      <c r="C27" s="1">
        <v>3</v>
      </c>
      <c r="D27" t="s">
        <v>21</v>
      </c>
      <c r="E27" t="s">
        <v>8</v>
      </c>
      <c r="F27" s="1">
        <v>11</v>
      </c>
      <c r="G27" s="3">
        <v>14259</v>
      </c>
      <c r="H27" s="2">
        <v>17948</v>
      </c>
    </row>
    <row r="28" spans="1:8" x14ac:dyDescent="0.3">
      <c r="A28" t="s">
        <v>155</v>
      </c>
      <c r="B28" s="1">
        <v>2018</v>
      </c>
      <c r="C28" s="1">
        <v>3</v>
      </c>
      <c r="D28" t="s">
        <v>9</v>
      </c>
      <c r="E28" t="s">
        <v>8</v>
      </c>
      <c r="F28" s="1">
        <v>14</v>
      </c>
      <c r="G28" s="3">
        <v>12038</v>
      </c>
      <c r="H28" s="2">
        <v>15587</v>
      </c>
    </row>
    <row r="29" spans="1:8" x14ac:dyDescent="0.3">
      <c r="A29" t="s">
        <v>156</v>
      </c>
      <c r="B29" s="1">
        <v>2021</v>
      </c>
      <c r="C29" s="1">
        <v>2</v>
      </c>
      <c r="D29" t="s">
        <v>14</v>
      </c>
      <c r="E29" t="s">
        <v>8</v>
      </c>
      <c r="F29" s="1">
        <v>4</v>
      </c>
      <c r="G29" s="3">
        <v>10148</v>
      </c>
      <c r="H29" s="2">
        <v>4021</v>
      </c>
    </row>
    <row r="30" spans="1:8" x14ac:dyDescent="0.3">
      <c r="A30" t="s">
        <v>157</v>
      </c>
      <c r="B30" s="1">
        <v>2018</v>
      </c>
      <c r="C30" s="1">
        <v>2</v>
      </c>
      <c r="D30" t="s">
        <v>9</v>
      </c>
      <c r="E30" t="s">
        <v>8</v>
      </c>
      <c r="F30" s="1">
        <v>11</v>
      </c>
      <c r="G30" s="3">
        <v>21365</v>
      </c>
      <c r="H30" s="2">
        <v>20115</v>
      </c>
    </row>
    <row r="31" spans="1:8" x14ac:dyDescent="0.3">
      <c r="A31" t="s">
        <v>158</v>
      </c>
      <c r="B31" s="1">
        <v>2016</v>
      </c>
      <c r="C31" s="1">
        <v>2</v>
      </c>
      <c r="D31" t="s">
        <v>10</v>
      </c>
      <c r="E31" t="s">
        <v>8</v>
      </c>
      <c r="F31" s="1">
        <v>3</v>
      </c>
      <c r="G31" s="3"/>
      <c r="H31" s="2">
        <v>0</v>
      </c>
    </row>
    <row r="32" spans="1:8" x14ac:dyDescent="0.3">
      <c r="A32" t="s">
        <v>231</v>
      </c>
      <c r="B32" s="1">
        <v>2021</v>
      </c>
      <c r="C32" s="1">
        <v>2</v>
      </c>
      <c r="D32" t="s">
        <v>10</v>
      </c>
      <c r="E32" t="s">
        <v>8</v>
      </c>
      <c r="F32" s="1">
        <v>14</v>
      </c>
      <c r="G32" s="3">
        <v>21056</v>
      </c>
      <c r="H32" s="2">
        <v>19474</v>
      </c>
    </row>
    <row r="33" spans="1:8" x14ac:dyDescent="0.3">
      <c r="A33" t="s">
        <v>232</v>
      </c>
      <c r="B33" s="1">
        <v>2017</v>
      </c>
      <c r="C33" s="1">
        <v>3</v>
      </c>
      <c r="D33" t="s">
        <v>13</v>
      </c>
      <c r="E33" t="s">
        <v>8</v>
      </c>
      <c r="F33" s="1">
        <v>8</v>
      </c>
      <c r="G33" s="3">
        <v>14536</v>
      </c>
      <c r="H33" s="2">
        <v>5511</v>
      </c>
    </row>
    <row r="34" spans="1:8" x14ac:dyDescent="0.3">
      <c r="A34" t="s">
        <v>233</v>
      </c>
      <c r="B34" s="1">
        <v>2024</v>
      </c>
      <c r="C34" s="1">
        <v>2</v>
      </c>
      <c r="D34" t="s">
        <v>22</v>
      </c>
      <c r="E34" t="s">
        <v>8</v>
      </c>
      <c r="F34" s="1">
        <v>7</v>
      </c>
      <c r="G34" s="3">
        <v>16834</v>
      </c>
      <c r="H34" s="2">
        <v>0</v>
      </c>
    </row>
    <row r="35" spans="1:8" x14ac:dyDescent="0.3">
      <c r="A35" t="s">
        <v>234</v>
      </c>
      <c r="B35" s="1">
        <v>2015</v>
      </c>
      <c r="C35" s="1">
        <v>2</v>
      </c>
      <c r="D35" t="s">
        <v>9</v>
      </c>
      <c r="E35" t="s">
        <v>8</v>
      </c>
      <c r="F35" s="1">
        <v>13</v>
      </c>
      <c r="G35" s="3">
        <v>31748</v>
      </c>
      <c r="H35" s="2">
        <v>25121</v>
      </c>
    </row>
    <row r="36" spans="1:8" x14ac:dyDescent="0.3">
      <c r="A36" t="s">
        <v>235</v>
      </c>
      <c r="B36" s="1">
        <v>2023</v>
      </c>
      <c r="C36" s="1">
        <v>3</v>
      </c>
      <c r="D36" t="s">
        <v>14</v>
      </c>
      <c r="E36" t="s">
        <v>8</v>
      </c>
      <c r="F36" s="1">
        <v>13</v>
      </c>
      <c r="G36" s="3"/>
      <c r="H36" s="2">
        <v>0</v>
      </c>
    </row>
    <row r="37" spans="1:8" x14ac:dyDescent="0.3">
      <c r="A37" t="s">
        <v>236</v>
      </c>
      <c r="B37" s="1">
        <v>2022</v>
      </c>
      <c r="C37" s="1">
        <v>3</v>
      </c>
      <c r="D37" t="s">
        <v>23</v>
      </c>
      <c r="E37" t="s">
        <v>8</v>
      </c>
      <c r="F37" s="1">
        <v>4</v>
      </c>
      <c r="G37" s="3">
        <v>27605</v>
      </c>
      <c r="H37" s="2">
        <v>21035</v>
      </c>
    </row>
    <row r="38" spans="1:8" x14ac:dyDescent="0.3">
      <c r="A38" t="s">
        <v>237</v>
      </c>
      <c r="B38" s="1">
        <v>2017</v>
      </c>
      <c r="C38" s="1">
        <v>1</v>
      </c>
      <c r="D38" t="s">
        <v>24</v>
      </c>
      <c r="E38" t="s">
        <v>25</v>
      </c>
      <c r="F38" s="1">
        <v>3</v>
      </c>
      <c r="G38" s="3">
        <v>27610</v>
      </c>
      <c r="H38" s="2">
        <v>25673</v>
      </c>
    </row>
    <row r="39" spans="1:8" x14ac:dyDescent="0.3">
      <c r="A39" t="s">
        <v>238</v>
      </c>
      <c r="B39" s="1">
        <v>2020</v>
      </c>
      <c r="C39" s="1">
        <v>1</v>
      </c>
      <c r="D39" t="s">
        <v>13</v>
      </c>
      <c r="E39" t="s">
        <v>8</v>
      </c>
      <c r="F39" s="1">
        <v>4</v>
      </c>
      <c r="G39" s="3">
        <v>13552</v>
      </c>
      <c r="H39" s="2">
        <v>0</v>
      </c>
    </row>
    <row r="40" spans="1:8" x14ac:dyDescent="0.3">
      <c r="A40" t="s">
        <v>239</v>
      </c>
      <c r="B40" s="1">
        <v>2016</v>
      </c>
      <c r="C40" s="1">
        <v>2</v>
      </c>
      <c r="D40" t="s">
        <v>26</v>
      </c>
      <c r="E40" t="s">
        <v>8</v>
      </c>
      <c r="F40" s="1">
        <v>9</v>
      </c>
      <c r="G40" s="3">
        <v>12793</v>
      </c>
      <c r="H40" s="2">
        <v>0</v>
      </c>
    </row>
    <row r="41" spans="1:8" x14ac:dyDescent="0.3">
      <c r="A41" t="s">
        <v>129</v>
      </c>
      <c r="B41" s="1">
        <v>2018</v>
      </c>
      <c r="C41" s="1">
        <v>3</v>
      </c>
      <c r="D41" t="s">
        <v>7</v>
      </c>
      <c r="E41" t="s">
        <v>8</v>
      </c>
      <c r="F41" s="1">
        <v>4</v>
      </c>
      <c r="G41" s="3">
        <v>29277</v>
      </c>
      <c r="H41" s="2">
        <v>9122</v>
      </c>
    </row>
    <row r="42" spans="1:8" x14ac:dyDescent="0.3">
      <c r="A42" t="s">
        <v>130</v>
      </c>
      <c r="B42" s="1">
        <v>2015</v>
      </c>
      <c r="C42" s="1">
        <v>1</v>
      </c>
      <c r="D42" t="s">
        <v>10</v>
      </c>
      <c r="E42" t="s">
        <v>8</v>
      </c>
      <c r="F42" s="1">
        <v>12</v>
      </c>
      <c r="G42" s="3">
        <v>14983</v>
      </c>
      <c r="H42" s="2">
        <v>9149</v>
      </c>
    </row>
    <row r="43" spans="1:8" x14ac:dyDescent="0.3">
      <c r="A43" t="s">
        <v>131</v>
      </c>
      <c r="B43" s="1">
        <v>2016</v>
      </c>
      <c r="C43" s="1">
        <v>2</v>
      </c>
      <c r="D43" t="s">
        <v>10</v>
      </c>
      <c r="E43" t="s">
        <v>8</v>
      </c>
      <c r="F43" s="1">
        <v>15</v>
      </c>
      <c r="G43" s="3">
        <v>24595</v>
      </c>
      <c r="H43" s="2">
        <v>11082</v>
      </c>
    </row>
    <row r="44" spans="1:8" x14ac:dyDescent="0.3">
      <c r="A44" t="s">
        <v>132</v>
      </c>
      <c r="B44" s="1">
        <v>2015</v>
      </c>
      <c r="C44" s="1">
        <v>1</v>
      </c>
      <c r="D44" t="s">
        <v>17</v>
      </c>
      <c r="E44" t="s">
        <v>18</v>
      </c>
      <c r="F44" s="1">
        <v>1</v>
      </c>
      <c r="G44" s="3">
        <v>30446</v>
      </c>
      <c r="H44" s="2">
        <v>16431</v>
      </c>
    </row>
    <row r="45" spans="1:8" x14ac:dyDescent="0.3">
      <c r="A45" t="s">
        <v>133</v>
      </c>
      <c r="B45" s="1">
        <v>2020</v>
      </c>
      <c r="C45" s="1">
        <v>3</v>
      </c>
      <c r="D45" t="s">
        <v>22</v>
      </c>
      <c r="E45" t="s">
        <v>8</v>
      </c>
      <c r="F45" s="1">
        <v>11</v>
      </c>
      <c r="G45" s="3">
        <v>15271</v>
      </c>
      <c r="H45" s="2">
        <v>20241</v>
      </c>
    </row>
    <row r="46" spans="1:8" x14ac:dyDescent="0.3">
      <c r="A46" t="s">
        <v>134</v>
      </c>
      <c r="B46" s="1">
        <v>2022</v>
      </c>
      <c r="C46" s="1">
        <v>3</v>
      </c>
      <c r="D46" t="s">
        <v>14</v>
      </c>
      <c r="E46" t="s">
        <v>8</v>
      </c>
      <c r="F46" s="1">
        <v>1</v>
      </c>
      <c r="G46" s="3">
        <v>17118</v>
      </c>
      <c r="H46" s="2">
        <v>7183</v>
      </c>
    </row>
    <row r="47" spans="1:8" x14ac:dyDescent="0.3">
      <c r="A47" t="s">
        <v>135</v>
      </c>
      <c r="B47" s="1">
        <v>2021</v>
      </c>
      <c r="C47" s="1">
        <v>1</v>
      </c>
      <c r="D47" t="s">
        <v>27</v>
      </c>
      <c r="E47" t="s">
        <v>8</v>
      </c>
      <c r="F47" s="1">
        <v>10</v>
      </c>
      <c r="G47" s="3">
        <v>30174</v>
      </c>
      <c r="H47" s="2">
        <v>19077</v>
      </c>
    </row>
    <row r="48" spans="1:8" x14ac:dyDescent="0.3">
      <c r="A48" t="s">
        <v>136</v>
      </c>
      <c r="B48" s="1">
        <v>2023</v>
      </c>
      <c r="C48" s="1">
        <v>3</v>
      </c>
      <c r="D48" t="s">
        <v>28</v>
      </c>
      <c r="E48" t="s">
        <v>29</v>
      </c>
      <c r="F48" s="1">
        <v>15</v>
      </c>
      <c r="G48" s="3">
        <v>32398</v>
      </c>
      <c r="H48" s="2">
        <v>27623</v>
      </c>
    </row>
    <row r="49" spans="1:8" x14ac:dyDescent="0.3">
      <c r="A49" t="s">
        <v>137</v>
      </c>
      <c r="B49" s="1">
        <v>2023</v>
      </c>
      <c r="C49" s="1">
        <v>2</v>
      </c>
      <c r="D49" t="s">
        <v>14</v>
      </c>
      <c r="E49" t="s">
        <v>8</v>
      </c>
      <c r="F49" s="1">
        <v>8</v>
      </c>
      <c r="G49" s="3">
        <v>28142</v>
      </c>
      <c r="H49" s="2">
        <v>0</v>
      </c>
    </row>
    <row r="50" spans="1:8" x14ac:dyDescent="0.3">
      <c r="A50" t="s">
        <v>138</v>
      </c>
      <c r="B50" s="1">
        <v>2022</v>
      </c>
      <c r="C50" s="1">
        <v>2</v>
      </c>
      <c r="D50" t="s">
        <v>30</v>
      </c>
      <c r="E50" t="s">
        <v>8</v>
      </c>
      <c r="F50" s="1">
        <v>1</v>
      </c>
      <c r="G50" s="3">
        <v>31245</v>
      </c>
      <c r="H50" s="2">
        <v>0</v>
      </c>
    </row>
    <row r="51" spans="1:8" x14ac:dyDescent="0.3">
      <c r="A51" t="s">
        <v>139</v>
      </c>
      <c r="B51" s="1">
        <v>2019</v>
      </c>
      <c r="C51" s="1">
        <v>1</v>
      </c>
      <c r="D51" t="s">
        <v>7</v>
      </c>
      <c r="E51" t="s">
        <v>8</v>
      </c>
      <c r="F51" s="1">
        <v>1</v>
      </c>
      <c r="G51" s="3"/>
      <c r="H51" s="2">
        <v>0</v>
      </c>
    </row>
    <row r="52" spans="1:8" x14ac:dyDescent="0.3">
      <c r="A52" t="s">
        <v>140</v>
      </c>
      <c r="B52" s="1">
        <v>2024</v>
      </c>
      <c r="C52" s="1">
        <v>3</v>
      </c>
      <c r="D52" t="s">
        <v>16</v>
      </c>
      <c r="E52" t="s">
        <v>8</v>
      </c>
      <c r="F52" s="1">
        <v>14</v>
      </c>
      <c r="G52" s="3"/>
      <c r="H52" s="2">
        <v>0</v>
      </c>
    </row>
    <row r="53" spans="1:8" x14ac:dyDescent="0.3">
      <c r="A53" t="s">
        <v>141</v>
      </c>
      <c r="B53" s="1">
        <v>2020</v>
      </c>
      <c r="C53" s="1">
        <v>2</v>
      </c>
      <c r="D53" t="s">
        <v>16</v>
      </c>
      <c r="E53" t="s">
        <v>8</v>
      </c>
      <c r="F53" s="1">
        <v>4</v>
      </c>
      <c r="G53" s="3">
        <v>19780</v>
      </c>
      <c r="H53" s="2">
        <v>0</v>
      </c>
    </row>
    <row r="54" spans="1:8" x14ac:dyDescent="0.3">
      <c r="A54" t="s">
        <v>142</v>
      </c>
      <c r="B54" s="1">
        <v>2016</v>
      </c>
      <c r="C54" s="1">
        <v>1</v>
      </c>
      <c r="D54" t="s">
        <v>19</v>
      </c>
      <c r="E54" t="s">
        <v>8</v>
      </c>
      <c r="F54" s="1">
        <v>4</v>
      </c>
      <c r="G54" s="3">
        <v>33328</v>
      </c>
      <c r="H54" s="2">
        <v>23425</v>
      </c>
    </row>
    <row r="55" spans="1:8" x14ac:dyDescent="0.3">
      <c r="A55" t="s">
        <v>143</v>
      </c>
      <c r="B55" s="1">
        <v>2023</v>
      </c>
      <c r="C55" s="1">
        <v>1</v>
      </c>
      <c r="D55" t="s">
        <v>31</v>
      </c>
      <c r="E55" t="s">
        <v>8</v>
      </c>
      <c r="F55" s="1">
        <v>8</v>
      </c>
      <c r="G55" s="3">
        <v>19257</v>
      </c>
      <c r="H55" s="2">
        <v>21475</v>
      </c>
    </row>
    <row r="56" spans="1:8" x14ac:dyDescent="0.3">
      <c r="A56" t="s">
        <v>144</v>
      </c>
      <c r="B56" s="1">
        <v>2018</v>
      </c>
      <c r="C56" s="1">
        <v>1</v>
      </c>
      <c r="D56" t="s">
        <v>30</v>
      </c>
      <c r="E56" t="s">
        <v>8</v>
      </c>
      <c r="F56" s="1">
        <v>10</v>
      </c>
      <c r="G56" s="3">
        <v>26206</v>
      </c>
      <c r="H56" s="2">
        <v>5531</v>
      </c>
    </row>
    <row r="57" spans="1:8" x14ac:dyDescent="0.3">
      <c r="A57" t="s">
        <v>145</v>
      </c>
      <c r="B57" s="1">
        <v>2017</v>
      </c>
      <c r="C57" s="1">
        <v>1</v>
      </c>
      <c r="D57" t="s">
        <v>19</v>
      </c>
      <c r="E57" t="s">
        <v>8</v>
      </c>
      <c r="F57" s="1">
        <v>4</v>
      </c>
      <c r="G57" s="3">
        <v>37788</v>
      </c>
      <c r="H57" s="2">
        <v>10462</v>
      </c>
    </row>
    <row r="58" spans="1:8" x14ac:dyDescent="0.3">
      <c r="A58" t="s">
        <v>146</v>
      </c>
      <c r="B58" s="1">
        <v>2019</v>
      </c>
      <c r="C58" s="1">
        <v>4</v>
      </c>
      <c r="D58" t="s">
        <v>32</v>
      </c>
      <c r="E58" t="s">
        <v>12</v>
      </c>
      <c r="F58" s="1">
        <v>2</v>
      </c>
      <c r="G58" s="3">
        <v>26118</v>
      </c>
      <c r="H58" s="2">
        <v>13088</v>
      </c>
    </row>
    <row r="59" spans="1:8" x14ac:dyDescent="0.3">
      <c r="A59" t="s">
        <v>147</v>
      </c>
      <c r="B59" s="1">
        <v>2022</v>
      </c>
      <c r="C59" s="1">
        <v>2</v>
      </c>
      <c r="D59" t="s">
        <v>7</v>
      </c>
      <c r="E59" t="s">
        <v>8</v>
      </c>
      <c r="F59" s="1">
        <v>15</v>
      </c>
      <c r="G59" s="3">
        <v>24004</v>
      </c>
      <c r="H59" s="2">
        <v>23075</v>
      </c>
    </row>
    <row r="60" spans="1:8" x14ac:dyDescent="0.3">
      <c r="A60" t="s">
        <v>148</v>
      </c>
      <c r="B60" s="1">
        <v>2017</v>
      </c>
      <c r="C60" s="1">
        <v>2</v>
      </c>
      <c r="D60" t="s">
        <v>30</v>
      </c>
      <c r="E60" t="s">
        <v>8</v>
      </c>
      <c r="F60" s="1">
        <v>13</v>
      </c>
      <c r="G60" s="3">
        <v>33499</v>
      </c>
      <c r="H60" s="2">
        <v>10174</v>
      </c>
    </row>
    <row r="61" spans="1:8" x14ac:dyDescent="0.3">
      <c r="A61" t="s">
        <v>149</v>
      </c>
      <c r="B61" s="1">
        <v>2022</v>
      </c>
      <c r="C61" s="1">
        <v>1</v>
      </c>
      <c r="D61" t="s">
        <v>19</v>
      </c>
      <c r="E61" t="s">
        <v>8</v>
      </c>
      <c r="F61" s="1">
        <v>11</v>
      </c>
      <c r="G61" s="3">
        <v>13784</v>
      </c>
      <c r="H61" s="2">
        <v>6315</v>
      </c>
    </row>
    <row r="62" spans="1:8" x14ac:dyDescent="0.3">
      <c r="A62" t="s">
        <v>150</v>
      </c>
      <c r="B62" s="1">
        <v>2016</v>
      </c>
      <c r="C62" s="1">
        <v>1</v>
      </c>
      <c r="D62" t="s">
        <v>14</v>
      </c>
      <c r="E62" t="s">
        <v>8</v>
      </c>
      <c r="F62" s="1">
        <v>3</v>
      </c>
      <c r="G62" s="3">
        <v>12240</v>
      </c>
      <c r="H62" s="2">
        <v>29316</v>
      </c>
    </row>
    <row r="63" spans="1:8" x14ac:dyDescent="0.3">
      <c r="A63" t="s">
        <v>151</v>
      </c>
      <c r="B63" s="1">
        <v>2023</v>
      </c>
      <c r="C63" s="1">
        <v>1</v>
      </c>
      <c r="D63" t="s">
        <v>14</v>
      </c>
      <c r="E63" t="s">
        <v>8</v>
      </c>
      <c r="F63" s="1">
        <v>6</v>
      </c>
      <c r="G63" s="3">
        <v>17303</v>
      </c>
      <c r="H63" s="2">
        <v>8348</v>
      </c>
    </row>
    <row r="64" spans="1:8" x14ac:dyDescent="0.3">
      <c r="A64" t="s">
        <v>152</v>
      </c>
      <c r="B64" s="1">
        <v>2023</v>
      </c>
      <c r="C64" s="1">
        <v>1</v>
      </c>
      <c r="D64" t="s">
        <v>15</v>
      </c>
      <c r="E64" t="s">
        <v>8</v>
      </c>
      <c r="F64" s="1">
        <v>6</v>
      </c>
      <c r="G64" s="3">
        <v>34709</v>
      </c>
      <c r="H64" s="2">
        <v>20425</v>
      </c>
    </row>
    <row r="65" spans="1:8" x14ac:dyDescent="0.3">
      <c r="A65" t="s">
        <v>153</v>
      </c>
      <c r="B65" s="1">
        <v>2024</v>
      </c>
      <c r="C65" s="1">
        <v>2</v>
      </c>
      <c r="D65" t="s">
        <v>14</v>
      </c>
      <c r="E65" t="s">
        <v>8</v>
      </c>
      <c r="F65" s="1">
        <v>10</v>
      </c>
      <c r="G65" s="3">
        <v>20358</v>
      </c>
      <c r="H65" s="2">
        <v>0</v>
      </c>
    </row>
    <row r="66" spans="1:8" x14ac:dyDescent="0.3">
      <c r="A66" t="s">
        <v>154</v>
      </c>
      <c r="B66" s="1">
        <v>2023</v>
      </c>
      <c r="C66" s="1">
        <v>1</v>
      </c>
      <c r="D66" t="s">
        <v>15</v>
      </c>
      <c r="E66" t="s">
        <v>8</v>
      </c>
      <c r="F66" s="1">
        <v>14</v>
      </c>
      <c r="G66" s="3">
        <v>20367</v>
      </c>
      <c r="H66" s="2">
        <v>18765</v>
      </c>
    </row>
    <row r="67" spans="1:8" x14ac:dyDescent="0.3">
      <c r="A67" t="s">
        <v>167</v>
      </c>
      <c r="B67" s="1">
        <v>2024</v>
      </c>
      <c r="C67" s="1">
        <v>1</v>
      </c>
      <c r="D67" t="s">
        <v>14</v>
      </c>
      <c r="E67" t="s">
        <v>8</v>
      </c>
      <c r="F67" s="1">
        <v>4</v>
      </c>
      <c r="G67" s="3">
        <v>13251</v>
      </c>
      <c r="H67" s="2">
        <v>0</v>
      </c>
    </row>
    <row r="68" spans="1:8" x14ac:dyDescent="0.3">
      <c r="A68" t="s">
        <v>168</v>
      </c>
      <c r="B68" s="1">
        <v>2018</v>
      </c>
      <c r="C68" s="1">
        <v>3</v>
      </c>
      <c r="D68" t="s">
        <v>14</v>
      </c>
      <c r="E68" t="s">
        <v>8</v>
      </c>
      <c r="F68" s="1">
        <v>5</v>
      </c>
      <c r="G68" s="3">
        <v>25331</v>
      </c>
      <c r="H68" s="2">
        <v>3301</v>
      </c>
    </row>
    <row r="69" spans="1:8" x14ac:dyDescent="0.3">
      <c r="A69" t="s">
        <v>169</v>
      </c>
      <c r="B69" s="1">
        <v>2024</v>
      </c>
      <c r="C69" s="1">
        <v>2</v>
      </c>
      <c r="D69" t="s">
        <v>30</v>
      </c>
      <c r="E69" t="s">
        <v>8</v>
      </c>
      <c r="F69" s="1">
        <v>2</v>
      </c>
      <c r="G69" s="3">
        <v>37044</v>
      </c>
      <c r="H69" s="2">
        <v>15975</v>
      </c>
    </row>
    <row r="70" spans="1:8" x14ac:dyDescent="0.3">
      <c r="A70" t="s">
        <v>170</v>
      </c>
      <c r="B70" s="1">
        <v>2022</v>
      </c>
      <c r="C70" s="1">
        <v>2</v>
      </c>
      <c r="D70" t="s">
        <v>15</v>
      </c>
      <c r="E70" t="s">
        <v>8</v>
      </c>
      <c r="F70" s="1">
        <v>10</v>
      </c>
      <c r="G70" s="3">
        <v>26169</v>
      </c>
      <c r="H70" s="2">
        <v>19538</v>
      </c>
    </row>
    <row r="71" spans="1:8" x14ac:dyDescent="0.3">
      <c r="A71" t="s">
        <v>258</v>
      </c>
      <c r="B71" s="1">
        <v>2021</v>
      </c>
      <c r="C71" s="1">
        <v>3</v>
      </c>
      <c r="D71" t="s">
        <v>13</v>
      </c>
      <c r="E71" t="s">
        <v>8</v>
      </c>
      <c r="F71" s="1">
        <v>12</v>
      </c>
      <c r="G71" s="3"/>
      <c r="H71" s="2">
        <v>0</v>
      </c>
    </row>
    <row r="72" spans="1:8" x14ac:dyDescent="0.3">
      <c r="A72" t="s">
        <v>259</v>
      </c>
      <c r="B72" s="1">
        <v>2018</v>
      </c>
      <c r="C72" s="1">
        <v>3</v>
      </c>
      <c r="D72" t="s">
        <v>17</v>
      </c>
      <c r="E72" t="s">
        <v>18</v>
      </c>
      <c r="F72" s="1">
        <v>6</v>
      </c>
      <c r="G72" s="3">
        <v>18967</v>
      </c>
      <c r="H72" s="2">
        <v>13382</v>
      </c>
    </row>
    <row r="73" spans="1:8" x14ac:dyDescent="0.3">
      <c r="A73" t="s">
        <v>260</v>
      </c>
      <c r="B73" s="1">
        <v>2024</v>
      </c>
      <c r="C73" s="1">
        <v>4</v>
      </c>
      <c r="D73" t="s">
        <v>17</v>
      </c>
      <c r="E73" t="s">
        <v>18</v>
      </c>
      <c r="F73" s="1">
        <v>10</v>
      </c>
      <c r="G73" s="3">
        <v>13943</v>
      </c>
      <c r="H73" s="2">
        <v>3850</v>
      </c>
    </row>
    <row r="74" spans="1:8" x14ac:dyDescent="0.3">
      <c r="A74" t="s">
        <v>261</v>
      </c>
      <c r="B74" s="1">
        <v>2022</v>
      </c>
      <c r="C74" s="1">
        <v>2</v>
      </c>
      <c r="D74" t="s">
        <v>19</v>
      </c>
      <c r="E74" t="s">
        <v>8</v>
      </c>
      <c r="F74" s="1">
        <v>1</v>
      </c>
      <c r="G74" s="3">
        <v>21566</v>
      </c>
      <c r="H74" s="2">
        <v>5128</v>
      </c>
    </row>
    <row r="75" spans="1:8" x14ac:dyDescent="0.3">
      <c r="A75" t="s">
        <v>262</v>
      </c>
      <c r="B75" s="1">
        <v>2020</v>
      </c>
      <c r="C75" s="1">
        <v>1</v>
      </c>
      <c r="D75" t="s">
        <v>27</v>
      </c>
      <c r="E75" t="s">
        <v>8</v>
      </c>
      <c r="F75" s="1">
        <v>7</v>
      </c>
      <c r="G75" s="3">
        <v>16443</v>
      </c>
      <c r="H75" s="2">
        <v>13456</v>
      </c>
    </row>
    <row r="76" spans="1:8" x14ac:dyDescent="0.3">
      <c r="A76" t="s">
        <v>263</v>
      </c>
      <c r="B76" s="1">
        <v>2021</v>
      </c>
      <c r="C76" s="1">
        <v>1</v>
      </c>
      <c r="D76" t="s">
        <v>28</v>
      </c>
      <c r="E76" t="s">
        <v>29</v>
      </c>
      <c r="F76" s="1">
        <v>8</v>
      </c>
      <c r="G76" s="3">
        <v>19169</v>
      </c>
      <c r="H76" s="2">
        <v>0</v>
      </c>
    </row>
    <row r="77" spans="1:8" x14ac:dyDescent="0.3">
      <c r="A77" t="s">
        <v>264</v>
      </c>
      <c r="B77" s="1">
        <v>2022</v>
      </c>
      <c r="C77" s="1">
        <v>3</v>
      </c>
      <c r="D77" t="s">
        <v>15</v>
      </c>
      <c r="E77" t="s">
        <v>8</v>
      </c>
      <c r="F77" s="1">
        <v>3</v>
      </c>
      <c r="G77" s="3">
        <v>10162</v>
      </c>
      <c r="H77" s="2">
        <v>27637</v>
      </c>
    </row>
    <row r="78" spans="1:8" x14ac:dyDescent="0.3">
      <c r="A78" t="s">
        <v>265</v>
      </c>
      <c r="B78" s="1">
        <v>2020</v>
      </c>
      <c r="C78" s="1">
        <v>3</v>
      </c>
      <c r="D78" t="s">
        <v>15</v>
      </c>
      <c r="E78" t="s">
        <v>8</v>
      </c>
      <c r="F78" s="1">
        <v>12</v>
      </c>
      <c r="G78" s="3">
        <v>33651</v>
      </c>
      <c r="H78" s="2">
        <v>20663</v>
      </c>
    </row>
    <row r="79" spans="1:8" x14ac:dyDescent="0.3">
      <c r="A79" t="s">
        <v>266</v>
      </c>
      <c r="B79" s="1">
        <v>2021</v>
      </c>
      <c r="C79" s="1">
        <v>3</v>
      </c>
      <c r="D79" t="s">
        <v>23</v>
      </c>
      <c r="E79" t="s">
        <v>8</v>
      </c>
      <c r="F79" s="1">
        <v>1</v>
      </c>
      <c r="G79" s="3">
        <v>17888</v>
      </c>
      <c r="H79" s="2">
        <v>12208</v>
      </c>
    </row>
    <row r="80" spans="1:8" x14ac:dyDescent="0.3">
      <c r="A80" t="s">
        <v>103</v>
      </c>
      <c r="B80" s="1">
        <v>2024</v>
      </c>
      <c r="C80" s="1">
        <v>3</v>
      </c>
      <c r="D80" t="s">
        <v>17</v>
      </c>
      <c r="E80" t="s">
        <v>18</v>
      </c>
      <c r="F80" s="1">
        <v>9</v>
      </c>
      <c r="G80" s="3">
        <v>33225</v>
      </c>
      <c r="H80" s="2">
        <v>0</v>
      </c>
    </row>
    <row r="81" spans="1:8" x14ac:dyDescent="0.3">
      <c r="A81" t="s">
        <v>104</v>
      </c>
      <c r="B81" s="1">
        <v>2019</v>
      </c>
      <c r="C81" s="1">
        <v>1</v>
      </c>
      <c r="D81" t="s">
        <v>16</v>
      </c>
      <c r="E81" t="s">
        <v>8</v>
      </c>
      <c r="F81" s="1">
        <v>11</v>
      </c>
      <c r="G81" s="3">
        <v>22365</v>
      </c>
      <c r="H81" s="2">
        <v>0</v>
      </c>
    </row>
    <row r="82" spans="1:8" x14ac:dyDescent="0.3">
      <c r="A82" t="s">
        <v>105</v>
      </c>
      <c r="B82" s="1">
        <v>2021</v>
      </c>
      <c r="C82" s="1">
        <v>1</v>
      </c>
      <c r="D82" t="s">
        <v>15</v>
      </c>
      <c r="E82" t="s">
        <v>8</v>
      </c>
      <c r="F82" s="1">
        <v>5</v>
      </c>
      <c r="G82" s="3">
        <v>28477</v>
      </c>
      <c r="H82" s="2">
        <v>0</v>
      </c>
    </row>
    <row r="83" spans="1:8" x14ac:dyDescent="0.3">
      <c r="A83" t="s">
        <v>106</v>
      </c>
      <c r="B83" s="1">
        <v>2019</v>
      </c>
      <c r="C83" s="1">
        <v>1</v>
      </c>
      <c r="D83" t="s">
        <v>17</v>
      </c>
      <c r="E83" t="s">
        <v>18</v>
      </c>
      <c r="F83" s="1">
        <v>13</v>
      </c>
      <c r="G83" s="3">
        <v>32877</v>
      </c>
      <c r="H83" s="2">
        <v>0</v>
      </c>
    </row>
    <row r="84" spans="1:8" x14ac:dyDescent="0.3">
      <c r="A84" t="s">
        <v>107</v>
      </c>
      <c r="B84" s="1">
        <v>2016</v>
      </c>
      <c r="C84" s="1">
        <v>1</v>
      </c>
      <c r="D84" t="s">
        <v>10</v>
      </c>
      <c r="E84" t="s">
        <v>8</v>
      </c>
      <c r="F84" s="1">
        <v>14</v>
      </c>
      <c r="G84" s="3"/>
      <c r="H84" s="2">
        <v>0</v>
      </c>
    </row>
    <row r="85" spans="1:8" x14ac:dyDescent="0.3">
      <c r="A85" t="s">
        <v>108</v>
      </c>
      <c r="B85" s="1">
        <v>2018</v>
      </c>
      <c r="C85" s="1">
        <v>1</v>
      </c>
      <c r="D85" t="s">
        <v>33</v>
      </c>
      <c r="E85" t="s">
        <v>8</v>
      </c>
      <c r="F85" s="1">
        <v>11</v>
      </c>
      <c r="G85" s="3">
        <v>31842</v>
      </c>
      <c r="H85" s="2">
        <v>0</v>
      </c>
    </row>
    <row r="86" spans="1:8" x14ac:dyDescent="0.3">
      <c r="A86" t="s">
        <v>109</v>
      </c>
      <c r="B86" s="1">
        <v>2024</v>
      </c>
      <c r="C86" s="1">
        <v>1</v>
      </c>
      <c r="D86" t="s">
        <v>14</v>
      </c>
      <c r="E86" t="s">
        <v>8</v>
      </c>
      <c r="F86" s="1">
        <v>8</v>
      </c>
      <c r="G86" s="3">
        <v>32593</v>
      </c>
      <c r="H86" s="2">
        <v>0</v>
      </c>
    </row>
    <row r="87" spans="1:8" x14ac:dyDescent="0.3">
      <c r="A87" t="s">
        <v>110</v>
      </c>
      <c r="B87" s="1">
        <v>2021</v>
      </c>
      <c r="C87" s="1">
        <v>3</v>
      </c>
      <c r="D87" t="s">
        <v>10</v>
      </c>
      <c r="E87" t="s">
        <v>8</v>
      </c>
      <c r="F87" s="1">
        <v>3</v>
      </c>
      <c r="G87" s="3">
        <v>36424</v>
      </c>
      <c r="H87" s="2">
        <v>8827</v>
      </c>
    </row>
    <row r="88" spans="1:8" x14ac:dyDescent="0.3">
      <c r="A88" t="s">
        <v>111</v>
      </c>
      <c r="B88" s="1">
        <v>2024</v>
      </c>
      <c r="C88" s="1">
        <v>2</v>
      </c>
      <c r="D88" t="s">
        <v>14</v>
      </c>
      <c r="E88" t="s">
        <v>8</v>
      </c>
      <c r="F88" s="1">
        <v>8</v>
      </c>
      <c r="G88" s="3">
        <v>36600</v>
      </c>
      <c r="H88" s="2">
        <v>13459</v>
      </c>
    </row>
    <row r="89" spans="1:8" x14ac:dyDescent="0.3">
      <c r="A89" t="s">
        <v>112</v>
      </c>
      <c r="B89" s="1">
        <v>2015</v>
      </c>
      <c r="C89" s="1">
        <v>2</v>
      </c>
      <c r="D89" t="s">
        <v>15</v>
      </c>
      <c r="E89" t="s">
        <v>8</v>
      </c>
      <c r="F89" s="1">
        <v>2</v>
      </c>
      <c r="G89" s="3">
        <v>24710</v>
      </c>
      <c r="H89" s="2">
        <v>24566</v>
      </c>
    </row>
    <row r="90" spans="1:8" x14ac:dyDescent="0.3">
      <c r="A90" t="s">
        <v>113</v>
      </c>
      <c r="B90" s="1">
        <v>2022</v>
      </c>
      <c r="C90" s="1">
        <v>2</v>
      </c>
      <c r="D90" t="s">
        <v>14</v>
      </c>
      <c r="E90" t="s">
        <v>8</v>
      </c>
      <c r="F90" s="1">
        <v>10</v>
      </c>
      <c r="G90" s="3">
        <v>30293</v>
      </c>
      <c r="H90" s="2">
        <v>20407</v>
      </c>
    </row>
    <row r="91" spans="1:8" x14ac:dyDescent="0.3">
      <c r="A91" t="s">
        <v>114</v>
      </c>
      <c r="B91" s="1">
        <v>2019</v>
      </c>
      <c r="C91" s="1">
        <v>2</v>
      </c>
      <c r="D91" t="s">
        <v>10</v>
      </c>
      <c r="E91" t="s">
        <v>8</v>
      </c>
      <c r="F91" s="1">
        <v>8</v>
      </c>
      <c r="G91" s="3">
        <v>26229</v>
      </c>
      <c r="H91" s="2">
        <v>5938</v>
      </c>
    </row>
    <row r="92" spans="1:8" x14ac:dyDescent="0.3">
      <c r="A92" t="s">
        <v>115</v>
      </c>
      <c r="B92" s="1">
        <v>2022</v>
      </c>
      <c r="C92" s="1">
        <v>2</v>
      </c>
      <c r="D92" t="s">
        <v>31</v>
      </c>
      <c r="E92" t="s">
        <v>8</v>
      </c>
      <c r="F92" s="1">
        <v>5</v>
      </c>
      <c r="G92" s="3">
        <v>32625</v>
      </c>
      <c r="H92" s="2">
        <v>0</v>
      </c>
    </row>
    <row r="93" spans="1:8" x14ac:dyDescent="0.3">
      <c r="A93" t="s">
        <v>116</v>
      </c>
      <c r="B93" s="1">
        <v>2018</v>
      </c>
      <c r="C93" s="1">
        <v>2</v>
      </c>
      <c r="D93" t="s">
        <v>26</v>
      </c>
      <c r="E93" t="s">
        <v>8</v>
      </c>
      <c r="F93" s="1">
        <v>9</v>
      </c>
      <c r="G93" s="3"/>
      <c r="H93" s="2">
        <v>0</v>
      </c>
    </row>
    <row r="94" spans="1:8" x14ac:dyDescent="0.3">
      <c r="A94" t="s">
        <v>117</v>
      </c>
      <c r="B94" s="1">
        <v>2019</v>
      </c>
      <c r="C94" s="1">
        <v>3</v>
      </c>
      <c r="D94" t="s">
        <v>34</v>
      </c>
      <c r="E94" t="s">
        <v>8</v>
      </c>
      <c r="F94" s="1">
        <v>14</v>
      </c>
      <c r="G94" s="3">
        <v>21416</v>
      </c>
      <c r="H94" s="2">
        <v>6076</v>
      </c>
    </row>
    <row r="95" spans="1:8" x14ac:dyDescent="0.3">
      <c r="A95" t="s">
        <v>118</v>
      </c>
      <c r="B95" s="1">
        <v>2021</v>
      </c>
      <c r="C95" s="1">
        <v>1</v>
      </c>
      <c r="D95" t="s">
        <v>14</v>
      </c>
      <c r="E95" t="s">
        <v>8</v>
      </c>
      <c r="F95" s="1">
        <v>11</v>
      </c>
      <c r="G95" s="3">
        <v>16060</v>
      </c>
      <c r="H95" s="2">
        <v>24302</v>
      </c>
    </row>
    <row r="96" spans="1:8" x14ac:dyDescent="0.3">
      <c r="A96" t="s">
        <v>119</v>
      </c>
      <c r="B96" s="1">
        <v>2021</v>
      </c>
      <c r="C96" s="1">
        <v>1</v>
      </c>
      <c r="D96" t="s">
        <v>10</v>
      </c>
      <c r="E96" t="s">
        <v>8</v>
      </c>
      <c r="F96" s="1">
        <v>11</v>
      </c>
      <c r="G96" s="3">
        <v>33830</v>
      </c>
      <c r="H96" s="2">
        <v>24436</v>
      </c>
    </row>
    <row r="97" spans="1:8" x14ac:dyDescent="0.3">
      <c r="A97" t="s">
        <v>120</v>
      </c>
      <c r="B97" s="1">
        <v>2017</v>
      </c>
      <c r="C97" s="1">
        <v>3</v>
      </c>
      <c r="D97" t="s">
        <v>10</v>
      </c>
      <c r="E97" t="s">
        <v>8</v>
      </c>
      <c r="F97" s="1">
        <v>14</v>
      </c>
      <c r="G97" s="3">
        <v>18543</v>
      </c>
      <c r="H97" s="2">
        <v>3054</v>
      </c>
    </row>
    <row r="98" spans="1:8" x14ac:dyDescent="0.3">
      <c r="A98" t="s">
        <v>121</v>
      </c>
      <c r="B98" s="1">
        <v>2023</v>
      </c>
      <c r="C98" s="1">
        <v>3</v>
      </c>
      <c r="D98" t="s">
        <v>17</v>
      </c>
      <c r="E98" t="s">
        <v>18</v>
      </c>
      <c r="F98" s="1">
        <v>9</v>
      </c>
      <c r="G98" s="3">
        <v>18517</v>
      </c>
      <c r="H98" s="2">
        <v>0</v>
      </c>
    </row>
    <row r="99" spans="1:8" x14ac:dyDescent="0.3">
      <c r="A99" t="s">
        <v>122</v>
      </c>
      <c r="B99" s="1">
        <v>2016</v>
      </c>
      <c r="C99" s="1">
        <v>3</v>
      </c>
      <c r="D99" t="s">
        <v>15</v>
      </c>
      <c r="E99" t="s">
        <v>8</v>
      </c>
      <c r="F99" s="1">
        <v>8</v>
      </c>
      <c r="G99" s="3">
        <v>24526</v>
      </c>
      <c r="H99" s="2">
        <v>14086</v>
      </c>
    </row>
    <row r="100" spans="1:8" x14ac:dyDescent="0.3">
      <c r="A100" t="s">
        <v>123</v>
      </c>
      <c r="B100" s="1">
        <v>2021</v>
      </c>
      <c r="C100" s="1">
        <v>3</v>
      </c>
      <c r="D100" t="s">
        <v>10</v>
      </c>
      <c r="E100" t="s">
        <v>8</v>
      </c>
      <c r="F100" s="1">
        <v>9</v>
      </c>
      <c r="G100" s="3">
        <v>12609</v>
      </c>
      <c r="H100" s="2">
        <v>11381</v>
      </c>
    </row>
    <row r="101" spans="1:8" x14ac:dyDescent="0.3">
      <c r="A101" t="s">
        <v>124</v>
      </c>
      <c r="B101" s="1">
        <v>2023</v>
      </c>
      <c r="C101" s="1">
        <v>2</v>
      </c>
      <c r="D101" t="s">
        <v>21</v>
      </c>
      <c r="E101" t="s">
        <v>8</v>
      </c>
      <c r="F101" s="1">
        <v>14</v>
      </c>
      <c r="G101" s="3">
        <v>31243</v>
      </c>
      <c r="H101" s="2">
        <v>29890</v>
      </c>
    </row>
    <row r="102" spans="1:8" x14ac:dyDescent="0.3">
      <c r="A102" t="s">
        <v>125</v>
      </c>
      <c r="B102" s="1">
        <v>2019</v>
      </c>
      <c r="C102" s="1">
        <v>2</v>
      </c>
      <c r="D102" t="s">
        <v>28</v>
      </c>
      <c r="E102" t="s">
        <v>29</v>
      </c>
      <c r="F102" s="1">
        <v>5</v>
      </c>
      <c r="G102" s="3">
        <v>34594</v>
      </c>
      <c r="H102" s="2">
        <v>4627</v>
      </c>
    </row>
    <row r="103" spans="1:8" x14ac:dyDescent="0.3">
      <c r="A103" t="s">
        <v>126</v>
      </c>
      <c r="B103" s="1">
        <v>2024</v>
      </c>
      <c r="C103" s="1">
        <v>1</v>
      </c>
      <c r="D103" t="s">
        <v>14</v>
      </c>
      <c r="E103" t="s">
        <v>8</v>
      </c>
      <c r="F103" s="1">
        <v>4</v>
      </c>
      <c r="G103" s="3">
        <v>14901</v>
      </c>
      <c r="H103" s="2">
        <v>22943</v>
      </c>
    </row>
    <row r="104" spans="1:8" x14ac:dyDescent="0.3">
      <c r="A104" t="s">
        <v>127</v>
      </c>
      <c r="B104" s="1">
        <v>2024</v>
      </c>
      <c r="C104" s="1">
        <v>1</v>
      </c>
      <c r="D104" t="s">
        <v>10</v>
      </c>
      <c r="E104" t="s">
        <v>8</v>
      </c>
      <c r="F104" s="1">
        <v>13</v>
      </c>
      <c r="G104" s="3">
        <v>35372</v>
      </c>
      <c r="H104" s="2">
        <v>2153</v>
      </c>
    </row>
    <row r="105" spans="1:8" x14ac:dyDescent="0.3">
      <c r="A105" t="s">
        <v>128</v>
      </c>
      <c r="B105" s="1">
        <v>2020</v>
      </c>
      <c r="C105" s="1">
        <v>1</v>
      </c>
      <c r="D105" t="s">
        <v>19</v>
      </c>
      <c r="E105" t="s">
        <v>8</v>
      </c>
      <c r="F105" s="1">
        <v>7</v>
      </c>
      <c r="G105" s="3">
        <v>22666</v>
      </c>
      <c r="H105" s="2">
        <v>19149</v>
      </c>
    </row>
    <row r="106" spans="1:8" x14ac:dyDescent="0.3">
      <c r="A106" t="s">
        <v>163</v>
      </c>
      <c r="B106" s="1">
        <v>2020</v>
      </c>
      <c r="C106" s="1">
        <v>3</v>
      </c>
      <c r="D106" t="s">
        <v>13</v>
      </c>
      <c r="E106" t="s">
        <v>8</v>
      </c>
      <c r="F106" s="1">
        <v>15</v>
      </c>
      <c r="G106" s="3">
        <v>20673</v>
      </c>
      <c r="H106" s="2">
        <v>24955</v>
      </c>
    </row>
    <row r="107" spans="1:8" x14ac:dyDescent="0.3">
      <c r="A107" t="s">
        <v>164</v>
      </c>
      <c r="B107" s="1">
        <v>2023</v>
      </c>
      <c r="C107" s="1">
        <v>2</v>
      </c>
      <c r="D107" t="s">
        <v>14</v>
      </c>
      <c r="E107" t="s">
        <v>8</v>
      </c>
      <c r="F107" s="1">
        <v>13</v>
      </c>
      <c r="G107" s="3">
        <v>14405</v>
      </c>
      <c r="H107" s="2">
        <v>0</v>
      </c>
    </row>
    <row r="108" spans="1:8" x14ac:dyDescent="0.3">
      <c r="A108" t="s">
        <v>165</v>
      </c>
      <c r="B108" s="1">
        <v>2021</v>
      </c>
      <c r="C108" s="1">
        <v>3</v>
      </c>
      <c r="D108" t="s">
        <v>10</v>
      </c>
      <c r="E108" t="s">
        <v>8</v>
      </c>
      <c r="F108" s="1">
        <v>15</v>
      </c>
      <c r="G108" s="3"/>
      <c r="H108" s="2">
        <v>0</v>
      </c>
    </row>
    <row r="109" spans="1:8" x14ac:dyDescent="0.3">
      <c r="A109" t="s">
        <v>166</v>
      </c>
      <c r="B109" s="1">
        <v>2016</v>
      </c>
      <c r="C109" s="1">
        <v>1</v>
      </c>
      <c r="D109" t="s">
        <v>23</v>
      </c>
      <c r="E109" t="s">
        <v>8</v>
      </c>
      <c r="F109" s="1">
        <v>13</v>
      </c>
      <c r="G109" s="3">
        <v>11454</v>
      </c>
      <c r="H109" s="2">
        <v>26874</v>
      </c>
    </row>
    <row r="110" spans="1:8" x14ac:dyDescent="0.3">
      <c r="A110" t="s">
        <v>249</v>
      </c>
      <c r="B110" s="1">
        <v>2018</v>
      </c>
      <c r="C110" s="1">
        <v>1</v>
      </c>
      <c r="D110" t="s">
        <v>35</v>
      </c>
      <c r="E110" t="s">
        <v>18</v>
      </c>
      <c r="F110" s="1">
        <v>4</v>
      </c>
      <c r="G110" s="3">
        <v>10890</v>
      </c>
      <c r="H110" s="2">
        <v>29522</v>
      </c>
    </row>
    <row r="111" spans="1:8" x14ac:dyDescent="0.3">
      <c r="A111" t="s">
        <v>250</v>
      </c>
      <c r="B111" s="1">
        <v>2020</v>
      </c>
      <c r="C111" s="1">
        <v>2</v>
      </c>
      <c r="D111" t="s">
        <v>36</v>
      </c>
      <c r="E111" t="s">
        <v>37</v>
      </c>
      <c r="F111" s="1">
        <v>10</v>
      </c>
      <c r="G111" s="3">
        <v>39963</v>
      </c>
      <c r="H111" s="2">
        <v>8558</v>
      </c>
    </row>
    <row r="112" spans="1:8" x14ac:dyDescent="0.3">
      <c r="A112" t="s">
        <v>251</v>
      </c>
      <c r="B112" s="1">
        <v>2016</v>
      </c>
      <c r="C112" s="1">
        <v>2</v>
      </c>
      <c r="D112" t="s">
        <v>17</v>
      </c>
      <c r="E112" t="s">
        <v>18</v>
      </c>
      <c r="F112" s="1">
        <v>10</v>
      </c>
      <c r="G112" s="3">
        <v>34638</v>
      </c>
      <c r="H112" s="2">
        <v>0</v>
      </c>
    </row>
    <row r="113" spans="1:8" x14ac:dyDescent="0.3">
      <c r="A113" t="s">
        <v>252</v>
      </c>
      <c r="B113" s="1">
        <v>2016</v>
      </c>
      <c r="C113" s="1">
        <v>1</v>
      </c>
      <c r="D113" t="s">
        <v>23</v>
      </c>
      <c r="E113" t="s">
        <v>8</v>
      </c>
      <c r="F113" s="1">
        <v>13</v>
      </c>
      <c r="G113" s="3">
        <v>39441</v>
      </c>
      <c r="H113" s="2">
        <v>6626</v>
      </c>
    </row>
    <row r="114" spans="1:8" x14ac:dyDescent="0.3">
      <c r="A114" t="s">
        <v>253</v>
      </c>
      <c r="B114" s="1">
        <v>2018</v>
      </c>
      <c r="C114" s="1">
        <v>1</v>
      </c>
      <c r="D114" t="s">
        <v>26</v>
      </c>
      <c r="E114" t="s">
        <v>8</v>
      </c>
      <c r="F114" s="1">
        <v>8</v>
      </c>
      <c r="G114" s="3">
        <v>37368</v>
      </c>
      <c r="H114" s="2">
        <v>8567</v>
      </c>
    </row>
    <row r="115" spans="1:8" x14ac:dyDescent="0.3">
      <c r="A115" t="s">
        <v>254</v>
      </c>
      <c r="B115" s="1">
        <v>2023</v>
      </c>
      <c r="C115" s="1">
        <v>1</v>
      </c>
      <c r="D115" t="s">
        <v>26</v>
      </c>
      <c r="E115" t="s">
        <v>8</v>
      </c>
      <c r="F115" s="1">
        <v>11</v>
      </c>
      <c r="G115" s="3">
        <v>36129</v>
      </c>
      <c r="H115" s="2">
        <v>27780</v>
      </c>
    </row>
    <row r="116" spans="1:8" x14ac:dyDescent="0.3">
      <c r="A116" t="s">
        <v>255</v>
      </c>
      <c r="B116" s="1">
        <v>2016</v>
      </c>
      <c r="C116" s="1">
        <v>1</v>
      </c>
      <c r="D116" t="s">
        <v>10</v>
      </c>
      <c r="E116" t="s">
        <v>8</v>
      </c>
      <c r="F116" s="1">
        <v>11</v>
      </c>
      <c r="G116" s="3">
        <v>23855</v>
      </c>
      <c r="H116" s="2">
        <v>2707</v>
      </c>
    </row>
    <row r="117" spans="1:8" x14ac:dyDescent="0.3">
      <c r="A117" t="s">
        <v>256</v>
      </c>
      <c r="B117" s="1">
        <v>2021</v>
      </c>
      <c r="C117" s="1">
        <v>1</v>
      </c>
      <c r="D117" t="s">
        <v>26</v>
      </c>
      <c r="E117" t="s">
        <v>8</v>
      </c>
      <c r="F117" s="1">
        <v>7</v>
      </c>
      <c r="G117" s="3">
        <v>20662</v>
      </c>
      <c r="H117" s="2">
        <v>0</v>
      </c>
    </row>
    <row r="118" spans="1:8" x14ac:dyDescent="0.3">
      <c r="A118" t="s">
        <v>257</v>
      </c>
      <c r="B118" s="1">
        <v>2022</v>
      </c>
      <c r="C118" s="1">
        <v>1</v>
      </c>
      <c r="D118" t="s">
        <v>30</v>
      </c>
      <c r="E118" t="s">
        <v>8</v>
      </c>
      <c r="F118" s="1">
        <v>8</v>
      </c>
      <c r="G118" s="3"/>
      <c r="H118" s="2">
        <v>0</v>
      </c>
    </row>
    <row r="119" spans="1:8" x14ac:dyDescent="0.3">
      <c r="A119" t="s">
        <v>77</v>
      </c>
      <c r="B119" s="1">
        <v>2015</v>
      </c>
      <c r="C119" s="1">
        <v>1</v>
      </c>
      <c r="D119" t="s">
        <v>34</v>
      </c>
      <c r="E119" t="s">
        <v>8</v>
      </c>
      <c r="F119" s="1">
        <v>1</v>
      </c>
      <c r="G119" s="3">
        <v>32968</v>
      </c>
      <c r="H119" s="2">
        <v>13038</v>
      </c>
    </row>
    <row r="120" spans="1:8" x14ac:dyDescent="0.3">
      <c r="A120" t="s">
        <v>78</v>
      </c>
      <c r="B120" s="1">
        <v>2015</v>
      </c>
      <c r="C120" s="1">
        <v>1</v>
      </c>
      <c r="D120" t="s">
        <v>10</v>
      </c>
      <c r="E120" t="s">
        <v>8</v>
      </c>
      <c r="F120" s="1">
        <v>4</v>
      </c>
      <c r="G120" s="3">
        <v>29883</v>
      </c>
      <c r="H120" s="2">
        <v>25906</v>
      </c>
    </row>
    <row r="121" spans="1:8" x14ac:dyDescent="0.3">
      <c r="A121" t="s">
        <v>79</v>
      </c>
      <c r="B121" s="1">
        <v>2021</v>
      </c>
      <c r="C121" s="1">
        <v>4</v>
      </c>
      <c r="D121" t="s">
        <v>9</v>
      </c>
      <c r="E121" t="s">
        <v>8</v>
      </c>
      <c r="F121" s="1">
        <v>12</v>
      </c>
      <c r="G121" s="3">
        <v>31779</v>
      </c>
      <c r="H121" s="2">
        <v>5809</v>
      </c>
    </row>
    <row r="122" spans="1:8" x14ac:dyDescent="0.3">
      <c r="A122" t="s">
        <v>80</v>
      </c>
      <c r="B122" s="1">
        <v>2021</v>
      </c>
      <c r="C122" s="1">
        <v>2</v>
      </c>
      <c r="D122" t="s">
        <v>7</v>
      </c>
      <c r="E122" t="s">
        <v>8</v>
      </c>
      <c r="F122" s="1">
        <v>12</v>
      </c>
      <c r="G122" s="3">
        <v>14134</v>
      </c>
      <c r="H122" s="2">
        <v>25597</v>
      </c>
    </row>
    <row r="123" spans="1:8" x14ac:dyDescent="0.3">
      <c r="A123" t="s">
        <v>81</v>
      </c>
      <c r="B123" s="1">
        <v>2022</v>
      </c>
      <c r="C123" s="1">
        <v>1</v>
      </c>
      <c r="D123" t="s">
        <v>38</v>
      </c>
      <c r="E123" t="s">
        <v>8</v>
      </c>
      <c r="F123" s="1">
        <v>12</v>
      </c>
      <c r="G123" s="3">
        <v>35530</v>
      </c>
      <c r="H123" s="2">
        <v>10373</v>
      </c>
    </row>
    <row r="124" spans="1:8" x14ac:dyDescent="0.3">
      <c r="A124" t="s">
        <v>82</v>
      </c>
      <c r="B124" s="1">
        <v>2024</v>
      </c>
      <c r="C124" s="1">
        <v>2</v>
      </c>
      <c r="D124" t="s">
        <v>9</v>
      </c>
      <c r="E124" t="s">
        <v>8</v>
      </c>
      <c r="F124" s="1">
        <v>8</v>
      </c>
      <c r="G124" s="3">
        <v>31388</v>
      </c>
      <c r="H124" s="2">
        <v>0</v>
      </c>
    </row>
    <row r="125" spans="1:8" x14ac:dyDescent="0.3">
      <c r="A125" t="s">
        <v>83</v>
      </c>
      <c r="B125" s="1">
        <v>2022</v>
      </c>
      <c r="C125" s="1">
        <v>2</v>
      </c>
      <c r="D125" t="s">
        <v>16</v>
      </c>
      <c r="E125" t="s">
        <v>8</v>
      </c>
      <c r="F125" s="1">
        <v>2</v>
      </c>
      <c r="G125" s="3">
        <v>34113</v>
      </c>
      <c r="H125" s="2">
        <v>0</v>
      </c>
    </row>
    <row r="126" spans="1:8" x14ac:dyDescent="0.3">
      <c r="A126" t="s">
        <v>84</v>
      </c>
      <c r="B126" s="1">
        <v>2022</v>
      </c>
      <c r="C126" s="1">
        <v>3</v>
      </c>
      <c r="D126" t="s">
        <v>16</v>
      </c>
      <c r="E126" t="s">
        <v>8</v>
      </c>
      <c r="F126" s="1">
        <v>7</v>
      </c>
      <c r="G126" s="3">
        <v>26814</v>
      </c>
      <c r="H126" s="2">
        <v>6595</v>
      </c>
    </row>
    <row r="127" spans="1:8" x14ac:dyDescent="0.3">
      <c r="A127" t="s">
        <v>85</v>
      </c>
      <c r="B127" s="1">
        <v>2021</v>
      </c>
      <c r="C127" s="1">
        <v>1</v>
      </c>
      <c r="D127" t="s">
        <v>10</v>
      </c>
      <c r="E127" t="s">
        <v>8</v>
      </c>
      <c r="F127" s="1">
        <v>5</v>
      </c>
      <c r="G127" s="3">
        <v>15856</v>
      </c>
      <c r="H127" s="2">
        <v>2360</v>
      </c>
    </row>
    <row r="128" spans="1:8" x14ac:dyDescent="0.3">
      <c r="A128" t="s">
        <v>86</v>
      </c>
      <c r="B128" s="1">
        <v>2020</v>
      </c>
      <c r="C128" s="1">
        <v>4</v>
      </c>
      <c r="D128" t="s">
        <v>15</v>
      </c>
      <c r="E128" t="s">
        <v>8</v>
      </c>
      <c r="F128" s="1">
        <v>5</v>
      </c>
      <c r="G128" s="3">
        <v>31333</v>
      </c>
      <c r="H128" s="2">
        <v>11463</v>
      </c>
    </row>
    <row r="129" spans="1:8" x14ac:dyDescent="0.3">
      <c r="A129" t="s">
        <v>87</v>
      </c>
      <c r="B129" s="1">
        <v>2021</v>
      </c>
      <c r="C129" s="1">
        <v>1</v>
      </c>
      <c r="D129" t="s">
        <v>14</v>
      </c>
      <c r="E129" t="s">
        <v>8</v>
      </c>
      <c r="F129" s="1">
        <v>13</v>
      </c>
      <c r="G129" s="3">
        <v>10209</v>
      </c>
      <c r="H129" s="2">
        <v>13014</v>
      </c>
    </row>
    <row r="130" spans="1:8" x14ac:dyDescent="0.3">
      <c r="A130" t="s">
        <v>88</v>
      </c>
      <c r="B130" s="1">
        <v>2015</v>
      </c>
      <c r="C130" s="1">
        <v>2</v>
      </c>
      <c r="D130" t="s">
        <v>27</v>
      </c>
      <c r="E130" t="s">
        <v>8</v>
      </c>
      <c r="F130" s="1">
        <v>14</v>
      </c>
      <c r="G130" s="3">
        <v>30406</v>
      </c>
      <c r="H130" s="2">
        <v>24824</v>
      </c>
    </row>
    <row r="131" spans="1:8" x14ac:dyDescent="0.3">
      <c r="A131" t="s">
        <v>89</v>
      </c>
      <c r="B131" s="1">
        <v>2021</v>
      </c>
      <c r="C131" s="1">
        <v>1</v>
      </c>
      <c r="D131" t="s">
        <v>10</v>
      </c>
      <c r="E131" t="s">
        <v>8</v>
      </c>
      <c r="F131" s="1">
        <v>7</v>
      </c>
      <c r="G131" s="3">
        <v>27647</v>
      </c>
      <c r="H131" s="2">
        <v>18974</v>
      </c>
    </row>
    <row r="132" spans="1:8" x14ac:dyDescent="0.3">
      <c r="A132" t="s">
        <v>90</v>
      </c>
      <c r="B132" s="1">
        <v>2020</v>
      </c>
      <c r="C132" s="1">
        <v>1</v>
      </c>
      <c r="D132" t="s">
        <v>14</v>
      </c>
      <c r="E132" t="s">
        <v>8</v>
      </c>
      <c r="F132" s="1">
        <v>6</v>
      </c>
      <c r="G132" s="3">
        <v>19586</v>
      </c>
      <c r="H132" s="2">
        <v>7877</v>
      </c>
    </row>
    <row r="133" spans="1:8" x14ac:dyDescent="0.3">
      <c r="A133" t="s">
        <v>91</v>
      </c>
      <c r="B133" s="1">
        <v>2023</v>
      </c>
      <c r="C133" s="1">
        <v>1</v>
      </c>
      <c r="D133" t="s">
        <v>14</v>
      </c>
      <c r="E133" t="s">
        <v>8</v>
      </c>
      <c r="F133" s="1">
        <v>15</v>
      </c>
      <c r="G133" s="3">
        <v>26031</v>
      </c>
      <c r="H133" s="2">
        <v>16975</v>
      </c>
    </row>
    <row r="134" spans="1:8" x14ac:dyDescent="0.3">
      <c r="A134" t="s">
        <v>92</v>
      </c>
      <c r="B134" s="1">
        <v>2024</v>
      </c>
      <c r="C134" s="1">
        <v>1</v>
      </c>
      <c r="D134" t="s">
        <v>34</v>
      </c>
      <c r="E134" t="s">
        <v>8</v>
      </c>
      <c r="F134" s="1">
        <v>15</v>
      </c>
      <c r="G134" s="3">
        <v>24368</v>
      </c>
      <c r="H134" s="2">
        <v>16252</v>
      </c>
    </row>
    <row r="135" spans="1:8" x14ac:dyDescent="0.3">
      <c r="A135" t="s">
        <v>93</v>
      </c>
      <c r="B135" s="1">
        <v>2018</v>
      </c>
      <c r="C135" s="1">
        <v>2</v>
      </c>
      <c r="D135" t="s">
        <v>23</v>
      </c>
      <c r="E135" t="s">
        <v>8</v>
      </c>
      <c r="F135" s="1">
        <v>9</v>
      </c>
      <c r="G135" s="3">
        <v>22261</v>
      </c>
      <c r="H135" s="2">
        <v>19607</v>
      </c>
    </row>
    <row r="136" spans="1:8" x14ac:dyDescent="0.3">
      <c r="A136" t="s">
        <v>94</v>
      </c>
      <c r="B136" s="1">
        <v>2017</v>
      </c>
      <c r="C136" s="1">
        <v>3</v>
      </c>
      <c r="D136" t="s">
        <v>39</v>
      </c>
      <c r="E136" t="s">
        <v>37</v>
      </c>
      <c r="F136" s="1">
        <v>8</v>
      </c>
      <c r="G136" s="3">
        <v>23387</v>
      </c>
      <c r="H136" s="2">
        <v>18646</v>
      </c>
    </row>
    <row r="137" spans="1:8" x14ac:dyDescent="0.3">
      <c r="A137" t="s">
        <v>95</v>
      </c>
      <c r="B137" s="1">
        <v>2018</v>
      </c>
      <c r="C137" s="1">
        <v>1</v>
      </c>
      <c r="D137" t="s">
        <v>30</v>
      </c>
      <c r="E137" t="s">
        <v>8</v>
      </c>
      <c r="F137" s="1">
        <v>12</v>
      </c>
      <c r="G137" s="3">
        <v>26763</v>
      </c>
      <c r="H137" s="2">
        <v>15862</v>
      </c>
    </row>
    <row r="138" spans="1:8" x14ac:dyDescent="0.3">
      <c r="A138" t="s">
        <v>96</v>
      </c>
      <c r="B138" s="1">
        <v>2018</v>
      </c>
      <c r="C138" s="1">
        <v>1</v>
      </c>
      <c r="D138" t="s">
        <v>14</v>
      </c>
      <c r="E138" t="s">
        <v>8</v>
      </c>
      <c r="F138" s="1">
        <v>11</v>
      </c>
      <c r="G138" s="3">
        <v>21483</v>
      </c>
      <c r="H138" s="2">
        <v>12622</v>
      </c>
    </row>
    <row r="139" spans="1:8" x14ac:dyDescent="0.3">
      <c r="A139" t="s">
        <v>97</v>
      </c>
      <c r="B139" s="1">
        <v>2017</v>
      </c>
      <c r="C139" s="1">
        <v>1</v>
      </c>
      <c r="D139" t="s">
        <v>16</v>
      </c>
      <c r="E139" t="s">
        <v>8</v>
      </c>
      <c r="F139" s="1">
        <v>6</v>
      </c>
      <c r="G139" s="3">
        <v>34103</v>
      </c>
      <c r="H139" s="2">
        <v>21435</v>
      </c>
    </row>
    <row r="140" spans="1:8" x14ac:dyDescent="0.3">
      <c r="A140" t="s">
        <v>98</v>
      </c>
      <c r="B140" s="1">
        <v>2024</v>
      </c>
      <c r="C140" s="1">
        <v>3</v>
      </c>
      <c r="D140" t="s">
        <v>17</v>
      </c>
      <c r="E140" t="s">
        <v>18</v>
      </c>
      <c r="F140" s="1">
        <v>12</v>
      </c>
      <c r="G140" s="3">
        <v>24332</v>
      </c>
      <c r="H140" s="2">
        <v>7539</v>
      </c>
    </row>
    <row r="141" spans="1:8" x14ac:dyDescent="0.3">
      <c r="A141" t="s">
        <v>99</v>
      </c>
      <c r="B141" s="1">
        <v>2016</v>
      </c>
      <c r="C141" s="1">
        <v>1</v>
      </c>
      <c r="D141" t="s">
        <v>7</v>
      </c>
      <c r="E141" t="s">
        <v>8</v>
      </c>
      <c r="F141" s="1">
        <v>11</v>
      </c>
      <c r="G141" s="3"/>
      <c r="H141" s="2">
        <v>0</v>
      </c>
    </row>
    <row r="142" spans="1:8" x14ac:dyDescent="0.3">
      <c r="A142" t="s">
        <v>100</v>
      </c>
      <c r="B142" s="1">
        <v>2022</v>
      </c>
      <c r="C142" s="1">
        <v>2</v>
      </c>
      <c r="D142" t="s">
        <v>33</v>
      </c>
      <c r="E142" t="s">
        <v>8</v>
      </c>
      <c r="F142" s="1">
        <v>15</v>
      </c>
      <c r="G142" s="3">
        <v>29235</v>
      </c>
      <c r="H142" s="2">
        <v>11351</v>
      </c>
    </row>
    <row r="143" spans="1:8" x14ac:dyDescent="0.3">
      <c r="A143" t="s">
        <v>101</v>
      </c>
      <c r="B143" s="1">
        <v>2021</v>
      </c>
      <c r="C143" s="1">
        <v>1</v>
      </c>
      <c r="D143" t="s">
        <v>17</v>
      </c>
      <c r="E143" t="s">
        <v>18</v>
      </c>
      <c r="F143" s="1">
        <v>1</v>
      </c>
      <c r="G143" s="3">
        <v>12996</v>
      </c>
      <c r="H143" s="2">
        <v>26503</v>
      </c>
    </row>
    <row r="144" spans="1:8" x14ac:dyDescent="0.3">
      <c r="A144" t="s">
        <v>102</v>
      </c>
      <c r="B144" s="1">
        <v>2016</v>
      </c>
      <c r="C144" s="1">
        <v>2</v>
      </c>
      <c r="D144" t="s">
        <v>13</v>
      </c>
      <c r="E144" t="s">
        <v>8</v>
      </c>
      <c r="F144" s="1">
        <v>15</v>
      </c>
      <c r="G144" s="3">
        <v>31384</v>
      </c>
      <c r="H144" s="2">
        <v>0</v>
      </c>
    </row>
    <row r="145" spans="1:8" x14ac:dyDescent="0.3">
      <c r="A145" t="s">
        <v>159</v>
      </c>
      <c r="B145" s="1">
        <v>2022</v>
      </c>
      <c r="C145" s="1">
        <v>3</v>
      </c>
      <c r="D145" t="s">
        <v>7</v>
      </c>
      <c r="E145" t="s">
        <v>8</v>
      </c>
      <c r="F145" s="1">
        <v>3</v>
      </c>
      <c r="G145" s="3">
        <v>22686</v>
      </c>
      <c r="H145" s="2">
        <v>0</v>
      </c>
    </row>
    <row r="146" spans="1:8" x14ac:dyDescent="0.3">
      <c r="A146" t="s">
        <v>160</v>
      </c>
      <c r="B146" s="1">
        <v>2024</v>
      </c>
      <c r="C146" s="1">
        <v>1</v>
      </c>
      <c r="D146" t="s">
        <v>34</v>
      </c>
      <c r="E146" t="s">
        <v>8</v>
      </c>
      <c r="F146" s="1">
        <v>8</v>
      </c>
      <c r="G146" s="3">
        <v>36422</v>
      </c>
      <c r="H146" s="2">
        <v>0</v>
      </c>
    </row>
    <row r="147" spans="1:8" x14ac:dyDescent="0.3">
      <c r="A147" t="s">
        <v>161</v>
      </c>
      <c r="B147" s="1">
        <v>2020</v>
      </c>
      <c r="C147" s="1">
        <v>3</v>
      </c>
      <c r="D147" t="s">
        <v>15</v>
      </c>
      <c r="E147" t="s">
        <v>8</v>
      </c>
      <c r="F147" s="1">
        <v>10</v>
      </c>
      <c r="G147" s="3">
        <v>18503</v>
      </c>
      <c r="H147" s="2">
        <v>19477</v>
      </c>
    </row>
    <row r="148" spans="1:8" x14ac:dyDescent="0.3">
      <c r="A148" t="s">
        <v>162</v>
      </c>
      <c r="B148" s="1">
        <v>2019</v>
      </c>
      <c r="C148" s="1">
        <v>2</v>
      </c>
      <c r="D148" t="s">
        <v>40</v>
      </c>
      <c r="E148" t="s">
        <v>29</v>
      </c>
      <c r="F148" s="1">
        <v>13</v>
      </c>
      <c r="G148" s="3">
        <v>12747</v>
      </c>
      <c r="H148" s="2">
        <v>26526</v>
      </c>
    </row>
    <row r="149" spans="1:8" x14ac:dyDescent="0.3">
      <c r="A149" t="s">
        <v>240</v>
      </c>
      <c r="B149" s="1">
        <v>2022</v>
      </c>
      <c r="C149" s="1">
        <v>4</v>
      </c>
      <c r="D149" t="s">
        <v>15</v>
      </c>
      <c r="E149" t="s">
        <v>8</v>
      </c>
      <c r="F149" s="1">
        <v>4</v>
      </c>
      <c r="G149" s="3">
        <v>19149</v>
      </c>
      <c r="H149" s="2">
        <v>13195</v>
      </c>
    </row>
    <row r="150" spans="1:8" x14ac:dyDescent="0.3">
      <c r="A150" t="s">
        <v>241</v>
      </c>
      <c r="B150" s="1">
        <v>2017</v>
      </c>
      <c r="C150" s="1">
        <v>3</v>
      </c>
      <c r="D150" t="s">
        <v>10</v>
      </c>
      <c r="E150" t="s">
        <v>8</v>
      </c>
      <c r="F150" s="1">
        <v>12</v>
      </c>
      <c r="G150" s="3">
        <v>27740</v>
      </c>
      <c r="H150" s="2">
        <v>0</v>
      </c>
    </row>
    <row r="151" spans="1:8" x14ac:dyDescent="0.3">
      <c r="A151" t="s">
        <v>242</v>
      </c>
      <c r="B151" s="1">
        <v>2016</v>
      </c>
      <c r="C151" s="1">
        <v>3</v>
      </c>
      <c r="D151" t="s">
        <v>10</v>
      </c>
      <c r="E151" t="s">
        <v>8</v>
      </c>
      <c r="F151" s="1">
        <v>5</v>
      </c>
      <c r="G151" s="3">
        <v>12209</v>
      </c>
      <c r="H151" s="2">
        <v>6778</v>
      </c>
    </row>
    <row r="152" spans="1:8" x14ac:dyDescent="0.3">
      <c r="A152" t="s">
        <v>243</v>
      </c>
      <c r="B152" s="1">
        <v>2015</v>
      </c>
      <c r="C152" s="1">
        <v>2</v>
      </c>
      <c r="D152" t="s">
        <v>10</v>
      </c>
      <c r="E152" t="s">
        <v>8</v>
      </c>
      <c r="F152" s="1">
        <v>8</v>
      </c>
      <c r="G152" s="3">
        <v>35255</v>
      </c>
      <c r="H152" s="2">
        <v>16001</v>
      </c>
    </row>
    <row r="153" spans="1:8" x14ac:dyDescent="0.3">
      <c r="A153" t="s">
        <v>244</v>
      </c>
      <c r="B153" s="1">
        <v>2017</v>
      </c>
      <c r="C153" s="1">
        <v>2</v>
      </c>
      <c r="D153" t="s">
        <v>10</v>
      </c>
      <c r="E153" t="s">
        <v>8</v>
      </c>
      <c r="F153" s="1">
        <v>14</v>
      </c>
      <c r="G153" s="3">
        <v>38680</v>
      </c>
      <c r="H153" s="2">
        <v>0</v>
      </c>
    </row>
    <row r="154" spans="1:8" x14ac:dyDescent="0.3">
      <c r="A154" t="s">
        <v>245</v>
      </c>
      <c r="B154" s="1">
        <v>2018</v>
      </c>
      <c r="C154" s="1">
        <v>2</v>
      </c>
      <c r="D154" t="s">
        <v>10</v>
      </c>
      <c r="E154" t="s">
        <v>8</v>
      </c>
      <c r="F154" s="1">
        <v>10</v>
      </c>
      <c r="G154" s="3">
        <v>12885</v>
      </c>
      <c r="H154" s="2">
        <v>29368</v>
      </c>
    </row>
    <row r="155" spans="1:8" x14ac:dyDescent="0.3">
      <c r="A155" t="s">
        <v>246</v>
      </c>
      <c r="B155" s="1">
        <v>2023</v>
      </c>
      <c r="C155" s="1">
        <v>3</v>
      </c>
      <c r="D155" t="s">
        <v>41</v>
      </c>
      <c r="E155" t="s">
        <v>8</v>
      </c>
      <c r="F155" s="1">
        <v>14</v>
      </c>
      <c r="G155" s="3">
        <v>37456</v>
      </c>
      <c r="H155" s="2">
        <v>15507</v>
      </c>
    </row>
    <row r="156" spans="1:8" x14ac:dyDescent="0.3">
      <c r="A156" t="s">
        <v>247</v>
      </c>
      <c r="B156" s="1">
        <v>2019</v>
      </c>
      <c r="C156" s="1">
        <v>2</v>
      </c>
      <c r="D156" t="s">
        <v>26</v>
      </c>
      <c r="E156" t="s">
        <v>8</v>
      </c>
      <c r="F156" s="1">
        <v>8</v>
      </c>
      <c r="G156" s="3"/>
      <c r="H156" s="2">
        <v>0</v>
      </c>
    </row>
    <row r="157" spans="1:8" x14ac:dyDescent="0.3">
      <c r="A157" t="s">
        <v>248</v>
      </c>
      <c r="B157" s="1">
        <v>2023</v>
      </c>
      <c r="C157" s="1">
        <v>2</v>
      </c>
      <c r="D157" t="s">
        <v>7</v>
      </c>
      <c r="E157" t="s">
        <v>8</v>
      </c>
      <c r="F157" s="1">
        <v>9</v>
      </c>
      <c r="G157" s="3">
        <v>35323</v>
      </c>
      <c r="H157" s="2">
        <v>0</v>
      </c>
    </row>
    <row r="158" spans="1:8" x14ac:dyDescent="0.3">
      <c r="A158" t="s">
        <v>201</v>
      </c>
      <c r="B158" s="1">
        <v>2023</v>
      </c>
      <c r="C158" s="1">
        <v>1</v>
      </c>
      <c r="D158" t="s">
        <v>42</v>
      </c>
      <c r="E158" t="s">
        <v>18</v>
      </c>
      <c r="F158" s="1">
        <v>12</v>
      </c>
      <c r="G158" s="3">
        <v>26148</v>
      </c>
      <c r="H158" s="2">
        <v>23333</v>
      </c>
    </row>
    <row r="159" spans="1:8" x14ac:dyDescent="0.3">
      <c r="A159" t="s">
        <v>202</v>
      </c>
      <c r="B159" s="1">
        <v>2016</v>
      </c>
      <c r="C159" s="1">
        <v>2</v>
      </c>
      <c r="D159" t="s">
        <v>15</v>
      </c>
      <c r="E159" t="s">
        <v>8</v>
      </c>
      <c r="F159" s="1">
        <v>2</v>
      </c>
      <c r="G159" s="3">
        <v>13658</v>
      </c>
      <c r="H159" s="2">
        <v>26137</v>
      </c>
    </row>
    <row r="160" spans="1:8" x14ac:dyDescent="0.3">
      <c r="A160" t="s">
        <v>203</v>
      </c>
      <c r="B160" s="1">
        <v>2018</v>
      </c>
      <c r="C160" s="1">
        <v>3</v>
      </c>
      <c r="D160" t="s">
        <v>14</v>
      </c>
      <c r="E160" t="s">
        <v>8</v>
      </c>
      <c r="F160" s="1">
        <v>14</v>
      </c>
      <c r="G160" s="3">
        <v>29575</v>
      </c>
      <c r="H160" s="2">
        <v>26216</v>
      </c>
    </row>
    <row r="161" spans="1:8" x14ac:dyDescent="0.3">
      <c r="A161" t="s">
        <v>204</v>
      </c>
      <c r="B161" s="1">
        <v>2020</v>
      </c>
      <c r="C161" s="1">
        <v>1</v>
      </c>
      <c r="D161" t="s">
        <v>16</v>
      </c>
      <c r="E161" t="s">
        <v>8</v>
      </c>
      <c r="F161" s="1">
        <v>2</v>
      </c>
      <c r="G161" s="3">
        <v>30135</v>
      </c>
      <c r="H161" s="2">
        <v>29381</v>
      </c>
    </row>
    <row r="162" spans="1:8" x14ac:dyDescent="0.3">
      <c r="A162" t="s">
        <v>205</v>
      </c>
      <c r="B162" s="1">
        <v>2021</v>
      </c>
      <c r="C162" s="1">
        <v>1</v>
      </c>
      <c r="D162" t="s">
        <v>10</v>
      </c>
      <c r="E162" t="s">
        <v>8</v>
      </c>
      <c r="F162" s="1">
        <v>6</v>
      </c>
      <c r="G162" s="3">
        <v>32355</v>
      </c>
      <c r="H162" s="2">
        <v>0</v>
      </c>
    </row>
    <row r="163" spans="1:8" x14ac:dyDescent="0.3">
      <c r="A163" t="s">
        <v>206</v>
      </c>
      <c r="B163" s="1">
        <v>2018</v>
      </c>
      <c r="C163" s="1">
        <v>2</v>
      </c>
      <c r="D163" t="s">
        <v>10</v>
      </c>
      <c r="E163" t="s">
        <v>8</v>
      </c>
      <c r="F163" s="1">
        <v>11</v>
      </c>
      <c r="G163" s="3">
        <v>18116</v>
      </c>
      <c r="H163" s="2">
        <v>0</v>
      </c>
    </row>
    <row r="164" spans="1:8" x14ac:dyDescent="0.3">
      <c r="A164" t="s">
        <v>207</v>
      </c>
      <c r="B164" s="1">
        <v>2020</v>
      </c>
      <c r="C164" s="1">
        <v>3</v>
      </c>
      <c r="D164" t="s">
        <v>14</v>
      </c>
      <c r="E164" t="s">
        <v>8</v>
      </c>
      <c r="F164" s="1">
        <v>14</v>
      </c>
      <c r="G164" s="3">
        <v>34566</v>
      </c>
      <c r="H164" s="2">
        <v>0</v>
      </c>
    </row>
    <row r="165" spans="1:8" x14ac:dyDescent="0.3">
      <c r="A165" t="s">
        <v>208</v>
      </c>
      <c r="B165" s="1">
        <v>2016</v>
      </c>
      <c r="C165" s="1">
        <v>2</v>
      </c>
      <c r="D165" t="s">
        <v>10</v>
      </c>
      <c r="E165" t="s">
        <v>8</v>
      </c>
      <c r="F165" s="1">
        <v>13</v>
      </c>
      <c r="G165" s="3">
        <v>25516</v>
      </c>
      <c r="H165" s="2">
        <v>26070</v>
      </c>
    </row>
    <row r="166" spans="1:8" x14ac:dyDescent="0.3">
      <c r="A166" t="s">
        <v>209</v>
      </c>
      <c r="B166" s="1">
        <v>2021</v>
      </c>
      <c r="C166" s="1">
        <v>3</v>
      </c>
      <c r="D166" t="s">
        <v>40</v>
      </c>
      <c r="E166" t="s">
        <v>29</v>
      </c>
      <c r="F166" s="1">
        <v>14</v>
      </c>
      <c r="G166" s="3">
        <v>20358</v>
      </c>
      <c r="H166" s="2">
        <v>26734</v>
      </c>
    </row>
    <row r="167" spans="1:8" x14ac:dyDescent="0.3">
      <c r="A167" t="s">
        <v>210</v>
      </c>
      <c r="B167" s="1">
        <v>2015</v>
      </c>
      <c r="C167" s="1">
        <v>1</v>
      </c>
      <c r="D167" t="s">
        <v>7</v>
      </c>
      <c r="E167" t="s">
        <v>8</v>
      </c>
      <c r="F167" s="1">
        <v>5</v>
      </c>
      <c r="G167" s="3">
        <v>18702</v>
      </c>
      <c r="H167" s="2">
        <v>0</v>
      </c>
    </row>
    <row r="168" spans="1:8" x14ac:dyDescent="0.3">
      <c r="A168" t="s">
        <v>211</v>
      </c>
      <c r="B168" s="1">
        <v>2022</v>
      </c>
      <c r="C168" s="1">
        <v>2</v>
      </c>
      <c r="D168" t="s">
        <v>7</v>
      </c>
      <c r="E168" t="s">
        <v>8</v>
      </c>
      <c r="F168" s="1">
        <v>12</v>
      </c>
      <c r="G168" s="3">
        <v>22983</v>
      </c>
      <c r="H168" s="2">
        <v>7858</v>
      </c>
    </row>
    <row r="169" spans="1:8" x14ac:dyDescent="0.3">
      <c r="A169" t="s">
        <v>212</v>
      </c>
      <c r="B169" s="1">
        <v>2024</v>
      </c>
      <c r="C169" s="1">
        <v>3</v>
      </c>
      <c r="D169" t="s">
        <v>35</v>
      </c>
      <c r="E169" t="s">
        <v>18</v>
      </c>
      <c r="F169" s="1">
        <v>14</v>
      </c>
      <c r="G169" s="3">
        <v>15551</v>
      </c>
      <c r="H169" s="2">
        <v>14855</v>
      </c>
    </row>
    <row r="170" spans="1:8" x14ac:dyDescent="0.3">
      <c r="A170" t="s">
        <v>213</v>
      </c>
      <c r="B170" s="1">
        <v>2017</v>
      </c>
      <c r="C170" s="1">
        <v>1</v>
      </c>
      <c r="D170" t="s">
        <v>10</v>
      </c>
      <c r="E170" t="s">
        <v>8</v>
      </c>
      <c r="F170" s="1">
        <v>12</v>
      </c>
      <c r="G170" s="3">
        <v>29228</v>
      </c>
      <c r="H170" s="2">
        <v>28298</v>
      </c>
    </row>
    <row r="171" spans="1:8" x14ac:dyDescent="0.3">
      <c r="A171" t="s">
        <v>214</v>
      </c>
      <c r="B171" s="1">
        <v>2023</v>
      </c>
      <c r="C171" s="1">
        <v>1</v>
      </c>
      <c r="D171" t="s">
        <v>10</v>
      </c>
      <c r="E171" t="s">
        <v>8</v>
      </c>
      <c r="F171" s="1">
        <v>10</v>
      </c>
      <c r="G171" s="3">
        <v>19874</v>
      </c>
      <c r="H171" s="2">
        <v>25495</v>
      </c>
    </row>
    <row r="172" spans="1:8" x14ac:dyDescent="0.3">
      <c r="A172" t="s">
        <v>215</v>
      </c>
      <c r="B172" s="1">
        <v>2017</v>
      </c>
      <c r="C172" s="1">
        <v>2</v>
      </c>
      <c r="D172" t="s">
        <v>27</v>
      </c>
      <c r="E172" t="s">
        <v>8</v>
      </c>
      <c r="F172" s="1">
        <v>14</v>
      </c>
      <c r="G172" s="3">
        <v>39095</v>
      </c>
      <c r="H172" s="2">
        <v>0</v>
      </c>
    </row>
    <row r="173" spans="1:8" x14ac:dyDescent="0.3">
      <c r="A173" t="s">
        <v>216</v>
      </c>
      <c r="B173" s="1">
        <v>2021</v>
      </c>
      <c r="C173" s="1">
        <v>1</v>
      </c>
      <c r="D173" t="s">
        <v>9</v>
      </c>
      <c r="E173" t="s">
        <v>8</v>
      </c>
      <c r="F173" s="1">
        <v>10</v>
      </c>
      <c r="G173" s="3">
        <v>30281</v>
      </c>
      <c r="H173" s="2">
        <v>0</v>
      </c>
    </row>
    <row r="174" spans="1:8" x14ac:dyDescent="0.3">
      <c r="A174" t="s">
        <v>217</v>
      </c>
      <c r="B174" s="1">
        <v>2015</v>
      </c>
      <c r="C174" s="1">
        <v>4</v>
      </c>
      <c r="D174" t="s">
        <v>15</v>
      </c>
      <c r="E174" t="s">
        <v>8</v>
      </c>
      <c r="F174" s="1">
        <v>5</v>
      </c>
      <c r="G174" s="3">
        <v>23474</v>
      </c>
      <c r="H174" s="2">
        <v>9518</v>
      </c>
    </row>
    <row r="175" spans="1:8" x14ac:dyDescent="0.3">
      <c r="A175" t="s">
        <v>218</v>
      </c>
      <c r="B175" s="1">
        <v>2019</v>
      </c>
      <c r="C175" s="1">
        <v>1</v>
      </c>
      <c r="D175" t="s">
        <v>7</v>
      </c>
      <c r="E175" t="s">
        <v>8</v>
      </c>
      <c r="F175" s="1">
        <v>7</v>
      </c>
      <c r="G175" s="3">
        <v>20655</v>
      </c>
      <c r="H175" s="2">
        <v>22936</v>
      </c>
    </row>
    <row r="176" spans="1:8" x14ac:dyDescent="0.3">
      <c r="A176" t="s">
        <v>219</v>
      </c>
      <c r="B176" s="1">
        <v>2019</v>
      </c>
      <c r="C176" s="1">
        <v>3</v>
      </c>
      <c r="D176" t="s">
        <v>19</v>
      </c>
      <c r="E176" t="s">
        <v>8</v>
      </c>
      <c r="F176" s="1">
        <v>8</v>
      </c>
      <c r="G176" s="3">
        <v>11179</v>
      </c>
      <c r="H176" s="2">
        <v>0</v>
      </c>
    </row>
    <row r="177" spans="1:8" x14ac:dyDescent="0.3">
      <c r="A177" t="s">
        <v>220</v>
      </c>
      <c r="B177" s="1">
        <v>2018</v>
      </c>
      <c r="C177" s="1">
        <v>2</v>
      </c>
      <c r="D177" t="s">
        <v>40</v>
      </c>
      <c r="E177" t="s">
        <v>29</v>
      </c>
      <c r="F177" s="1">
        <v>6</v>
      </c>
      <c r="G177" s="3">
        <v>24652</v>
      </c>
      <c r="H177" s="2">
        <v>0</v>
      </c>
    </row>
    <row r="178" spans="1:8" x14ac:dyDescent="0.3">
      <c r="A178" t="s">
        <v>221</v>
      </c>
      <c r="B178" s="1">
        <v>2023</v>
      </c>
      <c r="C178" s="1">
        <v>2</v>
      </c>
      <c r="D178" t="s">
        <v>14</v>
      </c>
      <c r="E178" t="s">
        <v>8</v>
      </c>
      <c r="F178" s="1">
        <v>11</v>
      </c>
      <c r="G178" s="3"/>
      <c r="H178" s="2">
        <v>0</v>
      </c>
    </row>
    <row r="179" spans="1:8" x14ac:dyDescent="0.3">
      <c r="A179" t="s">
        <v>222</v>
      </c>
      <c r="B179" s="1">
        <v>2021</v>
      </c>
      <c r="C179" s="1">
        <v>2</v>
      </c>
      <c r="D179" t="s">
        <v>13</v>
      </c>
      <c r="E179" t="s">
        <v>8</v>
      </c>
      <c r="F179" s="1">
        <v>4</v>
      </c>
      <c r="G179" s="3"/>
      <c r="H179" s="2">
        <v>0</v>
      </c>
    </row>
    <row r="180" spans="1:8" x14ac:dyDescent="0.3">
      <c r="A180" t="s">
        <v>223</v>
      </c>
      <c r="B180" s="1">
        <v>2016</v>
      </c>
      <c r="C180" s="1">
        <v>1</v>
      </c>
      <c r="D180" t="s">
        <v>13</v>
      </c>
      <c r="E180" t="s">
        <v>8</v>
      </c>
      <c r="F180" s="1">
        <v>11</v>
      </c>
      <c r="G180" s="3"/>
      <c r="H180" s="2">
        <v>0</v>
      </c>
    </row>
    <row r="181" spans="1:8" x14ac:dyDescent="0.3">
      <c r="A181" t="s">
        <v>224</v>
      </c>
      <c r="B181" s="1">
        <v>2024</v>
      </c>
      <c r="C181" s="1">
        <v>1</v>
      </c>
      <c r="D181" t="s">
        <v>43</v>
      </c>
      <c r="E181" t="s">
        <v>25</v>
      </c>
      <c r="F181" s="1">
        <v>1</v>
      </c>
      <c r="G181" s="3">
        <v>30231</v>
      </c>
      <c r="H181" s="2">
        <v>0</v>
      </c>
    </row>
    <row r="182" spans="1:8" x14ac:dyDescent="0.3">
      <c r="A182" t="s">
        <v>225</v>
      </c>
      <c r="B182" s="1">
        <v>2017</v>
      </c>
      <c r="C182" s="1">
        <v>2</v>
      </c>
      <c r="D182" t="s">
        <v>16</v>
      </c>
      <c r="E182" t="s">
        <v>8</v>
      </c>
      <c r="F182" s="1">
        <v>12</v>
      </c>
      <c r="G182" s="3">
        <v>34714</v>
      </c>
      <c r="H182" s="2">
        <v>0</v>
      </c>
    </row>
    <row r="183" spans="1:8" x14ac:dyDescent="0.3">
      <c r="A183" t="s">
        <v>226</v>
      </c>
      <c r="B183" s="1">
        <v>2023</v>
      </c>
      <c r="C183" s="1">
        <v>3</v>
      </c>
      <c r="D183" t="s">
        <v>34</v>
      </c>
      <c r="E183" t="s">
        <v>8</v>
      </c>
      <c r="F183" s="1">
        <v>11</v>
      </c>
      <c r="G183" s="3">
        <v>20261</v>
      </c>
      <c r="H183" s="2">
        <v>23347</v>
      </c>
    </row>
    <row r="184" spans="1:8" x14ac:dyDescent="0.3">
      <c r="A184" t="s">
        <v>227</v>
      </c>
      <c r="B184" s="1">
        <v>2023</v>
      </c>
      <c r="C184" s="1">
        <v>2</v>
      </c>
      <c r="D184" t="s">
        <v>17</v>
      </c>
      <c r="E184" t="s">
        <v>18</v>
      </c>
      <c r="F184" s="1">
        <v>6</v>
      </c>
      <c r="G184" s="3">
        <v>14136</v>
      </c>
      <c r="H184" s="2">
        <v>0</v>
      </c>
    </row>
    <row r="185" spans="1:8" x14ac:dyDescent="0.3">
      <c r="A185" t="s">
        <v>228</v>
      </c>
      <c r="B185" s="1">
        <v>2019</v>
      </c>
      <c r="C185" s="1">
        <v>1</v>
      </c>
      <c r="D185" t="s">
        <v>10</v>
      </c>
      <c r="E185" t="s">
        <v>8</v>
      </c>
      <c r="F185" s="1">
        <v>2</v>
      </c>
      <c r="G185" s="3">
        <v>21503</v>
      </c>
      <c r="H185" s="2">
        <v>27524</v>
      </c>
    </row>
    <row r="186" spans="1:8" x14ac:dyDescent="0.3">
      <c r="A186" t="s">
        <v>229</v>
      </c>
      <c r="B186" s="1">
        <v>2019</v>
      </c>
      <c r="C186" s="1">
        <v>2</v>
      </c>
      <c r="D186" t="s">
        <v>22</v>
      </c>
      <c r="E186" t="s">
        <v>8</v>
      </c>
      <c r="F186" s="1">
        <v>12</v>
      </c>
      <c r="G186" s="3">
        <v>38806</v>
      </c>
      <c r="H186" s="2">
        <v>4841</v>
      </c>
    </row>
    <row r="187" spans="1:8" x14ac:dyDescent="0.3">
      <c r="A187" t="s">
        <v>230</v>
      </c>
      <c r="B187" s="1">
        <v>2021</v>
      </c>
      <c r="C187" s="1">
        <v>2</v>
      </c>
      <c r="D187" t="s">
        <v>26</v>
      </c>
      <c r="E187" t="s">
        <v>8</v>
      </c>
      <c r="F187" s="1">
        <v>3</v>
      </c>
      <c r="G187" s="3">
        <v>32271</v>
      </c>
      <c r="H187" s="2">
        <v>6464</v>
      </c>
    </row>
    <row r="188" spans="1:8" x14ac:dyDescent="0.3">
      <c r="A188" t="s">
        <v>276</v>
      </c>
      <c r="B188" s="1">
        <v>2024</v>
      </c>
      <c r="C188" s="1">
        <v>1</v>
      </c>
      <c r="D188" t="s">
        <v>10</v>
      </c>
      <c r="E188" t="s">
        <v>8</v>
      </c>
      <c r="F188" s="1">
        <v>6</v>
      </c>
      <c r="G188" s="3">
        <v>29341</v>
      </c>
      <c r="H188" s="2">
        <v>8763</v>
      </c>
    </row>
    <row r="189" spans="1:8" x14ac:dyDescent="0.3">
      <c r="A189" t="s">
        <v>277</v>
      </c>
      <c r="B189" s="1">
        <v>2021</v>
      </c>
      <c r="C189" s="1">
        <v>2</v>
      </c>
      <c r="D189" t="s">
        <v>39</v>
      </c>
      <c r="E189" t="s">
        <v>37</v>
      </c>
      <c r="F189" s="1">
        <v>14</v>
      </c>
      <c r="G189" s="3">
        <v>30855</v>
      </c>
      <c r="H189" s="2">
        <v>0</v>
      </c>
    </row>
    <row r="190" spans="1:8" x14ac:dyDescent="0.3">
      <c r="A190" t="s">
        <v>278</v>
      </c>
      <c r="B190" s="1">
        <v>2016</v>
      </c>
      <c r="C190" s="1">
        <v>1</v>
      </c>
      <c r="D190" t="s">
        <v>17</v>
      </c>
      <c r="E190" t="s">
        <v>18</v>
      </c>
      <c r="F190" s="1">
        <v>2</v>
      </c>
      <c r="G190" s="3">
        <v>35900</v>
      </c>
      <c r="H190" s="2">
        <v>14424</v>
      </c>
    </row>
    <row r="191" spans="1:8" x14ac:dyDescent="0.3">
      <c r="A191" t="s">
        <v>279</v>
      </c>
      <c r="B191" s="1">
        <v>2022</v>
      </c>
      <c r="C191" s="1">
        <v>2</v>
      </c>
      <c r="D191" t="s">
        <v>7</v>
      </c>
      <c r="E191" t="s">
        <v>8</v>
      </c>
      <c r="F191" s="1">
        <v>8</v>
      </c>
      <c r="G191" s="3">
        <v>36597</v>
      </c>
      <c r="H191" s="2">
        <v>7059</v>
      </c>
    </row>
    <row r="192" spans="1:8" x14ac:dyDescent="0.3">
      <c r="A192" t="s">
        <v>280</v>
      </c>
      <c r="B192" s="1">
        <v>2017</v>
      </c>
      <c r="C192" s="1">
        <v>1</v>
      </c>
      <c r="D192" t="s">
        <v>17</v>
      </c>
      <c r="E192" t="s">
        <v>18</v>
      </c>
      <c r="F192" s="1">
        <v>7</v>
      </c>
      <c r="G192" s="3">
        <v>36967</v>
      </c>
      <c r="H192" s="2">
        <v>0</v>
      </c>
    </row>
    <row r="193" spans="1:8" x14ac:dyDescent="0.3">
      <c r="A193" t="s">
        <v>281</v>
      </c>
      <c r="B193" s="1">
        <v>2015</v>
      </c>
      <c r="C193" s="1">
        <v>1</v>
      </c>
      <c r="D193" t="s">
        <v>14</v>
      </c>
      <c r="E193" t="s">
        <v>8</v>
      </c>
      <c r="F193" s="1">
        <v>13</v>
      </c>
      <c r="G193" s="3">
        <v>35303</v>
      </c>
      <c r="H193" s="2">
        <v>10616</v>
      </c>
    </row>
    <row r="194" spans="1:8" x14ac:dyDescent="0.3">
      <c r="A194" t="s">
        <v>282</v>
      </c>
      <c r="B194" s="1">
        <v>2024</v>
      </c>
      <c r="C194" s="1">
        <v>2</v>
      </c>
      <c r="D194" t="s">
        <v>9</v>
      </c>
      <c r="E194" t="s">
        <v>8</v>
      </c>
      <c r="F194" s="1">
        <v>4</v>
      </c>
      <c r="G194" s="3">
        <v>25140</v>
      </c>
      <c r="H194" s="2">
        <v>22062</v>
      </c>
    </row>
    <row r="195" spans="1:8" x14ac:dyDescent="0.3">
      <c r="A195" t="s">
        <v>283</v>
      </c>
      <c r="B195" s="1">
        <v>2017</v>
      </c>
      <c r="C195" s="1">
        <v>2</v>
      </c>
      <c r="D195" t="s">
        <v>44</v>
      </c>
      <c r="E195" t="s">
        <v>29</v>
      </c>
      <c r="F195" s="1">
        <v>3</v>
      </c>
      <c r="G195" s="3">
        <v>21157</v>
      </c>
      <c r="H195" s="2">
        <v>18201</v>
      </c>
    </row>
    <row r="196" spans="1:8" x14ac:dyDescent="0.3">
      <c r="A196" t="s">
        <v>284</v>
      </c>
      <c r="B196" s="1">
        <v>2016</v>
      </c>
      <c r="C196" s="1">
        <v>3</v>
      </c>
      <c r="D196" t="s">
        <v>15</v>
      </c>
      <c r="E196" t="s">
        <v>8</v>
      </c>
      <c r="F196" s="1">
        <v>12</v>
      </c>
      <c r="G196" s="3">
        <v>30269</v>
      </c>
      <c r="H196" s="2">
        <v>22877</v>
      </c>
    </row>
    <row r="197" spans="1:8" x14ac:dyDescent="0.3">
      <c r="A197" t="s">
        <v>171</v>
      </c>
      <c r="B197" s="1">
        <v>2023</v>
      </c>
      <c r="C197" s="1">
        <v>2</v>
      </c>
      <c r="D197" t="s">
        <v>45</v>
      </c>
      <c r="E197" t="s">
        <v>18</v>
      </c>
      <c r="F197" s="1">
        <v>4</v>
      </c>
      <c r="G197" s="3">
        <v>37176</v>
      </c>
      <c r="H197" s="2">
        <v>28088</v>
      </c>
    </row>
    <row r="198" spans="1:8" x14ac:dyDescent="0.3">
      <c r="A198" t="s">
        <v>172</v>
      </c>
      <c r="B198" s="1">
        <v>2022</v>
      </c>
      <c r="C198" s="1">
        <v>2</v>
      </c>
      <c r="D198" t="s">
        <v>15</v>
      </c>
      <c r="E198" t="s">
        <v>8</v>
      </c>
      <c r="F198" s="1">
        <v>10</v>
      </c>
      <c r="G198" s="3">
        <v>36792</v>
      </c>
      <c r="H198" s="2">
        <v>27993</v>
      </c>
    </row>
    <row r="199" spans="1:8" x14ac:dyDescent="0.3">
      <c r="A199" t="s">
        <v>173</v>
      </c>
      <c r="B199" s="1">
        <v>2022</v>
      </c>
      <c r="C199" s="1">
        <v>1</v>
      </c>
      <c r="D199" t="s">
        <v>10</v>
      </c>
      <c r="E199" t="s">
        <v>8</v>
      </c>
      <c r="F199" s="1">
        <v>10</v>
      </c>
      <c r="G199" s="3">
        <v>33940</v>
      </c>
      <c r="H199" s="2">
        <v>7656</v>
      </c>
    </row>
    <row r="200" spans="1:8" x14ac:dyDescent="0.3">
      <c r="A200" t="s">
        <v>174</v>
      </c>
      <c r="B200" s="1">
        <v>2018</v>
      </c>
      <c r="C200" s="1">
        <v>1</v>
      </c>
      <c r="D200" t="s">
        <v>26</v>
      </c>
      <c r="E200" t="s">
        <v>8</v>
      </c>
      <c r="F200" s="1">
        <v>5</v>
      </c>
      <c r="G200" s="3">
        <v>24577</v>
      </c>
      <c r="H200" s="2">
        <v>11688</v>
      </c>
    </row>
    <row r="201" spans="1:8" x14ac:dyDescent="0.3">
      <c r="A201" t="s">
        <v>175</v>
      </c>
      <c r="B201" s="1">
        <v>2019</v>
      </c>
      <c r="C201" s="1">
        <v>3</v>
      </c>
      <c r="D201" t="s">
        <v>15</v>
      </c>
      <c r="E201" t="s">
        <v>8</v>
      </c>
      <c r="F201" s="1">
        <v>5</v>
      </c>
      <c r="G201" s="3">
        <v>14151</v>
      </c>
      <c r="H201" s="2">
        <v>5305</v>
      </c>
    </row>
    <row r="202" spans="1:8" x14ac:dyDescent="0.3">
      <c r="A202" t="s">
        <v>176</v>
      </c>
      <c r="B202" s="1">
        <v>2024</v>
      </c>
      <c r="C202" s="1">
        <v>4</v>
      </c>
      <c r="D202" t="s">
        <v>28</v>
      </c>
      <c r="E202" t="s">
        <v>29</v>
      </c>
      <c r="F202" s="1">
        <v>12</v>
      </c>
      <c r="G202" s="3"/>
      <c r="H202" s="2">
        <v>0</v>
      </c>
    </row>
    <row r="203" spans="1:8" x14ac:dyDescent="0.3">
      <c r="A203" t="s">
        <v>177</v>
      </c>
      <c r="B203" s="1">
        <v>2017</v>
      </c>
      <c r="C203" s="1">
        <v>1</v>
      </c>
      <c r="D203" t="s">
        <v>14</v>
      </c>
      <c r="E203" t="s">
        <v>8</v>
      </c>
      <c r="F203" s="1">
        <v>4</v>
      </c>
      <c r="G203" s="3">
        <v>23608</v>
      </c>
      <c r="H203" s="2">
        <v>11589</v>
      </c>
    </row>
    <row r="204" spans="1:8" x14ac:dyDescent="0.3">
      <c r="A204" t="s">
        <v>178</v>
      </c>
      <c r="B204" s="1">
        <v>2018</v>
      </c>
      <c r="C204" s="1">
        <v>1</v>
      </c>
      <c r="D204" t="s">
        <v>26</v>
      </c>
      <c r="E204" t="s">
        <v>8</v>
      </c>
      <c r="F204" s="1">
        <v>1</v>
      </c>
      <c r="G204" s="3">
        <v>19485</v>
      </c>
      <c r="H204" s="2">
        <v>26544</v>
      </c>
    </row>
    <row r="205" spans="1:8" x14ac:dyDescent="0.3">
      <c r="A205" t="s">
        <v>179</v>
      </c>
      <c r="B205" s="1">
        <v>2023</v>
      </c>
      <c r="C205" s="1">
        <v>1</v>
      </c>
      <c r="D205" t="s">
        <v>14</v>
      </c>
      <c r="E205" t="s">
        <v>8</v>
      </c>
      <c r="F205" s="1">
        <v>8</v>
      </c>
      <c r="G205" s="3"/>
      <c r="H205" s="2">
        <v>0</v>
      </c>
    </row>
    <row r="206" spans="1:8" x14ac:dyDescent="0.3">
      <c r="A206" t="s">
        <v>180</v>
      </c>
      <c r="B206" s="1">
        <v>2016</v>
      </c>
      <c r="C206" s="1">
        <v>1</v>
      </c>
      <c r="D206" t="s">
        <v>10</v>
      </c>
      <c r="E206" t="s">
        <v>8</v>
      </c>
      <c r="F206" s="1">
        <v>13</v>
      </c>
      <c r="G206" s="3">
        <v>28958</v>
      </c>
      <c r="H206" s="2">
        <v>8597</v>
      </c>
    </row>
    <row r="207" spans="1:8" x14ac:dyDescent="0.3">
      <c r="A207" t="s">
        <v>181</v>
      </c>
      <c r="B207" s="1">
        <v>2024</v>
      </c>
      <c r="C207" s="1">
        <v>1</v>
      </c>
      <c r="D207" t="s">
        <v>26</v>
      </c>
      <c r="E207" t="s">
        <v>8</v>
      </c>
      <c r="F207" s="1">
        <v>9</v>
      </c>
      <c r="G207" s="3">
        <v>18267</v>
      </c>
      <c r="H207" s="2">
        <v>12934</v>
      </c>
    </row>
    <row r="208" spans="1:8" x14ac:dyDescent="0.3">
      <c r="A208" t="s">
        <v>182</v>
      </c>
      <c r="B208" s="1">
        <v>2018</v>
      </c>
      <c r="C208" s="1">
        <v>1</v>
      </c>
      <c r="D208" t="s">
        <v>13</v>
      </c>
      <c r="E208" t="s">
        <v>8</v>
      </c>
      <c r="F208" s="1">
        <v>9</v>
      </c>
      <c r="G208" s="3">
        <v>26041</v>
      </c>
      <c r="H208" s="2">
        <v>4111</v>
      </c>
    </row>
    <row r="209" spans="1:8" x14ac:dyDescent="0.3">
      <c r="A209" t="s">
        <v>183</v>
      </c>
      <c r="B209" s="1">
        <v>2022</v>
      </c>
      <c r="C209" s="1">
        <v>1</v>
      </c>
      <c r="D209" t="s">
        <v>34</v>
      </c>
      <c r="E209" t="s">
        <v>8</v>
      </c>
      <c r="F209" s="1">
        <v>6</v>
      </c>
      <c r="G209" s="3">
        <v>11515</v>
      </c>
      <c r="H209" s="2">
        <v>6299</v>
      </c>
    </row>
    <row r="210" spans="1:8" x14ac:dyDescent="0.3">
      <c r="A210" t="s">
        <v>184</v>
      </c>
      <c r="B210" s="1">
        <v>2022</v>
      </c>
      <c r="C210" s="1">
        <v>1</v>
      </c>
      <c r="D210" t="s">
        <v>10</v>
      </c>
      <c r="E210" t="s">
        <v>8</v>
      </c>
      <c r="F210" s="1">
        <v>8</v>
      </c>
      <c r="G210" s="3">
        <v>32990</v>
      </c>
      <c r="H210" s="2">
        <v>10517</v>
      </c>
    </row>
    <row r="211" spans="1:8" x14ac:dyDescent="0.3">
      <c r="A211" t="s">
        <v>185</v>
      </c>
      <c r="B211" s="1">
        <v>2018</v>
      </c>
      <c r="C211" s="1">
        <v>1</v>
      </c>
      <c r="D211" t="s">
        <v>19</v>
      </c>
      <c r="E211" t="s">
        <v>8</v>
      </c>
      <c r="F211" s="1">
        <v>12</v>
      </c>
      <c r="G211" s="3">
        <v>20036</v>
      </c>
      <c r="H211" s="2">
        <v>22088</v>
      </c>
    </row>
    <row r="212" spans="1:8" x14ac:dyDescent="0.3">
      <c r="A212" t="s">
        <v>186</v>
      </c>
      <c r="B212" s="1">
        <v>2022</v>
      </c>
      <c r="C212" s="1">
        <v>2</v>
      </c>
      <c r="D212" t="s">
        <v>41</v>
      </c>
      <c r="E212" t="s">
        <v>8</v>
      </c>
      <c r="F212" s="1">
        <v>14</v>
      </c>
      <c r="G212" s="3">
        <v>17715</v>
      </c>
      <c r="H212" s="2">
        <v>28789</v>
      </c>
    </row>
    <row r="213" spans="1:8" x14ac:dyDescent="0.3">
      <c r="A213" t="s">
        <v>187</v>
      </c>
      <c r="B213" s="1">
        <v>2023</v>
      </c>
      <c r="C213" s="1">
        <v>1</v>
      </c>
      <c r="D213" t="s">
        <v>28</v>
      </c>
      <c r="E213" t="s">
        <v>29</v>
      </c>
      <c r="F213" s="1">
        <v>14</v>
      </c>
      <c r="G213" s="3">
        <v>32027</v>
      </c>
      <c r="H213" s="2">
        <v>24718</v>
      </c>
    </row>
    <row r="214" spans="1:8" x14ac:dyDescent="0.3">
      <c r="A214" t="s">
        <v>188</v>
      </c>
      <c r="B214" s="1">
        <v>2022</v>
      </c>
      <c r="C214" s="1">
        <v>2</v>
      </c>
      <c r="D214" t="s">
        <v>15</v>
      </c>
      <c r="E214" t="s">
        <v>8</v>
      </c>
      <c r="F214" s="1">
        <v>10</v>
      </c>
      <c r="G214" s="3">
        <v>16212</v>
      </c>
      <c r="H214" s="2">
        <v>11130</v>
      </c>
    </row>
    <row r="215" spans="1:8" x14ac:dyDescent="0.3">
      <c r="A215" t="s">
        <v>189</v>
      </c>
      <c r="B215" s="1">
        <v>2020</v>
      </c>
      <c r="C215" s="1">
        <v>1</v>
      </c>
      <c r="D215" t="s">
        <v>28</v>
      </c>
      <c r="E215" t="s">
        <v>29</v>
      </c>
      <c r="F215" s="1">
        <v>1</v>
      </c>
      <c r="G215" s="3">
        <v>31925</v>
      </c>
      <c r="H215" s="2">
        <v>15385</v>
      </c>
    </row>
    <row r="216" spans="1:8" x14ac:dyDescent="0.3">
      <c r="A216" t="s">
        <v>190</v>
      </c>
      <c r="B216" s="1">
        <v>2018</v>
      </c>
      <c r="C216" s="1">
        <v>3</v>
      </c>
      <c r="D216" t="s">
        <v>9</v>
      </c>
      <c r="E216" t="s">
        <v>8</v>
      </c>
      <c r="F216" s="1">
        <v>6</v>
      </c>
      <c r="G216" s="3">
        <v>15015</v>
      </c>
      <c r="H216" s="2">
        <v>24995</v>
      </c>
    </row>
    <row r="217" spans="1:8" x14ac:dyDescent="0.3">
      <c r="A217" t="s">
        <v>191</v>
      </c>
      <c r="B217" s="1">
        <v>2015</v>
      </c>
      <c r="C217" s="1">
        <v>1</v>
      </c>
      <c r="D217" t="s">
        <v>13</v>
      </c>
      <c r="E217" t="s">
        <v>8</v>
      </c>
      <c r="F217" s="1">
        <v>6</v>
      </c>
      <c r="G217" s="3">
        <v>34363</v>
      </c>
      <c r="H217" s="2">
        <v>3948</v>
      </c>
    </row>
    <row r="218" spans="1:8" x14ac:dyDescent="0.3">
      <c r="A218" t="s">
        <v>192</v>
      </c>
      <c r="B218" s="1">
        <v>2018</v>
      </c>
      <c r="C218" s="1">
        <v>3</v>
      </c>
      <c r="D218" t="s">
        <v>13</v>
      </c>
      <c r="E218" t="s">
        <v>8</v>
      </c>
      <c r="F218" s="1">
        <v>12</v>
      </c>
      <c r="G218" s="3">
        <v>37779</v>
      </c>
      <c r="H218" s="2">
        <v>0</v>
      </c>
    </row>
    <row r="219" spans="1:8" x14ac:dyDescent="0.3">
      <c r="A219" t="s">
        <v>193</v>
      </c>
      <c r="B219" s="1">
        <v>2019</v>
      </c>
      <c r="C219" s="1">
        <v>4</v>
      </c>
      <c r="D219" t="s">
        <v>10</v>
      </c>
      <c r="E219" t="s">
        <v>8</v>
      </c>
      <c r="F219" s="1">
        <v>14</v>
      </c>
      <c r="G219" s="3">
        <v>38122</v>
      </c>
      <c r="H219" s="2">
        <v>17438</v>
      </c>
    </row>
    <row r="220" spans="1:8" x14ac:dyDescent="0.3">
      <c r="A220" t="s">
        <v>194</v>
      </c>
      <c r="B220" s="1">
        <v>2015</v>
      </c>
      <c r="C220" s="1">
        <v>3</v>
      </c>
      <c r="D220" t="s">
        <v>34</v>
      </c>
      <c r="E220" t="s">
        <v>8</v>
      </c>
      <c r="F220" s="1">
        <v>5</v>
      </c>
      <c r="G220" s="3">
        <v>39208</v>
      </c>
      <c r="H220" s="2">
        <v>16270</v>
      </c>
    </row>
    <row r="221" spans="1:8" x14ac:dyDescent="0.3">
      <c r="A221" t="s">
        <v>195</v>
      </c>
      <c r="B221" s="1">
        <v>2018</v>
      </c>
      <c r="C221" s="1">
        <v>2</v>
      </c>
      <c r="D221" t="s">
        <v>26</v>
      </c>
      <c r="E221" t="s">
        <v>8</v>
      </c>
      <c r="F221" s="1">
        <v>13</v>
      </c>
      <c r="G221" s="3">
        <v>19647</v>
      </c>
      <c r="H221" s="2">
        <v>14051</v>
      </c>
    </row>
    <row r="222" spans="1:8" x14ac:dyDescent="0.3">
      <c r="A222" t="s">
        <v>196</v>
      </c>
      <c r="B222" s="1">
        <v>2023</v>
      </c>
      <c r="C222" s="1">
        <v>1</v>
      </c>
      <c r="D222" t="s">
        <v>9</v>
      </c>
      <c r="E222" t="s">
        <v>8</v>
      </c>
      <c r="F222" s="1">
        <v>4</v>
      </c>
      <c r="G222" s="3">
        <v>27314</v>
      </c>
      <c r="H222" s="2">
        <v>17684</v>
      </c>
    </row>
    <row r="223" spans="1:8" x14ac:dyDescent="0.3">
      <c r="A223" t="s">
        <v>197</v>
      </c>
      <c r="B223" s="1">
        <v>2016</v>
      </c>
      <c r="C223" s="1">
        <v>4</v>
      </c>
      <c r="D223" t="s">
        <v>38</v>
      </c>
      <c r="E223" t="s">
        <v>8</v>
      </c>
      <c r="F223" s="1">
        <v>10</v>
      </c>
      <c r="G223" s="3">
        <v>21947</v>
      </c>
      <c r="H223" s="2">
        <v>22986</v>
      </c>
    </row>
    <row r="224" spans="1:8" x14ac:dyDescent="0.3">
      <c r="A224" t="s">
        <v>198</v>
      </c>
      <c r="B224" s="1">
        <v>2019</v>
      </c>
      <c r="C224" s="1">
        <v>1</v>
      </c>
      <c r="D224" t="s">
        <v>17</v>
      </c>
      <c r="E224" t="s">
        <v>18</v>
      </c>
      <c r="F224" s="1">
        <v>14</v>
      </c>
      <c r="G224" s="3">
        <v>13751</v>
      </c>
      <c r="H224" s="2">
        <v>11962</v>
      </c>
    </row>
    <row r="225" spans="1:8" x14ac:dyDescent="0.3">
      <c r="A225" t="s">
        <v>199</v>
      </c>
      <c r="B225" s="1">
        <v>2021</v>
      </c>
      <c r="C225" s="1">
        <v>1</v>
      </c>
      <c r="D225" t="s">
        <v>17</v>
      </c>
      <c r="E225" t="s">
        <v>18</v>
      </c>
      <c r="F225" s="1">
        <v>3</v>
      </c>
      <c r="G225" s="3">
        <v>38906</v>
      </c>
      <c r="H225" s="2">
        <v>11579</v>
      </c>
    </row>
    <row r="226" spans="1:8" x14ac:dyDescent="0.3">
      <c r="A226" t="s">
        <v>200</v>
      </c>
      <c r="B226" s="1">
        <v>2022</v>
      </c>
      <c r="C226" s="1">
        <v>2</v>
      </c>
      <c r="D226" t="s">
        <v>13</v>
      </c>
      <c r="E226" t="s">
        <v>8</v>
      </c>
      <c r="F226" s="1">
        <v>1</v>
      </c>
      <c r="G226" s="3">
        <v>17488</v>
      </c>
      <c r="H226" s="2">
        <v>13148</v>
      </c>
    </row>
    <row r="227" spans="1:8" x14ac:dyDescent="0.3">
      <c r="A227" t="s">
        <v>267</v>
      </c>
      <c r="B227" s="1">
        <v>2015</v>
      </c>
      <c r="C227" s="1">
        <v>2</v>
      </c>
      <c r="D227" t="s">
        <v>14</v>
      </c>
      <c r="E227" t="s">
        <v>8</v>
      </c>
      <c r="F227" s="1">
        <v>5</v>
      </c>
      <c r="G227" s="3"/>
      <c r="H227" s="2">
        <v>0</v>
      </c>
    </row>
    <row r="228" spans="1:8" x14ac:dyDescent="0.3">
      <c r="A228" t="s">
        <v>268</v>
      </c>
      <c r="B228" s="1">
        <v>2017</v>
      </c>
      <c r="C228" s="1">
        <v>1</v>
      </c>
      <c r="D228" t="s">
        <v>19</v>
      </c>
      <c r="E228" t="s">
        <v>8</v>
      </c>
      <c r="F228" s="1">
        <v>15</v>
      </c>
      <c r="G228" s="3">
        <v>18273</v>
      </c>
      <c r="H228" s="2">
        <v>19200</v>
      </c>
    </row>
    <row r="229" spans="1:8" x14ac:dyDescent="0.3">
      <c r="A229" t="s">
        <v>269</v>
      </c>
      <c r="B229" s="1">
        <v>2019</v>
      </c>
      <c r="C229" s="1">
        <v>1</v>
      </c>
      <c r="D229" t="s">
        <v>17</v>
      </c>
      <c r="E229" t="s">
        <v>18</v>
      </c>
      <c r="F229" s="1">
        <v>2</v>
      </c>
      <c r="G229" s="3">
        <v>28032</v>
      </c>
      <c r="H229" s="2">
        <v>24236</v>
      </c>
    </row>
    <row r="230" spans="1:8" x14ac:dyDescent="0.3">
      <c r="A230" t="s">
        <v>270</v>
      </c>
      <c r="B230" s="1">
        <v>2017</v>
      </c>
      <c r="C230" s="1">
        <v>2</v>
      </c>
      <c r="D230" t="s">
        <v>32</v>
      </c>
      <c r="E230" t="s">
        <v>12</v>
      </c>
      <c r="F230" s="1">
        <v>2</v>
      </c>
      <c r="G230" s="3">
        <v>39954</v>
      </c>
      <c r="H230" s="2">
        <v>8162</v>
      </c>
    </row>
    <row r="231" spans="1:8" x14ac:dyDescent="0.3">
      <c r="A231" t="s">
        <v>271</v>
      </c>
      <c r="B231" s="1">
        <v>2019</v>
      </c>
      <c r="C231" s="1">
        <v>2</v>
      </c>
      <c r="D231" t="s">
        <v>10</v>
      </c>
      <c r="E231" t="s">
        <v>8</v>
      </c>
      <c r="F231" s="1">
        <v>13</v>
      </c>
      <c r="G231" s="3">
        <v>14419</v>
      </c>
      <c r="H231" s="2">
        <v>24785</v>
      </c>
    </row>
    <row r="232" spans="1:8" x14ac:dyDescent="0.3">
      <c r="A232" t="s">
        <v>272</v>
      </c>
      <c r="B232" s="1">
        <v>2021</v>
      </c>
      <c r="C232" s="1">
        <v>3</v>
      </c>
      <c r="D232" t="s">
        <v>26</v>
      </c>
      <c r="E232" t="s">
        <v>8</v>
      </c>
      <c r="F232" s="1">
        <v>6</v>
      </c>
      <c r="G232" s="3">
        <v>38622</v>
      </c>
      <c r="H232" s="2">
        <v>2367</v>
      </c>
    </row>
    <row r="233" spans="1:8" x14ac:dyDescent="0.3">
      <c r="A233" t="s">
        <v>273</v>
      </c>
      <c r="B233" s="1">
        <v>2022</v>
      </c>
      <c r="C233" s="1">
        <v>1</v>
      </c>
      <c r="D233" t="s">
        <v>10</v>
      </c>
      <c r="E233" t="s">
        <v>8</v>
      </c>
      <c r="F233" s="1">
        <v>5</v>
      </c>
      <c r="G233" s="3">
        <v>35676</v>
      </c>
      <c r="H233" s="2">
        <v>3151</v>
      </c>
    </row>
    <row r="234" spans="1:8" x14ac:dyDescent="0.3">
      <c r="A234" t="s">
        <v>274</v>
      </c>
      <c r="B234" s="1">
        <v>2021</v>
      </c>
      <c r="C234" s="1">
        <v>1</v>
      </c>
      <c r="D234" t="s">
        <v>14</v>
      </c>
      <c r="E234" t="s">
        <v>8</v>
      </c>
      <c r="F234" s="1">
        <v>9</v>
      </c>
      <c r="G234" s="3">
        <v>20082</v>
      </c>
      <c r="H234" s="2">
        <v>0</v>
      </c>
    </row>
    <row r="235" spans="1:8" x14ac:dyDescent="0.3">
      <c r="A235" t="s">
        <v>275</v>
      </c>
      <c r="B235" s="1">
        <v>2020</v>
      </c>
      <c r="C235" s="1">
        <v>2</v>
      </c>
      <c r="D235" t="s">
        <v>16</v>
      </c>
      <c r="E235" t="s">
        <v>8</v>
      </c>
      <c r="F235" s="1">
        <v>15</v>
      </c>
      <c r="G235" s="3"/>
      <c r="H235" s="2">
        <v>0</v>
      </c>
    </row>
    <row r="236" spans="1:8" x14ac:dyDescent="0.3">
      <c r="A236" t="s">
        <v>318</v>
      </c>
      <c r="B236" s="1">
        <v>2024</v>
      </c>
      <c r="C236" s="1">
        <v>1</v>
      </c>
      <c r="D236" t="s">
        <v>13</v>
      </c>
      <c r="E236" t="s">
        <v>8</v>
      </c>
      <c r="F236" s="1">
        <v>13</v>
      </c>
      <c r="G236" s="3"/>
      <c r="H236" s="2">
        <v>0</v>
      </c>
    </row>
    <row r="237" spans="1:8" x14ac:dyDescent="0.3">
      <c r="A237" t="s">
        <v>319</v>
      </c>
      <c r="B237" s="1">
        <v>2023</v>
      </c>
      <c r="C237" s="1">
        <v>2</v>
      </c>
      <c r="D237" t="s">
        <v>36</v>
      </c>
      <c r="E237" t="s">
        <v>37</v>
      </c>
      <c r="F237" s="1">
        <v>2</v>
      </c>
      <c r="G237" s="3">
        <v>38134</v>
      </c>
      <c r="H237" s="2">
        <v>0</v>
      </c>
    </row>
    <row r="238" spans="1:8" x14ac:dyDescent="0.3">
      <c r="A238" t="s">
        <v>320</v>
      </c>
      <c r="B238" s="1">
        <v>2022</v>
      </c>
      <c r="C238" s="1">
        <v>1</v>
      </c>
      <c r="D238" t="s">
        <v>9</v>
      </c>
      <c r="E238" t="s">
        <v>8</v>
      </c>
      <c r="F238" s="1">
        <v>7</v>
      </c>
      <c r="G238" s="3">
        <v>18175</v>
      </c>
      <c r="H238" s="2">
        <v>0</v>
      </c>
    </row>
    <row r="239" spans="1:8" x14ac:dyDescent="0.3">
      <c r="A239" t="s">
        <v>321</v>
      </c>
      <c r="B239" s="1">
        <v>2022</v>
      </c>
      <c r="C239" s="1">
        <v>2</v>
      </c>
      <c r="D239" t="s">
        <v>17</v>
      </c>
      <c r="E239" t="s">
        <v>18</v>
      </c>
      <c r="F239" s="1">
        <v>15</v>
      </c>
      <c r="G239" s="3">
        <v>28572</v>
      </c>
      <c r="H239" s="2">
        <v>23170</v>
      </c>
    </row>
    <row r="240" spans="1:8" x14ac:dyDescent="0.3">
      <c r="A240" t="s">
        <v>322</v>
      </c>
      <c r="B240" s="1">
        <v>2020</v>
      </c>
      <c r="C240" s="1">
        <v>3</v>
      </c>
      <c r="D240" t="s">
        <v>16</v>
      </c>
      <c r="E240" t="s">
        <v>8</v>
      </c>
      <c r="F240" s="1">
        <v>9</v>
      </c>
      <c r="G240" s="3">
        <v>26102</v>
      </c>
      <c r="H240" s="2">
        <v>6939</v>
      </c>
    </row>
    <row r="241" spans="1:8" x14ac:dyDescent="0.3">
      <c r="A241" t="s">
        <v>323</v>
      </c>
      <c r="B241" s="1">
        <v>2019</v>
      </c>
      <c r="C241" s="1">
        <v>4</v>
      </c>
      <c r="D241" t="s">
        <v>16</v>
      </c>
      <c r="E241" t="s">
        <v>8</v>
      </c>
      <c r="F241" s="1">
        <v>3</v>
      </c>
      <c r="G241" s="3">
        <v>38438</v>
      </c>
      <c r="H241" s="2">
        <v>21468</v>
      </c>
    </row>
    <row r="242" spans="1:8" x14ac:dyDescent="0.3">
      <c r="A242" t="s">
        <v>324</v>
      </c>
      <c r="B242" s="1">
        <v>2020</v>
      </c>
      <c r="C242" s="1">
        <v>1</v>
      </c>
      <c r="D242" t="s">
        <v>14</v>
      </c>
      <c r="E242" t="s">
        <v>8</v>
      </c>
      <c r="F242" s="1">
        <v>7</v>
      </c>
      <c r="G242" s="3">
        <v>31067</v>
      </c>
      <c r="H242" s="2">
        <v>4786</v>
      </c>
    </row>
    <row r="243" spans="1:8" x14ac:dyDescent="0.3">
      <c r="A243" t="s">
        <v>325</v>
      </c>
      <c r="B243" s="1">
        <v>2019</v>
      </c>
      <c r="C243" s="1">
        <v>2</v>
      </c>
      <c r="D243" t="s">
        <v>13</v>
      </c>
      <c r="E243" t="s">
        <v>8</v>
      </c>
      <c r="F243" s="1">
        <v>6</v>
      </c>
      <c r="G243" s="3">
        <v>14127</v>
      </c>
      <c r="H243" s="2">
        <v>8427</v>
      </c>
    </row>
    <row r="244" spans="1:8" x14ac:dyDescent="0.3">
      <c r="A244" t="s">
        <v>326</v>
      </c>
      <c r="B244" s="1">
        <v>2020</v>
      </c>
      <c r="C244" s="1">
        <v>2</v>
      </c>
      <c r="D244" t="s">
        <v>16</v>
      </c>
      <c r="E244" t="s">
        <v>8</v>
      </c>
      <c r="F244" s="1">
        <v>12</v>
      </c>
      <c r="G244" s="3">
        <v>39153</v>
      </c>
      <c r="H244" s="2">
        <v>26973</v>
      </c>
    </row>
    <row r="245" spans="1:8" x14ac:dyDescent="0.3">
      <c r="A245" t="s">
        <v>327</v>
      </c>
      <c r="B245" s="1">
        <v>2020</v>
      </c>
      <c r="C245" s="1">
        <v>1</v>
      </c>
      <c r="D245" t="s">
        <v>15</v>
      </c>
      <c r="E245" t="s">
        <v>8</v>
      </c>
      <c r="F245" s="1">
        <v>5</v>
      </c>
      <c r="G245" s="3">
        <v>34596</v>
      </c>
      <c r="H245" s="2">
        <v>14020</v>
      </c>
    </row>
    <row r="246" spans="1:8" x14ac:dyDescent="0.3">
      <c r="A246" t="s">
        <v>328</v>
      </c>
      <c r="B246" s="1">
        <v>2016</v>
      </c>
      <c r="C246" s="1">
        <v>1</v>
      </c>
      <c r="D246" t="s">
        <v>26</v>
      </c>
      <c r="E246" t="s">
        <v>8</v>
      </c>
      <c r="F246" s="1">
        <v>4</v>
      </c>
      <c r="G246" s="3">
        <v>26585</v>
      </c>
      <c r="H246" s="2">
        <v>4910</v>
      </c>
    </row>
    <row r="247" spans="1:8" x14ac:dyDescent="0.3">
      <c r="A247" t="s">
        <v>329</v>
      </c>
      <c r="B247" s="1">
        <v>2022</v>
      </c>
      <c r="C247" s="1">
        <v>2</v>
      </c>
      <c r="D247" t="s">
        <v>9</v>
      </c>
      <c r="E247" t="s">
        <v>8</v>
      </c>
      <c r="F247" s="1">
        <v>1</v>
      </c>
      <c r="G247" s="3">
        <v>25138</v>
      </c>
      <c r="H247" s="2">
        <v>7361</v>
      </c>
    </row>
    <row r="248" spans="1:8" x14ac:dyDescent="0.3">
      <c r="A248" t="s">
        <v>330</v>
      </c>
      <c r="B248" s="1">
        <v>2018</v>
      </c>
      <c r="C248" s="1">
        <v>2</v>
      </c>
      <c r="D248" t="s">
        <v>26</v>
      </c>
      <c r="E248" t="s">
        <v>8</v>
      </c>
      <c r="F248" s="1">
        <v>10</v>
      </c>
      <c r="G248" s="3">
        <v>20992</v>
      </c>
      <c r="H248" s="2">
        <v>0</v>
      </c>
    </row>
    <row r="249" spans="1:8" x14ac:dyDescent="0.3">
      <c r="A249" t="s">
        <v>331</v>
      </c>
      <c r="B249" s="1">
        <v>2024</v>
      </c>
      <c r="C249" s="1">
        <v>1</v>
      </c>
      <c r="D249" t="s">
        <v>33</v>
      </c>
      <c r="E249" t="s">
        <v>8</v>
      </c>
      <c r="F249" s="1">
        <v>10</v>
      </c>
      <c r="G249" s="3"/>
      <c r="H249" s="2">
        <v>0</v>
      </c>
    </row>
    <row r="250" spans="1:8" x14ac:dyDescent="0.3">
      <c r="A250" t="s">
        <v>332</v>
      </c>
      <c r="B250" s="1">
        <v>2018</v>
      </c>
      <c r="C250" s="1">
        <v>2</v>
      </c>
      <c r="D250" t="s">
        <v>46</v>
      </c>
      <c r="E250" t="s">
        <v>18</v>
      </c>
      <c r="F250" s="1">
        <v>1</v>
      </c>
      <c r="G250" s="3"/>
      <c r="H250" s="2">
        <v>0</v>
      </c>
    </row>
    <row r="251" spans="1:8" x14ac:dyDescent="0.3">
      <c r="A251" t="s">
        <v>333</v>
      </c>
      <c r="B251" s="1">
        <v>2020</v>
      </c>
      <c r="C251" s="1">
        <v>4</v>
      </c>
      <c r="D251" t="s">
        <v>17</v>
      </c>
      <c r="E251" t="s">
        <v>18</v>
      </c>
      <c r="F251" s="1">
        <v>4</v>
      </c>
      <c r="G251" s="3">
        <v>26526</v>
      </c>
      <c r="H251" s="2">
        <v>27407</v>
      </c>
    </row>
    <row r="252" spans="1:8" x14ac:dyDescent="0.3">
      <c r="A252" t="s">
        <v>334</v>
      </c>
      <c r="B252" s="1">
        <v>2019</v>
      </c>
      <c r="C252" s="1">
        <v>3</v>
      </c>
      <c r="D252" t="s">
        <v>17</v>
      </c>
      <c r="E252" t="s">
        <v>18</v>
      </c>
      <c r="F252" s="1">
        <v>1</v>
      </c>
      <c r="G252" s="3">
        <v>22552</v>
      </c>
      <c r="H252" s="2">
        <v>8241</v>
      </c>
    </row>
    <row r="253" spans="1:8" x14ac:dyDescent="0.3">
      <c r="A253" t="s">
        <v>335</v>
      </c>
      <c r="B253" s="1">
        <v>2017</v>
      </c>
      <c r="C253" s="1">
        <v>1</v>
      </c>
      <c r="D253" t="s">
        <v>19</v>
      </c>
      <c r="E253" t="s">
        <v>8</v>
      </c>
      <c r="F253" s="1">
        <v>6</v>
      </c>
      <c r="G253" s="3">
        <v>12434</v>
      </c>
      <c r="H253" s="2">
        <v>26130</v>
      </c>
    </row>
    <row r="254" spans="1:8" x14ac:dyDescent="0.3">
      <c r="A254" t="s">
        <v>336</v>
      </c>
      <c r="B254" s="1">
        <v>2022</v>
      </c>
      <c r="C254" s="1">
        <v>1</v>
      </c>
      <c r="D254" t="s">
        <v>9</v>
      </c>
      <c r="E254" t="s">
        <v>8</v>
      </c>
      <c r="F254" s="1">
        <v>1</v>
      </c>
      <c r="G254" s="3">
        <v>22698</v>
      </c>
      <c r="H254" s="2">
        <v>20368</v>
      </c>
    </row>
    <row r="255" spans="1:8" x14ac:dyDescent="0.3">
      <c r="A255" t="s">
        <v>337</v>
      </c>
      <c r="B255" s="1">
        <v>2022</v>
      </c>
      <c r="C255" s="1">
        <v>1</v>
      </c>
      <c r="D255" t="s">
        <v>47</v>
      </c>
      <c r="E255" t="s">
        <v>29</v>
      </c>
      <c r="F255" s="1">
        <v>1</v>
      </c>
      <c r="G255" s="3">
        <v>30366</v>
      </c>
      <c r="H255" s="2">
        <v>24999</v>
      </c>
    </row>
    <row r="256" spans="1:8" x14ac:dyDescent="0.3">
      <c r="A256" t="s">
        <v>338</v>
      </c>
      <c r="B256" s="1">
        <v>2018</v>
      </c>
      <c r="C256" s="1">
        <v>1</v>
      </c>
      <c r="D256" t="s">
        <v>17</v>
      </c>
      <c r="E256" t="s">
        <v>18</v>
      </c>
      <c r="F256" s="1">
        <v>14</v>
      </c>
      <c r="G256" s="3">
        <v>20271</v>
      </c>
      <c r="H256" s="2">
        <v>29078</v>
      </c>
    </row>
    <row r="257" spans="1:8" x14ac:dyDescent="0.3">
      <c r="A257" t="s">
        <v>339</v>
      </c>
      <c r="B257" s="1">
        <v>2020</v>
      </c>
      <c r="C257" s="1">
        <v>2</v>
      </c>
      <c r="D257" t="s">
        <v>10</v>
      </c>
      <c r="E257" t="s">
        <v>8</v>
      </c>
      <c r="F257" s="1">
        <v>13</v>
      </c>
      <c r="G257" s="3">
        <v>27268</v>
      </c>
      <c r="H257" s="2">
        <v>0</v>
      </c>
    </row>
    <row r="258" spans="1:8" x14ac:dyDescent="0.3">
      <c r="A258" t="s">
        <v>340</v>
      </c>
      <c r="B258" s="1">
        <v>2015</v>
      </c>
      <c r="C258" s="1">
        <v>1</v>
      </c>
      <c r="D258" t="s">
        <v>13</v>
      </c>
      <c r="E258" t="s">
        <v>8</v>
      </c>
      <c r="F258" s="1">
        <v>11</v>
      </c>
      <c r="G258" s="3">
        <v>30701</v>
      </c>
      <c r="H258" s="2">
        <v>22518</v>
      </c>
    </row>
    <row r="259" spans="1:8" x14ac:dyDescent="0.3">
      <c r="A259" t="s">
        <v>341</v>
      </c>
      <c r="B259" s="1">
        <v>2024</v>
      </c>
      <c r="C259" s="1">
        <v>2</v>
      </c>
      <c r="D259" t="s">
        <v>32</v>
      </c>
      <c r="E259" t="s">
        <v>12</v>
      </c>
      <c r="F259" s="1">
        <v>4</v>
      </c>
      <c r="G259" s="3">
        <v>10696</v>
      </c>
      <c r="H259" s="2">
        <v>12941</v>
      </c>
    </row>
    <row r="260" spans="1:8" x14ac:dyDescent="0.3">
      <c r="A260" t="s">
        <v>342</v>
      </c>
      <c r="B260" s="1">
        <v>2020</v>
      </c>
      <c r="C260" s="1">
        <v>1</v>
      </c>
      <c r="D260" t="s">
        <v>17</v>
      </c>
      <c r="E260" t="s">
        <v>18</v>
      </c>
      <c r="F260" s="1">
        <v>3</v>
      </c>
      <c r="G260" s="3">
        <v>22853</v>
      </c>
      <c r="H260" s="2">
        <v>7769</v>
      </c>
    </row>
    <row r="261" spans="1:8" x14ac:dyDescent="0.3">
      <c r="A261" t="s">
        <v>343</v>
      </c>
      <c r="B261" s="1">
        <v>2021</v>
      </c>
      <c r="C261" s="1">
        <v>1</v>
      </c>
      <c r="D261" t="s">
        <v>45</v>
      </c>
      <c r="E261" t="s">
        <v>18</v>
      </c>
      <c r="F261" s="1">
        <v>5</v>
      </c>
      <c r="G261" s="3">
        <v>32824</v>
      </c>
      <c r="H261" s="2">
        <v>9331</v>
      </c>
    </row>
    <row r="262" spans="1:8" x14ac:dyDescent="0.3">
      <c r="A262" t="s">
        <v>344</v>
      </c>
      <c r="B262" s="1">
        <v>2017</v>
      </c>
      <c r="C262" s="1">
        <v>2</v>
      </c>
      <c r="D262" t="s">
        <v>7</v>
      </c>
      <c r="E262" t="s">
        <v>8</v>
      </c>
      <c r="F262" s="1">
        <v>13</v>
      </c>
      <c r="G262" s="3">
        <v>23939</v>
      </c>
      <c r="H262" s="2">
        <v>10006</v>
      </c>
    </row>
    <row r="263" spans="1:8" x14ac:dyDescent="0.3">
      <c r="A263" t="s">
        <v>345</v>
      </c>
      <c r="B263" s="1">
        <v>2020</v>
      </c>
      <c r="C263" s="1">
        <v>1</v>
      </c>
      <c r="D263" t="s">
        <v>10</v>
      </c>
      <c r="E263" t="s">
        <v>8</v>
      </c>
      <c r="F263" s="1">
        <v>2</v>
      </c>
      <c r="G263" s="3">
        <v>26605</v>
      </c>
      <c r="H263" s="2">
        <v>17691</v>
      </c>
    </row>
    <row r="264" spans="1:8" x14ac:dyDescent="0.3">
      <c r="A264" t="s">
        <v>346</v>
      </c>
      <c r="B264" s="1">
        <v>2016</v>
      </c>
      <c r="C264" s="1">
        <v>2</v>
      </c>
      <c r="D264" t="s">
        <v>21</v>
      </c>
      <c r="E264" t="s">
        <v>8</v>
      </c>
      <c r="F264" s="1">
        <v>6</v>
      </c>
      <c r="G264" s="3">
        <v>28182</v>
      </c>
      <c r="H264" s="2">
        <v>3354</v>
      </c>
    </row>
    <row r="265" spans="1:8" x14ac:dyDescent="0.3">
      <c r="A265" t="s">
        <v>347</v>
      </c>
      <c r="B265" s="1">
        <v>2022</v>
      </c>
      <c r="C265" s="1">
        <v>3</v>
      </c>
      <c r="D265" t="s">
        <v>9</v>
      </c>
      <c r="E265" t="s">
        <v>8</v>
      </c>
      <c r="F265" s="1">
        <v>3</v>
      </c>
      <c r="G265" s="3">
        <v>19339</v>
      </c>
      <c r="H265" s="2">
        <v>0</v>
      </c>
    </row>
    <row r="266" spans="1:8" x14ac:dyDescent="0.3">
      <c r="A266" t="s">
        <v>348</v>
      </c>
      <c r="B266" s="1">
        <v>2019</v>
      </c>
      <c r="C266" s="1">
        <v>4</v>
      </c>
      <c r="D266" t="s">
        <v>15</v>
      </c>
      <c r="E266" t="s">
        <v>8</v>
      </c>
      <c r="F266" s="1">
        <v>7</v>
      </c>
      <c r="G266" s="3">
        <v>32408</v>
      </c>
      <c r="H266" s="2">
        <v>23595</v>
      </c>
    </row>
    <row r="267" spans="1:8" x14ac:dyDescent="0.3">
      <c r="A267" t="s">
        <v>349</v>
      </c>
      <c r="B267" s="1">
        <v>2021</v>
      </c>
      <c r="C267" s="1">
        <v>2</v>
      </c>
      <c r="D267" t="s">
        <v>14</v>
      </c>
      <c r="E267" t="s">
        <v>8</v>
      </c>
      <c r="F267" s="1">
        <v>2</v>
      </c>
      <c r="G267" s="3">
        <v>39229</v>
      </c>
      <c r="H267" s="2">
        <v>24826</v>
      </c>
    </row>
    <row r="268" spans="1:8" x14ac:dyDescent="0.3">
      <c r="A268" t="s">
        <v>350</v>
      </c>
      <c r="B268" s="1">
        <v>2024</v>
      </c>
      <c r="C268" s="1">
        <v>1</v>
      </c>
      <c r="D268" t="s">
        <v>10</v>
      </c>
      <c r="E268" t="s">
        <v>8</v>
      </c>
      <c r="F268" s="1">
        <v>6</v>
      </c>
      <c r="G268" s="3">
        <v>13817</v>
      </c>
      <c r="H268" s="2">
        <v>15117</v>
      </c>
    </row>
    <row r="269" spans="1:8" x14ac:dyDescent="0.3">
      <c r="A269" t="s">
        <v>351</v>
      </c>
      <c r="B269" s="1">
        <v>2016</v>
      </c>
      <c r="C269" s="1">
        <v>3</v>
      </c>
      <c r="D269" t="s">
        <v>17</v>
      </c>
      <c r="E269" t="s">
        <v>18</v>
      </c>
      <c r="F269" s="1">
        <v>15</v>
      </c>
      <c r="G269" s="3"/>
      <c r="H269" s="2">
        <v>0</v>
      </c>
    </row>
    <row r="270" spans="1:8" x14ac:dyDescent="0.3">
      <c r="A270" t="s">
        <v>352</v>
      </c>
      <c r="B270" s="1">
        <v>2017</v>
      </c>
      <c r="C270" s="1">
        <v>2</v>
      </c>
      <c r="D270" t="s">
        <v>14</v>
      </c>
      <c r="E270" t="s">
        <v>8</v>
      </c>
      <c r="F270" s="1">
        <v>6</v>
      </c>
      <c r="G270" s="3">
        <v>35570</v>
      </c>
      <c r="H270" s="2">
        <v>8335</v>
      </c>
    </row>
    <row r="271" spans="1:8" x14ac:dyDescent="0.3">
      <c r="A271" t="s">
        <v>353</v>
      </c>
      <c r="B271" s="1">
        <v>2019</v>
      </c>
      <c r="C271" s="1">
        <v>2</v>
      </c>
      <c r="D271" t="s">
        <v>14</v>
      </c>
      <c r="E271" t="s">
        <v>8</v>
      </c>
      <c r="F271" s="1">
        <v>15</v>
      </c>
      <c r="G271" s="3">
        <v>17250</v>
      </c>
      <c r="H271" s="2">
        <v>15764</v>
      </c>
    </row>
    <row r="272" spans="1:8" x14ac:dyDescent="0.3">
      <c r="A272" t="s">
        <v>354</v>
      </c>
      <c r="B272" s="1">
        <v>2023</v>
      </c>
      <c r="C272" s="1">
        <v>1</v>
      </c>
      <c r="D272" t="s">
        <v>48</v>
      </c>
      <c r="E272" t="s">
        <v>18</v>
      </c>
      <c r="F272" s="1">
        <v>14</v>
      </c>
      <c r="G272" s="3">
        <v>36809</v>
      </c>
      <c r="H272" s="2">
        <v>0</v>
      </c>
    </row>
    <row r="273" spans="1:8" x14ac:dyDescent="0.3">
      <c r="A273" t="s">
        <v>355</v>
      </c>
      <c r="B273" s="1">
        <v>2024</v>
      </c>
      <c r="C273" s="1">
        <v>1</v>
      </c>
      <c r="D273" t="s">
        <v>17</v>
      </c>
      <c r="E273" t="s">
        <v>18</v>
      </c>
      <c r="F273" s="1">
        <v>6</v>
      </c>
      <c r="G273" s="3">
        <v>12678</v>
      </c>
      <c r="H273" s="2">
        <v>10219</v>
      </c>
    </row>
    <row r="274" spans="1:8" x14ac:dyDescent="0.3">
      <c r="A274" t="s">
        <v>285</v>
      </c>
      <c r="B274" s="1">
        <v>2018</v>
      </c>
      <c r="C274" s="1">
        <v>1</v>
      </c>
      <c r="D274" t="s">
        <v>14</v>
      </c>
      <c r="E274" t="s">
        <v>8</v>
      </c>
      <c r="F274" s="1">
        <v>4</v>
      </c>
      <c r="G274" s="3">
        <v>30628</v>
      </c>
      <c r="H274" s="2">
        <v>6290</v>
      </c>
    </row>
    <row r="275" spans="1:8" x14ac:dyDescent="0.3">
      <c r="A275" t="s">
        <v>286</v>
      </c>
      <c r="B275" s="1">
        <v>2021</v>
      </c>
      <c r="C275" s="1">
        <v>1</v>
      </c>
      <c r="D275" t="s">
        <v>14</v>
      </c>
      <c r="E275" t="s">
        <v>8</v>
      </c>
      <c r="F275" s="1">
        <v>1</v>
      </c>
      <c r="G275" s="3">
        <v>25025</v>
      </c>
      <c r="H275" s="2">
        <v>0</v>
      </c>
    </row>
    <row r="276" spans="1:8" x14ac:dyDescent="0.3">
      <c r="A276" t="s">
        <v>287</v>
      </c>
      <c r="B276" s="1">
        <v>2017</v>
      </c>
      <c r="C276" s="1">
        <v>2</v>
      </c>
      <c r="D276" t="s">
        <v>28</v>
      </c>
      <c r="E276" t="s">
        <v>29</v>
      </c>
      <c r="F276" s="1">
        <v>6</v>
      </c>
      <c r="G276" s="3">
        <v>14783</v>
      </c>
      <c r="H276" s="2">
        <v>3613</v>
      </c>
    </row>
    <row r="277" spans="1:8" x14ac:dyDescent="0.3">
      <c r="A277" t="s">
        <v>288</v>
      </c>
      <c r="B277" s="1">
        <v>2018</v>
      </c>
      <c r="C277" s="1">
        <v>2</v>
      </c>
      <c r="D277" t="s">
        <v>17</v>
      </c>
      <c r="E277" t="s">
        <v>18</v>
      </c>
      <c r="F277" s="1">
        <v>12</v>
      </c>
      <c r="G277" s="3">
        <v>19014</v>
      </c>
      <c r="H277" s="2">
        <v>14300</v>
      </c>
    </row>
    <row r="278" spans="1:8" x14ac:dyDescent="0.3">
      <c r="A278" t="s">
        <v>289</v>
      </c>
      <c r="B278" s="1">
        <v>2017</v>
      </c>
      <c r="C278" s="1">
        <v>1</v>
      </c>
      <c r="D278" t="s">
        <v>23</v>
      </c>
      <c r="E278" t="s">
        <v>8</v>
      </c>
      <c r="F278" s="1">
        <v>5</v>
      </c>
      <c r="G278" s="3">
        <v>19557</v>
      </c>
      <c r="H278" s="2">
        <v>3577</v>
      </c>
    </row>
    <row r="279" spans="1:8" x14ac:dyDescent="0.3">
      <c r="A279" t="s">
        <v>290</v>
      </c>
      <c r="B279" s="1">
        <v>2024</v>
      </c>
      <c r="C279" s="1">
        <v>2</v>
      </c>
      <c r="D279" t="s">
        <v>30</v>
      </c>
      <c r="E279" t="s">
        <v>8</v>
      </c>
      <c r="F279" s="1">
        <v>14</v>
      </c>
      <c r="G279" s="3">
        <v>30736</v>
      </c>
      <c r="H279" s="2">
        <v>0</v>
      </c>
    </row>
    <row r="280" spans="1:8" x14ac:dyDescent="0.3">
      <c r="A280" t="s">
        <v>291</v>
      </c>
      <c r="B280" s="1">
        <v>2019</v>
      </c>
      <c r="C280" s="1">
        <v>1</v>
      </c>
      <c r="D280" t="s">
        <v>14</v>
      </c>
      <c r="E280" t="s">
        <v>8</v>
      </c>
      <c r="F280" s="1">
        <v>11</v>
      </c>
      <c r="G280" s="3">
        <v>16020</v>
      </c>
      <c r="H280" s="2">
        <v>3224</v>
      </c>
    </row>
    <row r="281" spans="1:8" x14ac:dyDescent="0.3">
      <c r="A281" t="s">
        <v>292</v>
      </c>
      <c r="B281" s="1">
        <v>2022</v>
      </c>
      <c r="C281" s="1">
        <v>1</v>
      </c>
      <c r="D281" t="s">
        <v>28</v>
      </c>
      <c r="E281" t="s">
        <v>29</v>
      </c>
      <c r="F281" s="1">
        <v>7</v>
      </c>
      <c r="G281" s="3">
        <v>18940</v>
      </c>
      <c r="H281" s="2">
        <v>19075</v>
      </c>
    </row>
    <row r="282" spans="1:8" x14ac:dyDescent="0.3">
      <c r="A282" t="s">
        <v>293</v>
      </c>
      <c r="B282" s="1">
        <v>2018</v>
      </c>
      <c r="C282" s="1">
        <v>3</v>
      </c>
      <c r="D282" t="s">
        <v>22</v>
      </c>
      <c r="E282" t="s">
        <v>8</v>
      </c>
      <c r="F282" s="1">
        <v>10</v>
      </c>
      <c r="G282" s="3">
        <v>38516</v>
      </c>
      <c r="H282" s="2">
        <v>7894</v>
      </c>
    </row>
    <row r="283" spans="1:8" x14ac:dyDescent="0.3">
      <c r="A283" t="s">
        <v>294</v>
      </c>
      <c r="B283" s="1">
        <v>2015</v>
      </c>
      <c r="C283" s="1">
        <v>1</v>
      </c>
      <c r="D283" t="s">
        <v>9</v>
      </c>
      <c r="E283" t="s">
        <v>8</v>
      </c>
      <c r="F283" s="1">
        <v>12</v>
      </c>
      <c r="G283" s="3">
        <v>33105</v>
      </c>
      <c r="H283" s="2">
        <v>19803</v>
      </c>
    </row>
    <row r="284" spans="1:8" x14ac:dyDescent="0.3">
      <c r="A284" t="s">
        <v>295</v>
      </c>
      <c r="B284" s="1">
        <v>2019</v>
      </c>
      <c r="C284" s="1">
        <v>3</v>
      </c>
      <c r="D284" t="s">
        <v>19</v>
      </c>
      <c r="E284" t="s">
        <v>8</v>
      </c>
      <c r="F284" s="1">
        <v>1</v>
      </c>
      <c r="G284" s="3"/>
      <c r="H284" s="2">
        <v>0</v>
      </c>
    </row>
    <row r="285" spans="1:8" x14ac:dyDescent="0.3">
      <c r="A285" t="s">
        <v>296</v>
      </c>
      <c r="B285" s="1">
        <v>2021</v>
      </c>
      <c r="C285" s="1">
        <v>3</v>
      </c>
      <c r="D285" t="s">
        <v>27</v>
      </c>
      <c r="E285" t="s">
        <v>8</v>
      </c>
      <c r="F285" s="1">
        <v>2</v>
      </c>
      <c r="G285" s="3">
        <v>34250</v>
      </c>
      <c r="H285" s="2">
        <v>18977</v>
      </c>
    </row>
    <row r="286" spans="1:8" x14ac:dyDescent="0.3">
      <c r="A286" t="s">
        <v>297</v>
      </c>
      <c r="B286" s="1">
        <v>2018</v>
      </c>
      <c r="C286" s="1">
        <v>1</v>
      </c>
      <c r="D286" t="s">
        <v>14</v>
      </c>
      <c r="E286" t="s">
        <v>8</v>
      </c>
      <c r="F286" s="1">
        <v>14</v>
      </c>
      <c r="G286" s="3">
        <v>16813</v>
      </c>
      <c r="H286" s="2">
        <v>26737</v>
      </c>
    </row>
    <row r="287" spans="1:8" x14ac:dyDescent="0.3">
      <c r="A287" t="s">
        <v>298</v>
      </c>
      <c r="B287" s="1">
        <v>2022</v>
      </c>
      <c r="C287" s="1">
        <v>1</v>
      </c>
      <c r="D287" t="s">
        <v>49</v>
      </c>
      <c r="E287" t="s">
        <v>8</v>
      </c>
      <c r="F287" s="1">
        <v>11</v>
      </c>
      <c r="G287" s="3">
        <v>28881</v>
      </c>
      <c r="H287" s="2">
        <v>24367</v>
      </c>
    </row>
    <row r="288" spans="1:8" x14ac:dyDescent="0.3">
      <c r="A288" t="s">
        <v>299</v>
      </c>
      <c r="B288" s="1">
        <v>2018</v>
      </c>
      <c r="C288" s="1">
        <v>2</v>
      </c>
      <c r="D288" t="s">
        <v>26</v>
      </c>
      <c r="E288" t="s">
        <v>8</v>
      </c>
      <c r="F288" s="1">
        <v>8</v>
      </c>
      <c r="G288" s="3">
        <v>38384</v>
      </c>
      <c r="H288" s="2">
        <v>0</v>
      </c>
    </row>
    <row r="289" spans="1:8" x14ac:dyDescent="0.3">
      <c r="A289" t="s">
        <v>300</v>
      </c>
      <c r="B289" s="1">
        <v>2017</v>
      </c>
      <c r="C289" s="1">
        <v>2</v>
      </c>
      <c r="D289" t="s">
        <v>15</v>
      </c>
      <c r="E289" t="s">
        <v>8</v>
      </c>
      <c r="F289" s="1">
        <v>14</v>
      </c>
      <c r="G289" s="3">
        <v>14312</v>
      </c>
      <c r="H289" s="2">
        <v>18773</v>
      </c>
    </row>
    <row r="290" spans="1:8" x14ac:dyDescent="0.3">
      <c r="A290" t="s">
        <v>301</v>
      </c>
      <c r="B290" s="1">
        <v>2024</v>
      </c>
      <c r="C290" s="1">
        <v>2</v>
      </c>
      <c r="D290" t="s">
        <v>14</v>
      </c>
      <c r="E290" t="s">
        <v>8</v>
      </c>
      <c r="F290" s="1">
        <v>8</v>
      </c>
      <c r="G290" s="3">
        <v>27724</v>
      </c>
      <c r="H290" s="2">
        <v>13396</v>
      </c>
    </row>
    <row r="291" spans="1:8" x14ac:dyDescent="0.3">
      <c r="A291" t="s">
        <v>302</v>
      </c>
      <c r="B291" s="1">
        <v>2016</v>
      </c>
      <c r="C291" s="1">
        <v>2</v>
      </c>
      <c r="D291" t="s">
        <v>15</v>
      </c>
      <c r="E291" t="s">
        <v>8</v>
      </c>
      <c r="F291" s="1">
        <v>1</v>
      </c>
      <c r="G291" s="3"/>
      <c r="H291" s="2">
        <v>0</v>
      </c>
    </row>
    <row r="292" spans="1:8" x14ac:dyDescent="0.3">
      <c r="A292" t="s">
        <v>303</v>
      </c>
      <c r="B292" s="1">
        <v>2019</v>
      </c>
      <c r="C292" s="1">
        <v>1</v>
      </c>
      <c r="D292" t="s">
        <v>30</v>
      </c>
      <c r="E292" t="s">
        <v>8</v>
      </c>
      <c r="F292" s="1">
        <v>15</v>
      </c>
      <c r="G292" s="3"/>
      <c r="H292" s="2">
        <v>0</v>
      </c>
    </row>
    <row r="293" spans="1:8" x14ac:dyDescent="0.3">
      <c r="A293" t="s">
        <v>304</v>
      </c>
      <c r="B293" s="1">
        <v>2021</v>
      </c>
      <c r="C293" s="1">
        <v>1</v>
      </c>
      <c r="D293" t="s">
        <v>14</v>
      </c>
      <c r="E293" t="s">
        <v>8</v>
      </c>
      <c r="F293" s="1">
        <v>12</v>
      </c>
      <c r="G293" s="3"/>
      <c r="H293" s="2">
        <v>0</v>
      </c>
    </row>
    <row r="294" spans="1:8" x14ac:dyDescent="0.3">
      <c r="A294" t="s">
        <v>305</v>
      </c>
      <c r="B294" s="1">
        <v>2022</v>
      </c>
      <c r="C294" s="1">
        <v>1</v>
      </c>
      <c r="D294" t="s">
        <v>14</v>
      </c>
      <c r="E294" t="s">
        <v>8</v>
      </c>
      <c r="F294" s="1">
        <v>5</v>
      </c>
      <c r="G294" s="3">
        <v>29123</v>
      </c>
      <c r="H294" s="2">
        <v>0</v>
      </c>
    </row>
    <row r="295" spans="1:8" x14ac:dyDescent="0.3">
      <c r="A295" t="s">
        <v>306</v>
      </c>
      <c r="B295" s="1">
        <v>2023</v>
      </c>
      <c r="C295" s="1">
        <v>1</v>
      </c>
      <c r="D295" t="s">
        <v>31</v>
      </c>
      <c r="E295" t="s">
        <v>8</v>
      </c>
      <c r="F295" s="1">
        <v>8</v>
      </c>
      <c r="G295" s="3">
        <v>26118</v>
      </c>
      <c r="H295" s="2">
        <v>20919</v>
      </c>
    </row>
    <row r="296" spans="1:8" x14ac:dyDescent="0.3">
      <c r="A296" t="s">
        <v>307</v>
      </c>
      <c r="B296" s="1">
        <v>2019</v>
      </c>
      <c r="C296" s="1">
        <v>1</v>
      </c>
      <c r="D296" t="s">
        <v>28</v>
      </c>
      <c r="E296" t="s">
        <v>29</v>
      </c>
      <c r="F296" s="1">
        <v>7</v>
      </c>
      <c r="G296" s="3">
        <v>38038</v>
      </c>
      <c r="H296" s="2">
        <v>13279</v>
      </c>
    </row>
    <row r="297" spans="1:8" x14ac:dyDescent="0.3">
      <c r="A297" t="s">
        <v>308</v>
      </c>
      <c r="B297" s="1">
        <v>2016</v>
      </c>
      <c r="C297" s="1">
        <v>1</v>
      </c>
      <c r="D297" t="s">
        <v>13</v>
      </c>
      <c r="E297" t="s">
        <v>8</v>
      </c>
      <c r="F297" s="1">
        <v>11</v>
      </c>
      <c r="G297" s="3">
        <v>34522</v>
      </c>
      <c r="H297" s="2">
        <v>11275</v>
      </c>
    </row>
    <row r="298" spans="1:8" x14ac:dyDescent="0.3">
      <c r="A298" t="s">
        <v>309</v>
      </c>
      <c r="B298" s="1">
        <v>2024</v>
      </c>
      <c r="C298" s="1">
        <v>2</v>
      </c>
      <c r="D298" t="s">
        <v>16</v>
      </c>
      <c r="E298" t="s">
        <v>8</v>
      </c>
      <c r="F298" s="1">
        <v>5</v>
      </c>
      <c r="G298" s="3">
        <v>26333</v>
      </c>
      <c r="H298" s="2">
        <v>24140</v>
      </c>
    </row>
    <row r="299" spans="1:8" x14ac:dyDescent="0.3">
      <c r="A299" t="s">
        <v>310</v>
      </c>
      <c r="B299" s="1">
        <v>2016</v>
      </c>
      <c r="C299" s="1">
        <v>1</v>
      </c>
      <c r="D299" t="s">
        <v>14</v>
      </c>
      <c r="E299" t="s">
        <v>8</v>
      </c>
      <c r="F299" s="1">
        <v>2</v>
      </c>
      <c r="G299" s="3">
        <v>36283</v>
      </c>
      <c r="H299" s="2">
        <v>27321</v>
      </c>
    </row>
    <row r="300" spans="1:8" x14ac:dyDescent="0.3">
      <c r="A300" t="s">
        <v>311</v>
      </c>
      <c r="B300" s="1">
        <v>2021</v>
      </c>
      <c r="C300" s="1">
        <v>3</v>
      </c>
      <c r="D300" t="s">
        <v>35</v>
      </c>
      <c r="E300" t="s">
        <v>18</v>
      </c>
      <c r="F300" s="1">
        <v>6</v>
      </c>
      <c r="G300" s="3"/>
      <c r="H300" s="2">
        <v>0</v>
      </c>
    </row>
    <row r="301" spans="1:8" x14ac:dyDescent="0.3">
      <c r="A301" t="s">
        <v>312</v>
      </c>
      <c r="B301" s="1">
        <v>2024</v>
      </c>
      <c r="C301" s="1">
        <v>1</v>
      </c>
      <c r="D301" t="s">
        <v>10</v>
      </c>
      <c r="E301" t="s">
        <v>8</v>
      </c>
      <c r="F301" s="1">
        <v>1</v>
      </c>
      <c r="G301" s="3">
        <v>11821</v>
      </c>
      <c r="H301" s="2">
        <v>25953</v>
      </c>
    </row>
    <row r="302" spans="1:8" x14ac:dyDescent="0.3">
      <c r="A302" t="s">
        <v>313</v>
      </c>
      <c r="B302" s="1">
        <v>2022</v>
      </c>
      <c r="C302" s="1">
        <v>1</v>
      </c>
      <c r="D302" t="s">
        <v>10</v>
      </c>
      <c r="E302" t="s">
        <v>8</v>
      </c>
      <c r="F302" s="1">
        <v>2</v>
      </c>
      <c r="G302" s="3">
        <v>30160</v>
      </c>
      <c r="H302" s="2">
        <v>13847</v>
      </c>
    </row>
    <row r="303" spans="1:8" x14ac:dyDescent="0.3">
      <c r="A303" t="s">
        <v>314</v>
      </c>
      <c r="B303" s="1">
        <v>2015</v>
      </c>
      <c r="C303" s="1">
        <v>2</v>
      </c>
      <c r="D303" t="s">
        <v>9</v>
      </c>
      <c r="E303" t="s">
        <v>8</v>
      </c>
      <c r="F303" s="1">
        <v>2</v>
      </c>
      <c r="G303" s="3">
        <v>13393</v>
      </c>
      <c r="H303" s="2">
        <v>5974</v>
      </c>
    </row>
    <row r="304" spans="1:8" x14ac:dyDescent="0.3">
      <c r="A304" t="s">
        <v>315</v>
      </c>
      <c r="B304" s="1">
        <v>2021</v>
      </c>
      <c r="C304" s="1">
        <v>3</v>
      </c>
      <c r="D304" t="s">
        <v>10</v>
      </c>
      <c r="E304" t="s">
        <v>8</v>
      </c>
      <c r="F304" s="1">
        <v>12</v>
      </c>
      <c r="G304" s="3">
        <v>21515</v>
      </c>
      <c r="H304" s="2">
        <v>0</v>
      </c>
    </row>
    <row r="305" spans="1:8" x14ac:dyDescent="0.3">
      <c r="A305" t="s">
        <v>316</v>
      </c>
      <c r="B305" s="1">
        <v>2022</v>
      </c>
      <c r="C305" s="1">
        <v>2</v>
      </c>
      <c r="D305" t="s">
        <v>26</v>
      </c>
      <c r="E305" t="s">
        <v>8</v>
      </c>
      <c r="F305" s="1">
        <v>5</v>
      </c>
      <c r="G305" s="3">
        <v>21657</v>
      </c>
      <c r="H305" s="2">
        <v>9353</v>
      </c>
    </row>
    <row r="306" spans="1:8" x14ac:dyDescent="0.3">
      <c r="A306" t="s">
        <v>317</v>
      </c>
      <c r="B306" s="1">
        <v>2023</v>
      </c>
      <c r="C306" s="1">
        <v>4</v>
      </c>
      <c r="D306" t="s">
        <v>45</v>
      </c>
      <c r="E306" t="s">
        <v>18</v>
      </c>
      <c r="F306" s="1">
        <v>10</v>
      </c>
      <c r="G306" s="3">
        <v>12607</v>
      </c>
      <c r="H306" s="2">
        <v>26097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B526-E305-4EE8-9900-453E29C36E37}">
  <dimension ref="B1:E12"/>
  <sheetViews>
    <sheetView tabSelected="1" workbookViewId="0">
      <selection activeCell="E16" sqref="E16"/>
    </sheetView>
  </sheetViews>
  <sheetFormatPr defaultRowHeight="14.4" x14ac:dyDescent="0.3"/>
  <cols>
    <col min="1" max="1" width="4.44140625" customWidth="1"/>
    <col min="2" max="2" width="5" bestFit="1" customWidth="1"/>
    <col min="3" max="3" width="22.44140625" bestFit="1" customWidth="1"/>
    <col min="4" max="4" width="21.21875" customWidth="1"/>
    <col min="5" max="5" width="23.21875" customWidth="1"/>
  </cols>
  <sheetData>
    <row r="1" spans="2:5" ht="15" thickBot="1" x14ac:dyDescent="0.35"/>
    <row r="2" spans="2:5" ht="43.8" thickBot="1" x14ac:dyDescent="0.35">
      <c r="B2" s="20" t="s">
        <v>0</v>
      </c>
      <c r="C2" s="17" t="s">
        <v>356</v>
      </c>
      <c r="D2" s="9" t="s">
        <v>357</v>
      </c>
      <c r="E2" s="10" t="s">
        <v>358</v>
      </c>
    </row>
    <row r="3" spans="2:5" x14ac:dyDescent="0.3">
      <c r="B3" s="19">
        <v>2015</v>
      </c>
      <c r="C3" s="5">
        <f>COUNTIFS(Articles!$F$2:$F$306,"&gt;5",Articles!$B$2:$B$306,$B3)</f>
        <v>8</v>
      </c>
      <c r="D3" s="11">
        <f>SUMIFS(Articles!$H$2:$H$306,Articles!$G$2:$G$306,"&gt;25000",Articles!$B$2:$B$306,$B3)</f>
        <v>194476</v>
      </c>
      <c r="E3" s="16">
        <f>AVERAGEIFS(Articles!$F$2:$F$306,Articles!$H$2:$H$306, "&lt;=10000", Articles!$B$2:$B$306, 'Press campaign'!$B3)</f>
        <v>5.833333333333333</v>
      </c>
    </row>
    <row r="4" spans="2:5" x14ac:dyDescent="0.3">
      <c r="B4" s="7">
        <v>2016</v>
      </c>
      <c r="C4" s="6">
        <f>COUNTIFS(Articles!$F$2:$F$306,"&gt;5",Articles!$B$2:$B$306,$B4)</f>
        <v>21</v>
      </c>
      <c r="D4" s="12">
        <f>SUMIFS(Articles!$H$2:$H$306,Articles!$G$2:$G$306,"&gt;25000",Articles!$B$2:$B$306,$B4)</f>
        <v>148879</v>
      </c>
      <c r="E4" s="13">
        <f>AVERAGEIFS(Articles!$F$2:$F$306,Articles!$H$2:$H$306, "&lt;=10000", Articles!$B$2:$B$306, 'Press campaign'!$B4)</f>
        <v>9.25</v>
      </c>
    </row>
    <row r="5" spans="2:5" x14ac:dyDescent="0.3">
      <c r="B5" s="7">
        <v>2017</v>
      </c>
      <c r="C5" s="6">
        <f>COUNTIFS(Articles!$F$2:$F$306,"&gt;5",Articles!$B$2:$B$306,$B5)</f>
        <v>17</v>
      </c>
      <c r="D5" s="12">
        <f>SUMIFS(Articles!$H$2:$H$306,Articles!$G$2:$G$306,"&gt;25000",Articles!$B$2:$B$306,$B5)</f>
        <v>112539</v>
      </c>
      <c r="E5" s="13">
        <f>AVERAGEIFS(Articles!$F$2:$F$306,Articles!$H$2:$H$306, "&lt;=10000", Articles!$B$2:$B$306, 'Press campaign'!$B5)</f>
        <v>9.0909090909090917</v>
      </c>
    </row>
    <row r="6" spans="2:5" x14ac:dyDescent="0.3">
      <c r="B6" s="7">
        <v>2018</v>
      </c>
      <c r="C6" s="6">
        <f>COUNTIFS(Articles!$F$2:$F$306,"&gt;5",Articles!$B$2:$B$306,$B6)</f>
        <v>28</v>
      </c>
      <c r="D6" s="12">
        <f>SUMIFS(Articles!$H$2:$H$306,Articles!$G$2:$G$306,"&gt;25000",Articles!$B$2:$B$306,$B6)</f>
        <v>116459</v>
      </c>
      <c r="E6" s="13">
        <f>AVERAGEIFS(Articles!$F$2:$F$306,Articles!$H$2:$H$306, "&lt;=10000", Articles!$B$2:$B$306, 'Press campaign'!$B6)</f>
        <v>7.7058823529411766</v>
      </c>
    </row>
    <row r="7" spans="2:5" x14ac:dyDescent="0.3">
      <c r="B7" s="7">
        <v>2019</v>
      </c>
      <c r="C7" s="6">
        <f>COUNTIFS(Articles!$F$2:$F$306,"&gt;5",Articles!$B$2:$B$306,$B7)</f>
        <v>19</v>
      </c>
      <c r="D7" s="12">
        <f>SUMIFS(Articles!$H$2:$H$306,Articles!$G$2:$G$306,"&gt;25000",Articles!$B$2:$B$306,$B7)</f>
        <v>158303</v>
      </c>
      <c r="E7" s="13">
        <f>AVERAGEIFS(Articles!$F$2:$F$306,Articles!$H$2:$H$306, "&lt;=10000", Articles!$B$2:$B$306, 'Press campaign'!$B7)</f>
        <v>7.7222222222222223</v>
      </c>
    </row>
    <row r="8" spans="2:5" x14ac:dyDescent="0.3">
      <c r="B8" s="7">
        <v>2020</v>
      </c>
      <c r="C8" s="6">
        <f>COUNTIFS(Articles!$F$2:$F$306,"&gt;5",Articles!$B$2:$B$306,$B8)</f>
        <v>15</v>
      </c>
      <c r="D8" s="12">
        <f>SUMIFS(Articles!$H$2:$H$306,Articles!$G$2:$G$306,"&gt;25000",Articles!$B$2:$B$306,$B8)</f>
        <v>191485</v>
      </c>
      <c r="E8" s="13">
        <f>AVERAGEIFS(Articles!$F$2:$F$306,Articles!$H$2:$H$306, "&lt;=10000", Articles!$B$2:$B$306, 'Press campaign'!$B8)</f>
        <v>7.9230769230769234</v>
      </c>
    </row>
    <row r="9" spans="2:5" x14ac:dyDescent="0.3">
      <c r="B9" s="7">
        <v>2021</v>
      </c>
      <c r="C9" s="6">
        <f>COUNTIFS(Articles!$F$2:$F$306,"&gt;5",Articles!$B$2:$B$306,$B9)</f>
        <v>24</v>
      </c>
      <c r="D9" s="12">
        <f>SUMIFS(Articles!$H$2:$H$306,Articles!$G$2:$G$306,"&gt;25000",Articles!$B$2:$B$306,$B9)</f>
        <v>184953</v>
      </c>
      <c r="E9" s="13">
        <f>AVERAGEIFS(Articles!$F$2:$F$306,Articles!$H$2:$H$306, "&lt;=10000", Articles!$B$2:$B$306, 'Press campaign'!$B9)</f>
        <v>7.5714285714285712</v>
      </c>
    </row>
    <row r="10" spans="2:5" x14ac:dyDescent="0.3">
      <c r="B10" s="7">
        <v>2022</v>
      </c>
      <c r="C10" s="6">
        <f>COUNTIFS(Articles!$F$2:$F$306,"&gt;5",Articles!$B$2:$B$306,$B10)</f>
        <v>21</v>
      </c>
      <c r="D10" s="12">
        <f>SUMIFS(Articles!$H$2:$H$306,Articles!$G$2:$G$306,"&gt;25000",Articles!$B$2:$B$306,$B10)</f>
        <v>239419</v>
      </c>
      <c r="E10" s="13">
        <f>AVERAGEIFS(Articles!$F$2:$F$306,Articles!$H$2:$H$306, "&lt;=10000", Articles!$B$2:$B$306, 'Press campaign'!$B10)</f>
        <v>5.8</v>
      </c>
    </row>
    <row r="11" spans="2:5" x14ac:dyDescent="0.3">
      <c r="B11" s="7">
        <v>2023</v>
      </c>
      <c r="C11" s="6">
        <f>COUNTIFS(Articles!$F$2:$F$306,"&gt;5",Articles!$B$2:$B$306,$B11)</f>
        <v>24</v>
      </c>
      <c r="D11" s="12">
        <f>SUMIFS(Articles!$H$2:$H$306,Articles!$G$2:$G$306,"&gt;25000",Articles!$B$2:$B$306,$B11)</f>
        <v>252942</v>
      </c>
      <c r="E11" s="13">
        <f>AVERAGEIFS(Articles!$F$2:$F$306,Articles!$H$2:$H$306, "&lt;=10000", Articles!$B$2:$B$306, 'Press campaign'!$B11)</f>
        <v>9</v>
      </c>
    </row>
    <row r="12" spans="2:5" ht="15" thickBot="1" x14ac:dyDescent="0.35">
      <c r="B12" s="8">
        <v>2024</v>
      </c>
      <c r="C12" s="18">
        <f>COUNTIFS(Articles!$F$2:$F$306,"&gt;5",Articles!$B$2:$B$306,$B12)</f>
        <v>27</v>
      </c>
      <c r="D12" s="14">
        <f>SUMIFS(Articles!$H$2:$H$306,Articles!$G$2:$G$306,"&gt;25000",Articles!$B$2:$B$306,$B12)</f>
        <v>169674</v>
      </c>
      <c r="E12" s="15">
        <f>AVERAGEIFS(Articles!$F$2:$F$306,Articles!$H$2:$H$306, "&lt;=10000", Articles!$B$2:$B$306, 'Press campaign'!$B12)</f>
        <v>9.526315789473685</v>
      </c>
    </row>
  </sheetData>
  <sortState xmlns:xlrd2="http://schemas.microsoft.com/office/spreadsheetml/2017/richdata2" ref="B3:C12">
    <sortCondition ref="B3:B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</vt:lpstr>
      <vt:lpstr>Press 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2026-02-01T15:27:44Z</dcterms:modified>
</cp:coreProperties>
</file>
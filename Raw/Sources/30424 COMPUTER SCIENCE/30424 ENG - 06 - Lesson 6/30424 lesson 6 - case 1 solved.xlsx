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mau\Desktop\30424\2024-2025\Lezioni draft\30424 ENG - 06 - Lesson 6 v.1.1\2. To upload on BBoard\"/>
    </mc:Choice>
  </mc:AlternateContent>
  <xr:revisionPtr revIDLastSave="0" documentId="13_ncr:1_{DC14210D-41C6-4081-AB64-4765B64754F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ase development" sheetId="9" r:id="rId1"/>
    <sheet name="Companies" sheetId="1" r:id="rId2"/>
    <sheet name="Analysis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7" i="2" l="1"/>
  <c r="B14" i="2"/>
  <c r="B15" i="2" l="1"/>
  <c r="B3" i="2"/>
  <c r="C3" i="2"/>
  <c r="D3" i="2"/>
  <c r="B4" i="2"/>
  <c r="C4" i="2"/>
  <c r="D4" i="2"/>
  <c r="B5" i="2"/>
  <c r="C5" i="2"/>
  <c r="D5" i="2"/>
  <c r="B6" i="2"/>
  <c r="C6" i="2"/>
  <c r="D6" i="2"/>
  <c r="B7" i="2"/>
  <c r="C7" i="2"/>
  <c r="D7" i="2"/>
  <c r="B8" i="2"/>
  <c r="C8" i="2"/>
  <c r="D8" i="2"/>
  <c r="B9" i="2"/>
  <c r="C9" i="2"/>
  <c r="D9" i="2"/>
  <c r="B10" i="2"/>
  <c r="C10" i="2"/>
  <c r="D10" i="2"/>
  <c r="B11" i="2"/>
  <c r="C11" i="2"/>
  <c r="D11" i="2"/>
  <c r="D2" i="2"/>
  <c r="C2" i="2"/>
  <c r="B2" i="2"/>
</calcChain>
</file>

<file path=xl/sharedStrings.xml><?xml version="1.0" encoding="utf-8"?>
<sst xmlns="http://schemas.openxmlformats.org/spreadsheetml/2006/main" count="256" uniqueCount="144">
  <si>
    <t>Company</t>
  </si>
  <si>
    <t>No. of Employees</t>
  </si>
  <si>
    <t>Software used</t>
  </si>
  <si>
    <t>GSS</t>
  </si>
  <si>
    <t>Alpival</t>
  </si>
  <si>
    <t>Alta V&amp;H</t>
  </si>
  <si>
    <t>Altamar International</t>
  </si>
  <si>
    <t>GovSW</t>
  </si>
  <si>
    <t>Anamet Italy</t>
  </si>
  <si>
    <t>Antalis</t>
  </si>
  <si>
    <t>Antarea</t>
  </si>
  <si>
    <t>Anthalo'</t>
  </si>
  <si>
    <t>Argiano</t>
  </si>
  <si>
    <t>Arjo Wiggins Sp Italia</t>
  </si>
  <si>
    <t>Artusi</t>
  </si>
  <si>
    <t>Asp</t>
  </si>
  <si>
    <t>AT&amp;TT</t>
  </si>
  <si>
    <t>Atos Origin</t>
  </si>
  <si>
    <t>Attor</t>
  </si>
  <si>
    <t>Augustin</t>
  </si>
  <si>
    <t>Aventiss</t>
  </si>
  <si>
    <t>Barley &amp; Son</t>
  </si>
  <si>
    <t>Bellco</t>
  </si>
  <si>
    <t>Bezzi Unica</t>
  </si>
  <si>
    <t>Biesse</t>
  </si>
  <si>
    <t>Bis Byte</t>
  </si>
  <si>
    <t>Bosh</t>
  </si>
  <si>
    <t>Byte Sh</t>
  </si>
  <si>
    <t>Bytech</t>
  </si>
  <si>
    <t>Cablai</t>
  </si>
  <si>
    <t>Cata Env</t>
  </si>
  <si>
    <t>Cata Lai</t>
  </si>
  <si>
    <t>Cavis</t>
  </si>
  <si>
    <t>Cdar</t>
  </si>
  <si>
    <t>Cfp</t>
  </si>
  <si>
    <t>Cga</t>
  </si>
  <si>
    <t>Diageo</t>
  </si>
  <si>
    <t>Diasorin</t>
  </si>
  <si>
    <t>Dideco</t>
  </si>
  <si>
    <t>Druetta</t>
  </si>
  <si>
    <t>Eurocon</t>
  </si>
  <si>
    <t>Fisia Ital</t>
  </si>
  <si>
    <t>Flexider</t>
  </si>
  <si>
    <t>Frank Red</t>
  </si>
  <si>
    <t>Hbo</t>
  </si>
  <si>
    <t>Hdbc</t>
  </si>
  <si>
    <t>Hro</t>
  </si>
  <si>
    <t>Ibs</t>
  </si>
  <si>
    <t>Isagro Copper</t>
  </si>
  <si>
    <t>Jumbo Ge</t>
  </si>
  <si>
    <t>Jumbo Hbo</t>
  </si>
  <si>
    <t>Kss</t>
  </si>
  <si>
    <t>Lifi</t>
  </si>
  <si>
    <t>Mac</t>
  </si>
  <si>
    <t>Marcheban</t>
  </si>
  <si>
    <t>Misal Arex</t>
  </si>
  <si>
    <t>Mulieri &amp; Barlotti</t>
  </si>
  <si>
    <t>Neos</t>
  </si>
  <si>
    <t>Neumayer</t>
  </si>
  <si>
    <t>Onana</t>
  </si>
  <si>
    <t>Onda</t>
  </si>
  <si>
    <t>Pakerdell</t>
  </si>
  <si>
    <t>Pde</t>
  </si>
  <si>
    <t>Publikorp</t>
  </si>
  <si>
    <t>Renaissance.it</t>
  </si>
  <si>
    <t>Rhodia Engineering</t>
  </si>
  <si>
    <t>Rhodia Italia</t>
  </si>
  <si>
    <t>Rhodia Performance</t>
  </si>
  <si>
    <t>Sanopian</t>
  </si>
  <si>
    <t>Sapp Consulting</t>
  </si>
  <si>
    <t>Satiz</t>
  </si>
  <si>
    <t>Saugor</t>
  </si>
  <si>
    <t>Savic</t>
  </si>
  <si>
    <t>Sc Infor</t>
  </si>
  <si>
    <t>Sinac</t>
  </si>
  <si>
    <t>Sopovin</t>
  </si>
  <si>
    <t>Sorin</t>
  </si>
  <si>
    <t>Sportime</t>
  </si>
  <si>
    <t>Sviluppo Dsc</t>
  </si>
  <si>
    <t>Tekfor</t>
  </si>
  <si>
    <t>Tenutar</t>
  </si>
  <si>
    <t>Tirabassi</t>
  </si>
  <si>
    <t>Trust</t>
  </si>
  <si>
    <t>Turinal</t>
  </si>
  <si>
    <t>Unical</t>
  </si>
  <si>
    <t>Unicas</t>
  </si>
  <si>
    <t>Valeo</t>
  </si>
  <si>
    <t>Vecon</t>
  </si>
  <si>
    <t>Volplast</t>
  </si>
  <si>
    <t>Vte</t>
  </si>
  <si>
    <t>Whitehead Alenia</t>
  </si>
  <si>
    <t>Wtg</t>
  </si>
  <si>
    <t>Wwt</t>
  </si>
  <si>
    <t>Revenues</t>
  </si>
  <si>
    <t>ZenAct</t>
  </si>
  <si>
    <t>AVapi</t>
  </si>
  <si>
    <t>Zack</t>
  </si>
  <si>
    <t>FlashD</t>
  </si>
  <si>
    <t>RingX</t>
  </si>
  <si>
    <t>Flex Box</t>
  </si>
  <si>
    <t>eTax</t>
  </si>
  <si>
    <t>AxisB</t>
  </si>
  <si>
    <t>XD</t>
  </si>
  <si>
    <t>N. companies</t>
  </si>
  <si>
    <t>Total employees</t>
  </si>
  <si>
    <t>Average revenues</t>
  </si>
  <si>
    <t>N. of companies with more than 100 employees</t>
  </si>
  <si>
    <t>N. of companies with revenues &gt;= 80,000,000</t>
  </si>
  <si>
    <t>Abk</t>
  </si>
  <si>
    <t>Ade.Ma</t>
  </si>
  <si>
    <t>Ages</t>
  </si>
  <si>
    <t>Arechi</t>
  </si>
  <si>
    <t>Ase</t>
  </si>
  <si>
    <t>Asteria</t>
  </si>
  <si>
    <t>Bellavie &amp; C.</t>
  </si>
  <si>
    <t>Beta Service</t>
  </si>
  <si>
    <t>Exide Italia</t>
  </si>
  <si>
    <t>Geminon</t>
  </si>
  <si>
    <t>Mara Tac</t>
  </si>
  <si>
    <t>Nostar</t>
  </si>
  <si>
    <t>Ritech</t>
  </si>
  <si>
    <t>Royalre</t>
  </si>
  <si>
    <t>Sanen</t>
  </si>
  <si>
    <t>Savelli</t>
  </si>
  <si>
    <t>Sigma</t>
  </si>
  <si>
    <t>Sinport</t>
  </si>
  <si>
    <t>Sirio</t>
  </si>
  <si>
    <t>Sogefi</t>
  </si>
  <si>
    <t>Stipa</t>
  </si>
  <si>
    <t>Unicem</t>
  </si>
  <si>
    <t>Lesson 6 - Case 1</t>
  </si>
  <si>
    <t>To solve the case we need to:</t>
  </si>
  <si>
    <t>Create the new Analysis worksheet</t>
  </si>
  <si>
    <t>Create the list of software used (unique values) in column A with the Remove Duplicates command</t>
  </si>
  <si>
    <t>Calculate in a new column the number of companies using each software (COUNTIF function)</t>
  </si>
  <si>
    <t>Calculate in two new columns the total number of employees (SUMIF function) and the average amount of revenues (AVERAGEIF function), for each software</t>
  </si>
  <si>
    <t>1.</t>
  </si>
  <si>
    <t>2.</t>
  </si>
  <si>
    <t>3.</t>
  </si>
  <si>
    <t>4.</t>
  </si>
  <si>
    <t>5.</t>
  </si>
  <si>
    <t>Calculate, in the Analysis worksheet and using the COUNTIF function, how many companies have more than 100 employees and how many have revenues greater than or equal to 80,000,000 $</t>
  </si>
  <si>
    <t>My personal notes:</t>
  </si>
  <si>
    <t>N. of companies with more than 100 employees and revenues &gt;= 50,000,000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</si>
</sst>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.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3" fontId="0" fillId="0" borderId="0" xfId="0" applyNumberFormat="1" applyAlignment="1">
      <alignment vertical="center"/>
    </xf>
    <xf numFmtId="164" fontId="0" fillId="0" borderId="0" xfId="0" applyNumberFormat="1"/>
    <xf numFmtId="0" fontId="1" fillId="0" borderId="3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2" borderId="1" xfId="0" applyFont="1" applyFill="1" applyBorder="1"/>
    <xf numFmtId="0" fontId="2" fillId="2" borderId="2" xfId="0" applyFont="1" applyFill="1" applyBorder="1" applyAlignment="1">
      <alignment horizontal="right" vertical="center" wrapText="1"/>
    </xf>
    <xf numFmtId="0" fontId="2" fillId="2" borderId="4" xfId="0" applyFont="1" applyFill="1" applyBorder="1" applyAlignment="1">
      <alignment horizontal="right" vertical="center" wrapText="1"/>
    </xf>
    <xf numFmtId="0" fontId="0" fillId="2" borderId="0" xfId="0" applyFill="1"/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horizontal="right" vertical="top"/>
    </xf>
    <xf numFmtId="0" fontId="4" fillId="2" borderId="0" xfId="0" applyFont="1" applyFill="1" applyAlignment="1">
      <alignment horizontal="justify" vertical="top" wrapText="1"/>
    </xf>
    <xf numFmtId="0" fontId="0" fillId="4" borderId="0" xfId="0" applyFill="1"/>
    <xf numFmtId="0" fontId="0" fillId="4" borderId="6" xfId="0" applyFill="1" applyBorder="1"/>
    <xf numFmtId="0" fontId="0" fillId="4" borderId="7" xfId="0" applyFill="1" applyBorder="1"/>
    <xf numFmtId="0" fontId="0" fillId="5" borderId="0" xfId="0" applyFill="1"/>
    <xf numFmtId="0" fontId="0" fillId="5" borderId="0" xfId="0" applyFill="1" applyAlignment="1">
      <alignment vertical="center"/>
    </xf>
    <xf numFmtId="0" fontId="2" fillId="2" borderId="8" xfId="0" applyFont="1" applyFill="1" applyBorder="1" applyAlignment="1">
      <alignment horizontal="right" vertical="center" wrapText="1"/>
    </xf>
    <xf numFmtId="0" fontId="1" fillId="0" borderId="9" xfId="0" applyFont="1" applyBorder="1" applyAlignment="1">
      <alignment vertical="center"/>
    </xf>
    <xf numFmtId="0" fontId="5" fillId="3" borderId="0" xfId="0" applyFont="1" applyFill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E55CC-F343-4FFB-A9C4-D0BB48924A53}">
  <dimension ref="A1:H10"/>
  <sheetViews>
    <sheetView showGridLines="0" tabSelected="1" zoomScale="130" zoomScaleNormal="130" workbookViewId="0"/>
  </sheetViews>
  <sheetFormatPr defaultRowHeight="15" x14ac:dyDescent="0.25"/>
  <cols>
    <col min="1" max="1" width="3.7109375" customWidth="1"/>
    <col min="2" max="2" width="4.7109375" customWidth="1"/>
    <col min="3" max="3" width="82.42578125" customWidth="1"/>
    <col min="4" max="6" width="3.7109375" customWidth="1"/>
    <col min="7" max="7" width="58.42578125" customWidth="1"/>
    <col min="8" max="8" width="3.7109375" customWidth="1"/>
  </cols>
  <sheetData>
    <row r="1" spans="1:8" x14ac:dyDescent="0.25">
      <c r="A1" s="10"/>
      <c r="B1" s="10"/>
      <c r="C1" s="10"/>
      <c r="D1" s="10"/>
    </row>
    <row r="2" spans="1:8" ht="25.5" customHeight="1" x14ac:dyDescent="0.25">
      <c r="A2" s="10"/>
      <c r="B2" s="21" t="s">
        <v>130</v>
      </c>
      <c r="C2" s="21"/>
      <c r="D2" s="10"/>
    </row>
    <row r="3" spans="1:8" ht="21.75" customHeight="1" x14ac:dyDescent="0.25">
      <c r="A3" s="10"/>
      <c r="B3" s="10"/>
      <c r="C3" s="10"/>
      <c r="D3" s="10"/>
      <c r="F3" s="17"/>
      <c r="G3" s="18" t="s">
        <v>142</v>
      </c>
      <c r="H3" s="17"/>
    </row>
    <row r="4" spans="1:8" ht="23.25" customHeight="1" x14ac:dyDescent="0.25">
      <c r="A4" s="10"/>
      <c r="B4" s="11" t="s">
        <v>131</v>
      </c>
      <c r="C4" s="10"/>
      <c r="D4" s="10"/>
      <c r="F4" s="14"/>
      <c r="G4" s="15"/>
      <c r="H4" s="14"/>
    </row>
    <row r="5" spans="1:8" ht="29.25" customHeight="1" x14ac:dyDescent="0.25">
      <c r="A5" s="10"/>
      <c r="B5" s="12" t="s">
        <v>136</v>
      </c>
      <c r="C5" s="13" t="s">
        <v>132</v>
      </c>
      <c r="D5" s="10"/>
      <c r="F5" s="14"/>
      <c r="G5" s="16"/>
      <c r="H5" s="14"/>
    </row>
    <row r="6" spans="1:8" ht="46.5" customHeight="1" x14ac:dyDescent="0.25">
      <c r="A6" s="10"/>
      <c r="B6" s="12" t="s">
        <v>137</v>
      </c>
      <c r="C6" s="13" t="s">
        <v>133</v>
      </c>
      <c r="D6" s="10"/>
      <c r="F6" s="14"/>
      <c r="G6" s="16"/>
      <c r="H6" s="14"/>
    </row>
    <row r="7" spans="1:8" ht="46.5" customHeight="1" x14ac:dyDescent="0.25">
      <c r="A7" s="10"/>
      <c r="B7" s="12" t="s">
        <v>138</v>
      </c>
      <c r="C7" s="13" t="s">
        <v>134</v>
      </c>
      <c r="D7" s="10"/>
      <c r="F7" s="14"/>
      <c r="G7" s="16"/>
      <c r="H7" s="14"/>
    </row>
    <row r="8" spans="1:8" ht="46.5" customHeight="1" x14ac:dyDescent="0.25">
      <c r="A8" s="10"/>
      <c r="B8" s="12" t="s">
        <v>139</v>
      </c>
      <c r="C8" s="13" t="s">
        <v>135</v>
      </c>
      <c r="D8" s="10"/>
      <c r="F8" s="14"/>
      <c r="G8" s="16"/>
      <c r="H8" s="14"/>
    </row>
    <row r="9" spans="1:8" ht="56.25" customHeight="1" x14ac:dyDescent="0.25">
      <c r="A9" s="10"/>
      <c r="B9" s="12" t="s">
        <v>140</v>
      </c>
      <c r="C9" s="13" t="s">
        <v>141</v>
      </c>
      <c r="D9" s="10"/>
      <c r="F9" s="14"/>
      <c r="G9" s="16"/>
      <c r="H9" s="14"/>
    </row>
    <row r="10" spans="1:8" x14ac:dyDescent="0.25">
      <c r="A10" s="10"/>
      <c r="B10" s="10"/>
      <c r="C10" s="10"/>
      <c r="D10" s="10"/>
      <c r="F10" s="14"/>
      <c r="G10" s="14"/>
      <c r="H10" s="14"/>
    </row>
  </sheetData>
  <mergeCells count="1">
    <mergeCell ref="B2:C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2"/>
  <sheetViews>
    <sheetView workbookViewId="0"/>
  </sheetViews>
  <sheetFormatPr defaultRowHeight="15" x14ac:dyDescent="0.25"/>
  <cols>
    <col min="1" max="1" width="20.28515625" bestFit="1" customWidth="1"/>
    <col min="2" max="2" width="16.7109375" bestFit="1" customWidth="1"/>
    <col min="3" max="3" width="15.5703125" customWidth="1"/>
    <col min="4" max="4" width="16.28515625" bestFit="1" customWidth="1"/>
  </cols>
  <sheetData>
    <row r="1" spans="1:4" x14ac:dyDescent="0.25">
      <c r="A1" s="1" t="s">
        <v>0</v>
      </c>
      <c r="B1" s="1" t="s">
        <v>1</v>
      </c>
      <c r="C1" s="1" t="s">
        <v>93</v>
      </c>
      <c r="D1" s="1" t="s">
        <v>2</v>
      </c>
    </row>
    <row r="2" spans="1:4" x14ac:dyDescent="0.25">
      <c r="A2" t="s">
        <v>122</v>
      </c>
      <c r="B2">
        <v>72</v>
      </c>
      <c r="C2" s="4">
        <v>63129287</v>
      </c>
      <c r="D2" t="s">
        <v>100</v>
      </c>
    </row>
    <row r="3" spans="1:4" x14ac:dyDescent="0.25">
      <c r="A3" t="s">
        <v>12</v>
      </c>
      <c r="B3">
        <v>28</v>
      </c>
      <c r="C3" s="4">
        <v>23689047</v>
      </c>
      <c r="D3" t="s">
        <v>101</v>
      </c>
    </row>
    <row r="4" spans="1:4" x14ac:dyDescent="0.25">
      <c r="A4" t="s">
        <v>111</v>
      </c>
      <c r="B4">
        <v>30</v>
      </c>
      <c r="C4" s="4">
        <v>16521271</v>
      </c>
      <c r="D4" t="s">
        <v>98</v>
      </c>
    </row>
    <row r="5" spans="1:4" x14ac:dyDescent="0.25">
      <c r="A5" t="s">
        <v>39</v>
      </c>
      <c r="B5">
        <v>110</v>
      </c>
      <c r="C5" s="4">
        <v>48080676</v>
      </c>
      <c r="D5" t="s">
        <v>102</v>
      </c>
    </row>
    <row r="6" spans="1:4" x14ac:dyDescent="0.25">
      <c r="A6" t="s">
        <v>86</v>
      </c>
      <c r="B6">
        <v>33</v>
      </c>
      <c r="C6" s="4">
        <v>10059871</v>
      </c>
      <c r="D6" t="s">
        <v>98</v>
      </c>
    </row>
    <row r="7" spans="1:4" x14ac:dyDescent="0.25">
      <c r="A7" t="s">
        <v>42</v>
      </c>
      <c r="B7">
        <v>148</v>
      </c>
      <c r="C7" s="4">
        <v>76984730</v>
      </c>
      <c r="D7" t="s">
        <v>98</v>
      </c>
    </row>
    <row r="8" spans="1:4" x14ac:dyDescent="0.25">
      <c r="A8" t="s">
        <v>71</v>
      </c>
      <c r="B8">
        <v>77</v>
      </c>
      <c r="C8" s="4">
        <v>60779126</v>
      </c>
      <c r="D8" t="s">
        <v>96</v>
      </c>
    </row>
    <row r="9" spans="1:4" x14ac:dyDescent="0.25">
      <c r="A9" t="s">
        <v>50</v>
      </c>
      <c r="B9">
        <v>21</v>
      </c>
      <c r="C9" s="4">
        <v>10508842</v>
      </c>
      <c r="D9" t="s">
        <v>99</v>
      </c>
    </row>
    <row r="10" spans="1:4" x14ac:dyDescent="0.25">
      <c r="A10" t="s">
        <v>79</v>
      </c>
      <c r="B10">
        <v>107</v>
      </c>
      <c r="C10" s="4">
        <v>103611810</v>
      </c>
      <c r="D10" t="s">
        <v>94</v>
      </c>
    </row>
    <row r="11" spans="1:4" x14ac:dyDescent="0.25">
      <c r="A11" t="s">
        <v>95</v>
      </c>
      <c r="B11">
        <v>23</v>
      </c>
      <c r="C11" s="4">
        <v>7805824</v>
      </c>
      <c r="D11" t="s">
        <v>100</v>
      </c>
    </row>
    <row r="12" spans="1:4" x14ac:dyDescent="0.25">
      <c r="A12" t="s">
        <v>126</v>
      </c>
      <c r="B12">
        <v>127</v>
      </c>
      <c r="C12" s="4">
        <v>113496226</v>
      </c>
      <c r="D12" t="s">
        <v>99</v>
      </c>
    </row>
    <row r="13" spans="1:4" x14ac:dyDescent="0.25">
      <c r="A13" t="s">
        <v>38</v>
      </c>
      <c r="B13">
        <v>22</v>
      </c>
      <c r="C13" s="4">
        <v>5964850</v>
      </c>
      <c r="D13" t="s">
        <v>102</v>
      </c>
    </row>
    <row r="14" spans="1:4" x14ac:dyDescent="0.25">
      <c r="A14" t="s">
        <v>82</v>
      </c>
      <c r="B14">
        <v>34</v>
      </c>
      <c r="C14" s="4">
        <v>20671744</v>
      </c>
      <c r="D14" t="s">
        <v>3</v>
      </c>
    </row>
    <row r="15" spans="1:4" x14ac:dyDescent="0.25">
      <c r="A15" t="s">
        <v>110</v>
      </c>
      <c r="B15">
        <v>77</v>
      </c>
      <c r="C15" s="4">
        <v>33345715</v>
      </c>
      <c r="D15" t="s">
        <v>101</v>
      </c>
    </row>
    <row r="16" spans="1:4" x14ac:dyDescent="0.25">
      <c r="A16" t="s">
        <v>45</v>
      </c>
      <c r="B16">
        <v>36</v>
      </c>
      <c r="C16" s="4">
        <v>21376193</v>
      </c>
      <c r="D16" t="s">
        <v>94</v>
      </c>
    </row>
    <row r="17" spans="1:4" x14ac:dyDescent="0.25">
      <c r="A17" t="s">
        <v>57</v>
      </c>
      <c r="B17">
        <v>131</v>
      </c>
      <c r="C17" s="4">
        <v>32336328</v>
      </c>
      <c r="D17" t="s">
        <v>100</v>
      </c>
    </row>
    <row r="18" spans="1:4" x14ac:dyDescent="0.25">
      <c r="A18" t="s">
        <v>9</v>
      </c>
      <c r="B18">
        <v>15</v>
      </c>
      <c r="C18" s="4">
        <v>8433520</v>
      </c>
      <c r="D18" t="s">
        <v>3</v>
      </c>
    </row>
    <row r="19" spans="1:4" x14ac:dyDescent="0.25">
      <c r="A19" t="s">
        <v>60</v>
      </c>
      <c r="B19">
        <v>17</v>
      </c>
      <c r="C19" s="4">
        <v>7181226</v>
      </c>
      <c r="D19" t="s">
        <v>96</v>
      </c>
    </row>
    <row r="20" spans="1:4" x14ac:dyDescent="0.25">
      <c r="A20" t="s">
        <v>116</v>
      </c>
      <c r="B20">
        <v>36</v>
      </c>
      <c r="C20" s="4">
        <v>15525494</v>
      </c>
      <c r="D20" t="s">
        <v>7</v>
      </c>
    </row>
    <row r="21" spans="1:4" x14ac:dyDescent="0.25">
      <c r="A21" t="s">
        <v>74</v>
      </c>
      <c r="B21">
        <v>21</v>
      </c>
      <c r="C21" s="4">
        <v>10853138</v>
      </c>
      <c r="D21" t="s">
        <v>96</v>
      </c>
    </row>
    <row r="22" spans="1:4" x14ac:dyDescent="0.25">
      <c r="A22" t="s">
        <v>118</v>
      </c>
      <c r="B22">
        <v>17</v>
      </c>
      <c r="C22" s="4">
        <v>2004450</v>
      </c>
      <c r="D22" t="s">
        <v>7</v>
      </c>
    </row>
    <row r="23" spans="1:4" x14ac:dyDescent="0.25">
      <c r="A23" t="s">
        <v>75</v>
      </c>
      <c r="B23">
        <v>31</v>
      </c>
      <c r="C23" s="4">
        <v>14125640</v>
      </c>
      <c r="D23" t="s">
        <v>100</v>
      </c>
    </row>
    <row r="24" spans="1:4" x14ac:dyDescent="0.25">
      <c r="A24" t="s">
        <v>119</v>
      </c>
      <c r="B24">
        <v>49</v>
      </c>
      <c r="C24" s="4">
        <v>9678489</v>
      </c>
      <c r="D24" t="s">
        <v>102</v>
      </c>
    </row>
    <row r="25" spans="1:4" x14ac:dyDescent="0.25">
      <c r="A25" t="s">
        <v>61</v>
      </c>
      <c r="B25">
        <v>47</v>
      </c>
      <c r="C25" s="4">
        <v>13095109</v>
      </c>
      <c r="D25" t="s">
        <v>101</v>
      </c>
    </row>
    <row r="26" spans="1:4" x14ac:dyDescent="0.25">
      <c r="A26" t="s">
        <v>70</v>
      </c>
      <c r="B26">
        <v>29</v>
      </c>
      <c r="C26" s="4">
        <v>5805706</v>
      </c>
      <c r="D26" t="s">
        <v>101</v>
      </c>
    </row>
    <row r="27" spans="1:4" x14ac:dyDescent="0.25">
      <c r="A27" t="s">
        <v>22</v>
      </c>
      <c r="B27">
        <v>270</v>
      </c>
      <c r="C27" s="4">
        <v>237638446</v>
      </c>
      <c r="D27" t="s">
        <v>3</v>
      </c>
    </row>
    <row r="28" spans="1:4" x14ac:dyDescent="0.25">
      <c r="A28" t="s">
        <v>25</v>
      </c>
      <c r="B28">
        <v>28</v>
      </c>
      <c r="C28" s="4">
        <v>23071013</v>
      </c>
      <c r="D28" t="s">
        <v>7</v>
      </c>
    </row>
    <row r="29" spans="1:4" x14ac:dyDescent="0.25">
      <c r="A29" t="s">
        <v>8</v>
      </c>
      <c r="B29">
        <v>73</v>
      </c>
      <c r="C29" s="4">
        <v>44853938</v>
      </c>
      <c r="D29" t="s">
        <v>98</v>
      </c>
    </row>
    <row r="30" spans="1:4" x14ac:dyDescent="0.25">
      <c r="A30" t="s">
        <v>21</v>
      </c>
      <c r="B30">
        <v>41</v>
      </c>
      <c r="C30" s="4">
        <v>39033330</v>
      </c>
      <c r="D30" t="s">
        <v>100</v>
      </c>
    </row>
    <row r="31" spans="1:4" x14ac:dyDescent="0.25">
      <c r="A31" t="s">
        <v>43</v>
      </c>
      <c r="B31">
        <v>12</v>
      </c>
      <c r="C31" s="4">
        <v>1293996</v>
      </c>
      <c r="D31" t="s">
        <v>99</v>
      </c>
    </row>
    <row r="32" spans="1:4" x14ac:dyDescent="0.25">
      <c r="A32" t="s">
        <v>125</v>
      </c>
      <c r="B32">
        <v>22</v>
      </c>
      <c r="C32" s="4">
        <v>13131275</v>
      </c>
      <c r="D32" t="s">
        <v>100</v>
      </c>
    </row>
    <row r="33" spans="1:4" x14ac:dyDescent="0.25">
      <c r="A33" t="s">
        <v>29</v>
      </c>
      <c r="B33">
        <v>37</v>
      </c>
      <c r="C33" s="4">
        <v>18467170</v>
      </c>
      <c r="D33" t="s">
        <v>100</v>
      </c>
    </row>
    <row r="34" spans="1:4" x14ac:dyDescent="0.25">
      <c r="A34" t="s">
        <v>62</v>
      </c>
      <c r="B34">
        <v>24</v>
      </c>
      <c r="C34" s="4">
        <v>15360154</v>
      </c>
      <c r="D34" t="s">
        <v>7</v>
      </c>
    </row>
    <row r="35" spans="1:4" x14ac:dyDescent="0.25">
      <c r="A35" t="s">
        <v>18</v>
      </c>
      <c r="B35">
        <v>16</v>
      </c>
      <c r="C35" s="4">
        <v>5442838</v>
      </c>
      <c r="D35" t="s">
        <v>99</v>
      </c>
    </row>
    <row r="36" spans="1:4" x14ac:dyDescent="0.25">
      <c r="A36" t="s">
        <v>4</v>
      </c>
      <c r="B36">
        <v>79</v>
      </c>
      <c r="C36" s="4">
        <v>67569654</v>
      </c>
      <c r="D36" t="s">
        <v>96</v>
      </c>
    </row>
    <row r="37" spans="1:4" x14ac:dyDescent="0.25">
      <c r="A37" t="s">
        <v>49</v>
      </c>
      <c r="B37">
        <v>22</v>
      </c>
      <c r="C37" s="4">
        <v>15638060</v>
      </c>
      <c r="D37" t="s">
        <v>100</v>
      </c>
    </row>
    <row r="38" spans="1:4" x14ac:dyDescent="0.25">
      <c r="A38" t="s">
        <v>59</v>
      </c>
      <c r="B38">
        <v>47</v>
      </c>
      <c r="C38" s="4">
        <v>16177730</v>
      </c>
      <c r="D38" t="s">
        <v>3</v>
      </c>
    </row>
    <row r="39" spans="1:4" x14ac:dyDescent="0.25">
      <c r="A39" t="s">
        <v>19</v>
      </c>
      <c r="B39">
        <v>19</v>
      </c>
      <c r="C39" s="4">
        <v>7894984</v>
      </c>
      <c r="D39" t="s">
        <v>99</v>
      </c>
    </row>
    <row r="40" spans="1:4" x14ac:dyDescent="0.25">
      <c r="A40" t="s">
        <v>17</v>
      </c>
      <c r="B40">
        <v>73</v>
      </c>
      <c r="C40" s="4">
        <v>48540647</v>
      </c>
      <c r="D40" t="s">
        <v>98</v>
      </c>
    </row>
    <row r="41" spans="1:4" x14ac:dyDescent="0.25">
      <c r="A41" t="s">
        <v>53</v>
      </c>
      <c r="B41">
        <v>24</v>
      </c>
      <c r="C41" s="4">
        <v>9566263</v>
      </c>
      <c r="D41" t="s">
        <v>101</v>
      </c>
    </row>
    <row r="42" spans="1:4" x14ac:dyDescent="0.25">
      <c r="A42" t="s">
        <v>46</v>
      </c>
      <c r="B42">
        <v>41</v>
      </c>
      <c r="C42" s="4">
        <v>6803599</v>
      </c>
      <c r="D42" t="s">
        <v>99</v>
      </c>
    </row>
    <row r="43" spans="1:4" x14ac:dyDescent="0.25">
      <c r="A43" t="s">
        <v>81</v>
      </c>
      <c r="B43">
        <v>278</v>
      </c>
      <c r="C43" s="4">
        <v>77520908</v>
      </c>
      <c r="D43" t="s">
        <v>98</v>
      </c>
    </row>
    <row r="44" spans="1:4" x14ac:dyDescent="0.25">
      <c r="A44" t="s">
        <v>56</v>
      </c>
      <c r="B44">
        <v>351</v>
      </c>
      <c r="C44" s="4">
        <v>112513276</v>
      </c>
      <c r="D44" t="s">
        <v>98</v>
      </c>
    </row>
    <row r="45" spans="1:4" x14ac:dyDescent="0.25">
      <c r="A45" t="s">
        <v>77</v>
      </c>
      <c r="B45">
        <v>62</v>
      </c>
      <c r="C45" s="4">
        <v>56743719</v>
      </c>
      <c r="D45" t="s">
        <v>100</v>
      </c>
    </row>
    <row r="46" spans="1:4" x14ac:dyDescent="0.25">
      <c r="A46" t="s">
        <v>112</v>
      </c>
      <c r="B46">
        <v>102</v>
      </c>
      <c r="C46" s="4">
        <v>97803988</v>
      </c>
      <c r="D46" t="s">
        <v>102</v>
      </c>
    </row>
    <row r="47" spans="1:4" x14ac:dyDescent="0.25">
      <c r="A47" t="s">
        <v>11</v>
      </c>
      <c r="B47">
        <v>212</v>
      </c>
      <c r="C47" s="4">
        <v>182503250</v>
      </c>
      <c r="D47" t="s">
        <v>99</v>
      </c>
    </row>
    <row r="48" spans="1:4" x14ac:dyDescent="0.25">
      <c r="A48" t="s">
        <v>44</v>
      </c>
      <c r="B48">
        <v>168</v>
      </c>
      <c r="C48" s="4">
        <v>40806473</v>
      </c>
      <c r="D48" t="s">
        <v>100</v>
      </c>
    </row>
    <row r="49" spans="1:4" x14ac:dyDescent="0.25">
      <c r="A49" t="s">
        <v>129</v>
      </c>
      <c r="B49">
        <v>59</v>
      </c>
      <c r="C49" s="4">
        <v>29615813</v>
      </c>
      <c r="D49" t="s">
        <v>3</v>
      </c>
    </row>
    <row r="50" spans="1:4" x14ac:dyDescent="0.25">
      <c r="A50" t="s">
        <v>54</v>
      </c>
      <c r="B50">
        <v>140</v>
      </c>
      <c r="C50" s="4">
        <v>80780937</v>
      </c>
      <c r="D50" t="s">
        <v>7</v>
      </c>
    </row>
    <row r="51" spans="1:4" x14ac:dyDescent="0.25">
      <c r="A51" t="s">
        <v>84</v>
      </c>
      <c r="B51">
        <v>22</v>
      </c>
      <c r="C51" s="4">
        <v>7270186</v>
      </c>
      <c r="D51" t="s">
        <v>7</v>
      </c>
    </row>
    <row r="52" spans="1:4" x14ac:dyDescent="0.25">
      <c r="A52" t="s">
        <v>90</v>
      </c>
      <c r="B52">
        <v>40</v>
      </c>
      <c r="C52" s="4">
        <v>5830203</v>
      </c>
      <c r="D52" t="s">
        <v>101</v>
      </c>
    </row>
    <row r="53" spans="1:4" x14ac:dyDescent="0.25">
      <c r="A53" t="s">
        <v>32</v>
      </c>
      <c r="B53">
        <v>41</v>
      </c>
      <c r="C53" s="4">
        <v>37657626</v>
      </c>
      <c r="D53" t="s">
        <v>99</v>
      </c>
    </row>
    <row r="54" spans="1:4" x14ac:dyDescent="0.25">
      <c r="A54" t="s">
        <v>28</v>
      </c>
      <c r="B54">
        <v>36</v>
      </c>
      <c r="C54" s="4">
        <v>29010621</v>
      </c>
      <c r="D54" t="s">
        <v>101</v>
      </c>
    </row>
    <row r="55" spans="1:4" x14ac:dyDescent="0.25">
      <c r="A55" t="s">
        <v>68</v>
      </c>
      <c r="B55">
        <v>18</v>
      </c>
      <c r="C55" s="4">
        <v>16112240</v>
      </c>
      <c r="D55" t="s">
        <v>98</v>
      </c>
    </row>
    <row r="56" spans="1:4" x14ac:dyDescent="0.25">
      <c r="A56" t="s">
        <v>6</v>
      </c>
      <c r="B56">
        <v>16</v>
      </c>
      <c r="C56" s="4">
        <v>13309816</v>
      </c>
      <c r="D56" t="s">
        <v>96</v>
      </c>
    </row>
    <row r="57" spans="1:4" x14ac:dyDescent="0.25">
      <c r="A57" t="s">
        <v>48</v>
      </c>
      <c r="B57">
        <v>18</v>
      </c>
      <c r="C57" s="4">
        <v>11420944</v>
      </c>
      <c r="D57" t="s">
        <v>100</v>
      </c>
    </row>
    <row r="58" spans="1:4" x14ac:dyDescent="0.25">
      <c r="A58" t="s">
        <v>124</v>
      </c>
      <c r="B58">
        <v>20</v>
      </c>
      <c r="C58" s="4">
        <v>13448876</v>
      </c>
      <c r="D58" t="s">
        <v>102</v>
      </c>
    </row>
    <row r="59" spans="1:4" x14ac:dyDescent="0.25">
      <c r="A59" t="s">
        <v>128</v>
      </c>
      <c r="B59">
        <v>27</v>
      </c>
      <c r="C59" s="4">
        <v>10534266</v>
      </c>
      <c r="D59" t="s">
        <v>7</v>
      </c>
    </row>
    <row r="60" spans="1:4" x14ac:dyDescent="0.25">
      <c r="A60" t="s">
        <v>34</v>
      </c>
      <c r="B60">
        <v>21</v>
      </c>
      <c r="C60" s="4">
        <v>8364572</v>
      </c>
      <c r="D60" t="s">
        <v>102</v>
      </c>
    </row>
    <row r="61" spans="1:4" x14ac:dyDescent="0.25">
      <c r="A61" t="s">
        <v>5</v>
      </c>
      <c r="B61">
        <v>37</v>
      </c>
      <c r="C61" s="4">
        <v>21641114</v>
      </c>
      <c r="D61" t="s">
        <v>99</v>
      </c>
    </row>
    <row r="62" spans="1:4" x14ac:dyDescent="0.25">
      <c r="A62" t="s">
        <v>55</v>
      </c>
      <c r="B62">
        <v>48</v>
      </c>
      <c r="C62" s="4">
        <v>26125821</v>
      </c>
      <c r="D62" t="s">
        <v>94</v>
      </c>
    </row>
    <row r="63" spans="1:4" x14ac:dyDescent="0.25">
      <c r="A63" t="s">
        <v>92</v>
      </c>
      <c r="B63">
        <v>16</v>
      </c>
      <c r="C63" s="4">
        <v>12057480</v>
      </c>
      <c r="D63" t="s">
        <v>3</v>
      </c>
    </row>
    <row r="64" spans="1:4" x14ac:dyDescent="0.25">
      <c r="A64" t="s">
        <v>76</v>
      </c>
      <c r="B64">
        <v>155</v>
      </c>
      <c r="C64" s="4">
        <v>91204051</v>
      </c>
      <c r="D64" t="s">
        <v>94</v>
      </c>
    </row>
    <row r="65" spans="1:4" x14ac:dyDescent="0.25">
      <c r="A65" t="s">
        <v>72</v>
      </c>
      <c r="B65">
        <v>46</v>
      </c>
      <c r="C65" s="4">
        <v>45883400</v>
      </c>
      <c r="D65" t="s">
        <v>101</v>
      </c>
    </row>
    <row r="66" spans="1:4" x14ac:dyDescent="0.25">
      <c r="A66" t="s">
        <v>127</v>
      </c>
      <c r="B66">
        <v>24</v>
      </c>
      <c r="C66" s="4">
        <v>12194799</v>
      </c>
      <c r="D66" t="s">
        <v>100</v>
      </c>
    </row>
    <row r="67" spans="1:4" x14ac:dyDescent="0.25">
      <c r="A67" t="s">
        <v>20</v>
      </c>
      <c r="B67">
        <v>21</v>
      </c>
      <c r="C67" s="4">
        <v>10216166</v>
      </c>
      <c r="D67" t="s">
        <v>96</v>
      </c>
    </row>
    <row r="68" spans="1:4" x14ac:dyDescent="0.25">
      <c r="A68" t="s">
        <v>47</v>
      </c>
      <c r="B68">
        <v>33</v>
      </c>
      <c r="C68" s="4">
        <v>26805859</v>
      </c>
      <c r="D68" t="s">
        <v>99</v>
      </c>
    </row>
    <row r="69" spans="1:4" x14ac:dyDescent="0.25">
      <c r="A69" t="s">
        <v>23</v>
      </c>
      <c r="B69">
        <v>36</v>
      </c>
      <c r="C69" s="4">
        <v>13031509</v>
      </c>
      <c r="D69" t="s">
        <v>100</v>
      </c>
    </row>
    <row r="70" spans="1:4" x14ac:dyDescent="0.25">
      <c r="A70" t="s">
        <v>83</v>
      </c>
      <c r="B70">
        <v>37</v>
      </c>
      <c r="C70" s="4">
        <v>22620328</v>
      </c>
      <c r="D70" t="s">
        <v>100</v>
      </c>
    </row>
    <row r="71" spans="1:4" x14ac:dyDescent="0.25">
      <c r="A71" t="s">
        <v>58</v>
      </c>
      <c r="B71">
        <v>85</v>
      </c>
      <c r="C71" s="4">
        <v>39594645</v>
      </c>
      <c r="D71" t="s">
        <v>3</v>
      </c>
    </row>
    <row r="72" spans="1:4" x14ac:dyDescent="0.25">
      <c r="A72" t="s">
        <v>78</v>
      </c>
      <c r="B72">
        <v>34</v>
      </c>
      <c r="C72" s="4">
        <v>23715346</v>
      </c>
      <c r="D72" t="s">
        <v>96</v>
      </c>
    </row>
    <row r="73" spans="1:4" x14ac:dyDescent="0.25">
      <c r="A73" t="s">
        <v>114</v>
      </c>
      <c r="B73">
        <v>95</v>
      </c>
      <c r="C73" s="4">
        <v>32759150</v>
      </c>
      <c r="D73" t="s">
        <v>96</v>
      </c>
    </row>
    <row r="74" spans="1:4" x14ac:dyDescent="0.25">
      <c r="A74" t="s">
        <v>27</v>
      </c>
      <c r="B74">
        <v>35</v>
      </c>
      <c r="C74" s="4">
        <v>10708613</v>
      </c>
      <c r="D74" t="s">
        <v>100</v>
      </c>
    </row>
    <row r="75" spans="1:4" x14ac:dyDescent="0.25">
      <c r="A75" t="s">
        <v>108</v>
      </c>
      <c r="B75">
        <v>15</v>
      </c>
      <c r="C75" s="4">
        <v>1616702</v>
      </c>
      <c r="D75" t="s">
        <v>3</v>
      </c>
    </row>
    <row r="76" spans="1:4" x14ac:dyDescent="0.25">
      <c r="A76" t="s">
        <v>117</v>
      </c>
      <c r="B76">
        <v>18</v>
      </c>
      <c r="C76" s="4">
        <v>11368556</v>
      </c>
      <c r="D76" t="s">
        <v>97</v>
      </c>
    </row>
    <row r="77" spans="1:4" x14ac:dyDescent="0.25">
      <c r="A77" t="s">
        <v>13</v>
      </c>
      <c r="B77">
        <v>35</v>
      </c>
      <c r="C77" s="4">
        <v>29942954</v>
      </c>
      <c r="D77" t="s">
        <v>100</v>
      </c>
    </row>
    <row r="78" spans="1:4" x14ac:dyDescent="0.25">
      <c r="A78" t="s">
        <v>15</v>
      </c>
      <c r="B78">
        <v>18</v>
      </c>
      <c r="C78" s="4">
        <v>7814635</v>
      </c>
      <c r="D78" t="s">
        <v>96</v>
      </c>
    </row>
    <row r="79" spans="1:4" x14ac:dyDescent="0.25">
      <c r="A79" t="s">
        <v>113</v>
      </c>
      <c r="B79">
        <v>76</v>
      </c>
      <c r="C79" s="4">
        <v>45797101</v>
      </c>
      <c r="D79" t="s">
        <v>100</v>
      </c>
    </row>
    <row r="80" spans="1:4" x14ac:dyDescent="0.25">
      <c r="A80" t="s">
        <v>51</v>
      </c>
      <c r="B80">
        <v>34</v>
      </c>
      <c r="C80" s="4">
        <v>26627565</v>
      </c>
      <c r="D80" t="s">
        <v>96</v>
      </c>
    </row>
    <row r="81" spans="1:4" x14ac:dyDescent="0.25">
      <c r="A81" t="s">
        <v>85</v>
      </c>
      <c r="B81">
        <v>52</v>
      </c>
      <c r="C81" s="4">
        <v>24396060</v>
      </c>
      <c r="D81" t="s">
        <v>101</v>
      </c>
    </row>
    <row r="82" spans="1:4" x14ac:dyDescent="0.25">
      <c r="A82" t="s">
        <v>41</v>
      </c>
      <c r="B82">
        <v>34</v>
      </c>
      <c r="C82" s="4">
        <v>28071603</v>
      </c>
      <c r="D82" t="s">
        <v>99</v>
      </c>
    </row>
    <row r="83" spans="1:4" x14ac:dyDescent="0.25">
      <c r="A83" t="s">
        <v>109</v>
      </c>
      <c r="B83">
        <v>28</v>
      </c>
      <c r="C83" s="4">
        <v>17562178</v>
      </c>
      <c r="D83" t="s">
        <v>3</v>
      </c>
    </row>
    <row r="84" spans="1:4" x14ac:dyDescent="0.25">
      <c r="A84" t="s">
        <v>40</v>
      </c>
      <c r="B84">
        <v>108</v>
      </c>
      <c r="C84" s="4">
        <v>45913407</v>
      </c>
      <c r="D84" t="s">
        <v>100</v>
      </c>
    </row>
    <row r="85" spans="1:4" x14ac:dyDescent="0.25">
      <c r="A85" t="s">
        <v>31</v>
      </c>
      <c r="B85">
        <v>23</v>
      </c>
      <c r="C85" s="4">
        <v>12257216</v>
      </c>
      <c r="D85" t="s">
        <v>100</v>
      </c>
    </row>
    <row r="86" spans="1:4" x14ac:dyDescent="0.25">
      <c r="A86" t="s">
        <v>37</v>
      </c>
      <c r="B86">
        <v>239</v>
      </c>
      <c r="C86" s="4">
        <v>140191662</v>
      </c>
      <c r="D86" t="s">
        <v>98</v>
      </c>
    </row>
    <row r="87" spans="1:4" x14ac:dyDescent="0.25">
      <c r="A87" t="s">
        <v>24</v>
      </c>
      <c r="B87">
        <v>39</v>
      </c>
      <c r="C87" s="4">
        <v>22746367</v>
      </c>
      <c r="D87" t="s">
        <v>102</v>
      </c>
    </row>
    <row r="88" spans="1:4" x14ac:dyDescent="0.25">
      <c r="A88" t="s">
        <v>67</v>
      </c>
      <c r="B88">
        <v>47</v>
      </c>
      <c r="C88" s="4">
        <v>40624388</v>
      </c>
      <c r="D88" t="s">
        <v>102</v>
      </c>
    </row>
    <row r="89" spans="1:4" x14ac:dyDescent="0.25">
      <c r="A89" t="s">
        <v>88</v>
      </c>
      <c r="B89">
        <v>36</v>
      </c>
      <c r="C89" s="4">
        <v>26664158</v>
      </c>
      <c r="D89" t="s">
        <v>99</v>
      </c>
    </row>
    <row r="90" spans="1:4" x14ac:dyDescent="0.25">
      <c r="A90" t="s">
        <v>73</v>
      </c>
      <c r="B90">
        <v>42</v>
      </c>
      <c r="C90" s="4">
        <v>10607467</v>
      </c>
      <c r="D90" t="s">
        <v>99</v>
      </c>
    </row>
    <row r="91" spans="1:4" x14ac:dyDescent="0.25">
      <c r="A91" t="s">
        <v>80</v>
      </c>
      <c r="B91">
        <v>130</v>
      </c>
      <c r="C91" s="4">
        <v>91209593</v>
      </c>
      <c r="D91" t="s">
        <v>7</v>
      </c>
    </row>
    <row r="92" spans="1:4" x14ac:dyDescent="0.25">
      <c r="A92" t="s">
        <v>65</v>
      </c>
      <c r="B92">
        <v>204</v>
      </c>
      <c r="C92" s="4">
        <v>156065300</v>
      </c>
      <c r="D92" t="s">
        <v>100</v>
      </c>
    </row>
    <row r="93" spans="1:4" x14ac:dyDescent="0.25">
      <c r="A93" t="s">
        <v>14</v>
      </c>
      <c r="B93">
        <v>17</v>
      </c>
      <c r="C93" s="4">
        <v>4534675</v>
      </c>
      <c r="D93" t="s">
        <v>96</v>
      </c>
    </row>
    <row r="94" spans="1:4" x14ac:dyDescent="0.25">
      <c r="A94" t="s">
        <v>89</v>
      </c>
      <c r="B94">
        <v>29</v>
      </c>
      <c r="C94" s="4">
        <v>27080482</v>
      </c>
      <c r="D94" t="s">
        <v>7</v>
      </c>
    </row>
    <row r="95" spans="1:4" x14ac:dyDescent="0.25">
      <c r="A95" t="s">
        <v>10</v>
      </c>
      <c r="B95">
        <v>32</v>
      </c>
      <c r="C95" s="4">
        <v>15800257</v>
      </c>
      <c r="D95" t="s">
        <v>101</v>
      </c>
    </row>
    <row r="96" spans="1:4" x14ac:dyDescent="0.25">
      <c r="A96" t="s">
        <v>87</v>
      </c>
      <c r="B96">
        <v>69</v>
      </c>
      <c r="C96" s="4">
        <v>40430217</v>
      </c>
      <c r="D96" t="s">
        <v>99</v>
      </c>
    </row>
    <row r="97" spans="1:4" x14ac:dyDescent="0.25">
      <c r="A97" t="s">
        <v>69</v>
      </c>
      <c r="B97">
        <v>19</v>
      </c>
      <c r="C97" s="4">
        <v>7238291</v>
      </c>
      <c r="D97" t="s">
        <v>94</v>
      </c>
    </row>
    <row r="98" spans="1:4" x14ac:dyDescent="0.25">
      <c r="A98" t="s">
        <v>26</v>
      </c>
      <c r="B98">
        <v>109</v>
      </c>
      <c r="C98" s="4">
        <v>40109949</v>
      </c>
      <c r="D98" t="s">
        <v>97</v>
      </c>
    </row>
    <row r="99" spans="1:4" x14ac:dyDescent="0.25">
      <c r="A99" t="s">
        <v>33</v>
      </c>
      <c r="B99">
        <v>19</v>
      </c>
      <c r="C99" s="4">
        <v>16978794</v>
      </c>
      <c r="D99" t="s">
        <v>94</v>
      </c>
    </row>
    <row r="100" spans="1:4" x14ac:dyDescent="0.25">
      <c r="A100" t="s">
        <v>115</v>
      </c>
      <c r="B100">
        <v>90</v>
      </c>
      <c r="C100" s="4">
        <v>42852597</v>
      </c>
      <c r="D100" t="s">
        <v>100</v>
      </c>
    </row>
    <row r="101" spans="1:4" x14ac:dyDescent="0.25">
      <c r="A101" t="s">
        <v>91</v>
      </c>
      <c r="B101">
        <v>58</v>
      </c>
      <c r="C101" s="4">
        <v>20685505</v>
      </c>
      <c r="D101" t="s">
        <v>97</v>
      </c>
    </row>
    <row r="102" spans="1:4" x14ac:dyDescent="0.25">
      <c r="A102" t="s">
        <v>35</v>
      </c>
      <c r="B102">
        <v>39</v>
      </c>
      <c r="C102" s="4">
        <v>29904992</v>
      </c>
      <c r="D102" t="s">
        <v>101</v>
      </c>
    </row>
    <row r="103" spans="1:4" x14ac:dyDescent="0.25">
      <c r="A103" t="s">
        <v>64</v>
      </c>
      <c r="B103">
        <v>105</v>
      </c>
      <c r="C103" s="4">
        <v>21555242</v>
      </c>
      <c r="D103" t="s">
        <v>96</v>
      </c>
    </row>
    <row r="104" spans="1:4" x14ac:dyDescent="0.25">
      <c r="A104" t="s">
        <v>63</v>
      </c>
      <c r="B104">
        <v>45</v>
      </c>
      <c r="C104" s="4">
        <v>20833285</v>
      </c>
      <c r="D104" t="s">
        <v>3</v>
      </c>
    </row>
    <row r="105" spans="1:4" x14ac:dyDescent="0.25">
      <c r="A105" t="s">
        <v>16</v>
      </c>
      <c r="B105">
        <v>25</v>
      </c>
      <c r="C105" s="4">
        <v>13092802</v>
      </c>
      <c r="D105" t="s">
        <v>102</v>
      </c>
    </row>
    <row r="106" spans="1:4" x14ac:dyDescent="0.25">
      <c r="A106" t="s">
        <v>52</v>
      </c>
      <c r="B106">
        <v>34</v>
      </c>
      <c r="C106" s="4">
        <v>10482529</v>
      </c>
      <c r="D106" t="s">
        <v>96</v>
      </c>
    </row>
    <row r="107" spans="1:4" x14ac:dyDescent="0.25">
      <c r="A107" t="s">
        <v>121</v>
      </c>
      <c r="B107">
        <v>87</v>
      </c>
      <c r="C107" s="4">
        <v>49470011</v>
      </c>
      <c r="D107" t="s">
        <v>96</v>
      </c>
    </row>
    <row r="108" spans="1:4" x14ac:dyDescent="0.25">
      <c r="A108" t="s">
        <v>66</v>
      </c>
      <c r="B108">
        <v>49</v>
      </c>
      <c r="C108" s="4">
        <v>25937213</v>
      </c>
      <c r="D108" t="s">
        <v>96</v>
      </c>
    </row>
    <row r="109" spans="1:4" x14ac:dyDescent="0.25">
      <c r="A109" t="s">
        <v>30</v>
      </c>
      <c r="B109">
        <v>64</v>
      </c>
      <c r="C109" s="4">
        <v>42818551</v>
      </c>
      <c r="D109" t="s">
        <v>100</v>
      </c>
    </row>
    <row r="110" spans="1:4" x14ac:dyDescent="0.25">
      <c r="A110" t="s">
        <v>36</v>
      </c>
      <c r="B110">
        <v>34</v>
      </c>
      <c r="C110" s="4">
        <v>18001972</v>
      </c>
      <c r="D110" t="s">
        <v>94</v>
      </c>
    </row>
    <row r="111" spans="1:4" x14ac:dyDescent="0.25">
      <c r="A111" t="s">
        <v>120</v>
      </c>
      <c r="B111">
        <v>21</v>
      </c>
      <c r="C111" s="4">
        <v>10637313</v>
      </c>
      <c r="D111" t="s">
        <v>98</v>
      </c>
    </row>
    <row r="112" spans="1:4" x14ac:dyDescent="0.25">
      <c r="A112" t="s">
        <v>123</v>
      </c>
      <c r="B112">
        <v>46</v>
      </c>
      <c r="C112" s="4">
        <v>6464183</v>
      </c>
      <c r="D112" t="s">
        <v>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D4A9A-3835-4A62-977E-BE9F81355EB1}">
  <dimension ref="A1:D17"/>
  <sheetViews>
    <sheetView workbookViewId="0">
      <selection activeCell="D3" sqref="D3"/>
    </sheetView>
  </sheetViews>
  <sheetFormatPr defaultRowHeight="15" x14ac:dyDescent="0.25"/>
  <cols>
    <col min="1" max="1" width="25.7109375" customWidth="1"/>
    <col min="2" max="2" width="13.140625" bestFit="1" customWidth="1"/>
    <col min="3" max="3" width="15.85546875" bestFit="1" customWidth="1"/>
    <col min="4" max="4" width="17.28515625" bestFit="1" customWidth="1"/>
  </cols>
  <sheetData>
    <row r="1" spans="1:4" ht="15.75" thickBot="1" x14ac:dyDescent="0.3">
      <c r="A1" s="7" t="s">
        <v>2</v>
      </c>
      <c r="B1" s="7" t="s">
        <v>103</v>
      </c>
      <c r="C1" s="7" t="s">
        <v>104</v>
      </c>
      <c r="D1" s="7" t="s">
        <v>105</v>
      </c>
    </row>
    <row r="2" spans="1:4" x14ac:dyDescent="0.25">
      <c r="A2" t="s">
        <v>101</v>
      </c>
      <c r="B2" s="2">
        <f>COUNTIF(Companies!D$2:D$112,A2)</f>
        <v>11</v>
      </c>
      <c r="C2" s="3">
        <f>SUMIF(Companies!D$2:D$112,A2,Companies!B$2:B$112)</f>
        <v>450</v>
      </c>
      <c r="D2" s="4">
        <f>AVERAGEIF(Companies!D$2:D$112,A2,Companies!C$2:C$112)</f>
        <v>21484306.636363637</v>
      </c>
    </row>
    <row r="3" spans="1:4" x14ac:dyDescent="0.25">
      <c r="A3" t="s">
        <v>100</v>
      </c>
      <c r="B3" s="2">
        <f>COUNTIF(Companies!D$2:D$112,A3)</f>
        <v>22</v>
      </c>
      <c r="C3" s="3">
        <f>SUMIF(Companies!D$2:D$112,A3,Companies!B$2:B$112)</f>
        <v>1359</v>
      </c>
      <c r="D3" s="4">
        <f>AVERAGEIF(Companies!D$2:D$112,A3,Companies!C$2:C$112)</f>
        <v>33947292.045454547</v>
      </c>
    </row>
    <row r="4" spans="1:4" x14ac:dyDescent="0.25">
      <c r="A4" t="s">
        <v>97</v>
      </c>
      <c r="B4" s="2">
        <f>COUNTIF(Companies!D$2:D$112,A4)</f>
        <v>3</v>
      </c>
      <c r="C4" s="3">
        <f>SUMIF(Companies!D$2:D$112,A4,Companies!B$2:B$112)</f>
        <v>185</v>
      </c>
      <c r="D4" s="4">
        <f>AVERAGEIF(Companies!D$2:D$112,A4,Companies!C$2:C$112)</f>
        <v>24054670</v>
      </c>
    </row>
    <row r="5" spans="1:4" x14ac:dyDescent="0.25">
      <c r="A5" t="s">
        <v>99</v>
      </c>
      <c r="B5" s="2">
        <f>COUNTIF(Companies!D$2:D$112,A5)</f>
        <v>14</v>
      </c>
      <c r="C5" s="3">
        <f>SUMIF(Companies!D$2:D$112,A5,Companies!B$2:B$112)</f>
        <v>740</v>
      </c>
      <c r="D5" s="4">
        <f>AVERAGEIF(Companies!D$2:D$112,A5,Companies!C$2:C$112)</f>
        <v>37130127.071428575</v>
      </c>
    </row>
    <row r="6" spans="1:4" x14ac:dyDescent="0.25">
      <c r="A6" t="s">
        <v>7</v>
      </c>
      <c r="B6" s="2">
        <f>COUNTIF(Companies!D$2:D$112,A6)</f>
        <v>9</v>
      </c>
      <c r="C6" s="3">
        <f>SUMIF(Companies!D$2:D$112,A6,Companies!B$2:B$112)</f>
        <v>453</v>
      </c>
      <c r="D6" s="4">
        <f>AVERAGEIF(Companies!D$2:D$112,A6,Companies!C$2:C$112)</f>
        <v>30315175</v>
      </c>
    </row>
    <row r="7" spans="1:4" x14ac:dyDescent="0.25">
      <c r="A7" t="s">
        <v>3</v>
      </c>
      <c r="B7" s="2">
        <f>COUNTIF(Companies!D$2:D$112,A7)</f>
        <v>10</v>
      </c>
      <c r="C7" s="3">
        <f>SUMIF(Companies!D$2:D$112,A7,Companies!B$2:B$112)</f>
        <v>614</v>
      </c>
      <c r="D7" s="4">
        <f>AVERAGEIF(Companies!D$2:D$112,A7,Companies!C$2:C$112)</f>
        <v>40420154.299999997</v>
      </c>
    </row>
    <row r="8" spans="1:4" x14ac:dyDescent="0.25">
      <c r="A8" t="s">
        <v>98</v>
      </c>
      <c r="B8" s="2">
        <f>COUNTIF(Companies!D$2:D$112,A8)</f>
        <v>11</v>
      </c>
      <c r="C8" s="3">
        <f>SUMIF(Companies!D$2:D$112,A8,Companies!B$2:B$112)</f>
        <v>1310</v>
      </c>
      <c r="D8" s="4">
        <f>AVERAGEIF(Companies!D$2:D$112,A8,Companies!C$2:C$112)</f>
        <v>50945458.090909094</v>
      </c>
    </row>
    <row r="9" spans="1:4" x14ac:dyDescent="0.25">
      <c r="A9" t="s">
        <v>102</v>
      </c>
      <c r="B9" s="2">
        <f>COUNTIF(Companies!D$2:D$112,A9)</f>
        <v>9</v>
      </c>
      <c r="C9" s="3">
        <f>SUMIF(Companies!D$2:D$112,A9,Companies!B$2:B$112)</f>
        <v>435</v>
      </c>
      <c r="D9" s="4">
        <f>AVERAGEIF(Companies!D$2:D$112,A9,Companies!C$2:C$112)</f>
        <v>28867223.111111112</v>
      </c>
    </row>
    <row r="10" spans="1:4" x14ac:dyDescent="0.25">
      <c r="A10" t="s">
        <v>96</v>
      </c>
      <c r="B10" s="2">
        <f>COUNTIF(Companies!D$2:D$112,A10)</f>
        <v>15</v>
      </c>
      <c r="C10" s="3">
        <f>SUMIF(Companies!D$2:D$112,A10,Companies!B$2:B$112)</f>
        <v>704</v>
      </c>
      <c r="D10" s="4">
        <f>AVERAGEIF(Companies!D$2:D$112,A10,Companies!C$2:C$112)</f>
        <v>24853699.466666665</v>
      </c>
    </row>
    <row r="11" spans="1:4" x14ac:dyDescent="0.25">
      <c r="A11" t="s">
        <v>94</v>
      </c>
      <c r="B11" s="2">
        <f>COUNTIF(Companies!D$2:D$112,A11)</f>
        <v>7</v>
      </c>
      <c r="C11" s="3">
        <f>SUMIF(Companies!D$2:D$112,A11,Companies!B$2:B$112)</f>
        <v>418</v>
      </c>
      <c r="D11" s="4">
        <f>AVERAGEIF(Companies!D$2:D$112,A11,Companies!C$2:C$112)</f>
        <v>40648133.142857142</v>
      </c>
    </row>
    <row r="13" spans="1:4" ht="15.75" thickBot="1" x14ac:dyDescent="0.3"/>
    <row r="14" spans="1:4" ht="30" x14ac:dyDescent="0.25">
      <c r="A14" s="8" t="s">
        <v>106</v>
      </c>
      <c r="B14" s="5">
        <f>COUNTIF(Companies!B2:B112,"&gt;100")</f>
        <v>19</v>
      </c>
    </row>
    <row r="15" spans="1:4" ht="30.75" thickBot="1" x14ac:dyDescent="0.3">
      <c r="A15" s="9" t="s">
        <v>107</v>
      </c>
      <c r="B15" s="6">
        <f>COUNTIF(Companies!C2:C112,"&gt;=80000000")</f>
        <v>11</v>
      </c>
    </row>
    <row r="16" spans="1:4" ht="15.75" thickBot="1" x14ac:dyDescent="0.3"/>
    <row r="17" spans="1:2" ht="45.75" thickBot="1" x14ac:dyDescent="0.3">
      <c r="A17" s="19" t="s">
        <v>143</v>
      </c>
      <c r="B17" s="20">
        <f>COUNTIFS(Companies!B2:B112,"&gt;100",Companies!C2:C112,"&gt;=50000000")</f>
        <v>13</v>
      </c>
    </row>
  </sheetData>
  <sortState xmlns:xlrd2="http://schemas.microsoft.com/office/spreadsheetml/2017/richdata2" ref="A2:A11">
    <sortCondition ref="A5:A1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Case development</vt:lpstr>
      <vt:lpstr>Companies</vt:lpstr>
      <vt:lpstr>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</dc:creator>
  <cp:lastModifiedBy>Maurizio De Pra</cp:lastModifiedBy>
  <dcterms:created xsi:type="dcterms:W3CDTF">2015-06-05T18:17:20Z</dcterms:created>
  <dcterms:modified xsi:type="dcterms:W3CDTF">2025-01-17T10:33:15Z</dcterms:modified>
</cp:coreProperties>
</file>
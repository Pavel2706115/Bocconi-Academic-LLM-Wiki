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66925"/>
  <xr:revisionPtr revIDLastSave="71" documentId="13_ncr:1_{3232905F-4388-4950-8186-BCE1D5EE254C}" xr6:coauthVersionLast="47" xr6:coauthVersionMax="47" xr10:uidLastSave="{67A4835A-83CA-426B-8DF3-42794AB0D18D}"/>
  <bookViews>
    <workbookView xWindow="-108" yWindow="-108" windowWidth="23256" windowHeight="12456" xr2:uid="{00000000-000D-0000-FFFF-FFFF00000000}"/>
  </bookViews>
  <sheets>
    <sheet name="Date-Time functions" sheetId="9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9" l="1"/>
  <c r="E30" i="9" s="1"/>
  <c r="B4" i="9"/>
  <c r="E35" i="9"/>
  <c r="E40" i="9" s="1"/>
  <c r="E38" i="9" l="1"/>
  <c r="E48" i="9"/>
  <c r="E49" i="9"/>
  <c r="E43" i="9"/>
  <c r="E42" i="9"/>
  <c r="E32" i="9"/>
  <c r="E39" i="9"/>
  <c r="E31" i="9"/>
  <c r="E27" i="9"/>
  <c r="E7" i="9"/>
  <c r="E26" i="9"/>
  <c r="E19" i="9"/>
  <c r="E9" i="9"/>
  <c r="E11" i="9"/>
  <c r="E6" i="9"/>
  <c r="E5" i="9"/>
  <c r="E4" i="9"/>
  <c r="E8" i="9"/>
  <c r="E46" i="9"/>
  <c r="E22" i="9" l="1"/>
  <c r="E51" i="9"/>
  <c r="E50" i="9"/>
  <c r="E54" i="9"/>
  <c r="E37" i="9"/>
  <c r="E16" i="9"/>
  <c r="E17" i="9"/>
  <c r="E15" i="9"/>
  <c r="E14" i="9"/>
</calcChain>
</file>

<file path=xl/sharedStrings.xml><?xml version="1.0" encoding="utf-8"?>
<sst xmlns="http://schemas.openxmlformats.org/spreadsheetml/2006/main" count="45" uniqueCount="38">
  <si>
    <t>Date of birth:</t>
  </si>
  <si>
    <t>Date of today:</t>
  </si>
  <si>
    <t>Current time:</t>
  </si>
  <si>
    <t>The number of the year:</t>
  </si>
  <si>
    <t>The number of the month:</t>
  </si>
  <si>
    <t>The number of the day in the month:</t>
  </si>
  <si>
    <t>The hour in a time:</t>
  </si>
  <si>
    <t>The minutes in a time:</t>
  </si>
  <si>
    <t>The seconds in a time:</t>
  </si>
  <si>
    <t>The day of the week of a date:</t>
  </si>
  <si>
    <t>How to format a date/time</t>
  </si>
  <si>
    <t>Short date:</t>
  </si>
  <si>
    <t>Long date:</t>
  </si>
  <si>
    <t>Time:</t>
  </si>
  <si>
    <t>Custom format:</t>
  </si>
  <si>
    <t>How to create a date from its elements</t>
  </si>
  <si>
    <t>First day of the same month, next year (with respect to today):</t>
  </si>
  <si>
    <t>How to make calculations between dates</t>
  </si>
  <si>
    <t xml:space="preserve">  -  Operation:</t>
  </si>
  <si>
    <t xml:space="preserve">  -  DAYS function:</t>
  </si>
  <si>
    <t>Difference in years (e.g. age of a person):</t>
  </si>
  <si>
    <t xml:space="preserve">  -  Diff. between dates divided by 365</t>
  </si>
  <si>
    <t xml:space="preserve">  -  Diff. between year of birth and current year</t>
  </si>
  <si>
    <t xml:space="preserve">  -  DATEDIF function:</t>
  </si>
  <si>
    <t>How to use dates in a TEST</t>
  </si>
  <si>
    <t>Is today before this date?    --&gt;</t>
  </si>
  <si>
    <t>Option 1</t>
  </si>
  <si>
    <t>Option 2</t>
  </si>
  <si>
    <t>Option 3</t>
  </si>
  <si>
    <t>Option 4</t>
  </si>
  <si>
    <t>Not correct:</t>
  </si>
  <si>
    <t>How to use dates as CRITERIA</t>
  </si>
  <si>
    <t>Day of the week (label):</t>
  </si>
  <si>
    <t>Date and time functions overview</t>
  </si>
  <si>
    <r>
      <t>How to extarct information form a date</t>
    </r>
    <r>
      <rPr>
        <i/>
        <sz val="9"/>
        <color theme="1"/>
        <rFont val="Calibri"/>
        <family val="2"/>
        <scheme val="minor"/>
      </rPr>
      <t xml:space="preserve"> (using B5)</t>
    </r>
  </si>
  <si>
    <t>Difference in days (between B3 and B5):</t>
  </si>
  <si>
    <t>=COUNTIF(B3:B5,&lt;01/01/2025)</t>
  </si>
  <si>
    <t>How many dates in B3:B5 are before: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</si>
</sst>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;@"/>
    <numFmt numFmtId="165" formatCode="[$-F800]dddd\,\ mmmm\ dd\,\ yyyy"/>
    <numFmt numFmtId="166" formatCode="[$-F400]h:mm:ss\ AM/PM"/>
    <numFmt numFmtId="167" formatCode="dddd"/>
    <numFmt numFmtId="168" formatCode="\(dddd\)\,\ mmmm\,\ d\,yyyy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i/>
      <sz val="10"/>
      <color rgb="FFC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i/>
      <sz val="11"/>
      <color rgb="FFC00000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medium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0" borderId="0" xfId="0" quotePrefix="1" applyFont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14" fontId="0" fillId="2" borderId="5" xfId="0" applyNumberFormat="1" applyFill="1" applyBorder="1" applyAlignment="1">
      <alignment horizontal="center" vertical="center"/>
    </xf>
    <xf numFmtId="0" fontId="0" fillId="0" borderId="1" xfId="0" quotePrefix="1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2" borderId="4" xfId="0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vertical="center"/>
    </xf>
    <xf numFmtId="0" fontId="1" fillId="5" borderId="2" xfId="0" applyFont="1" applyFill="1" applyBorder="1" applyAlignment="1">
      <alignment horizontal="center" vertical="center"/>
    </xf>
    <xf numFmtId="14" fontId="0" fillId="6" borderId="1" xfId="0" applyNumberFormat="1" applyFill="1" applyBorder="1" applyAlignment="1">
      <alignment vertical="center"/>
    </xf>
    <xf numFmtId="22" fontId="0" fillId="6" borderId="1" xfId="0" applyNumberFormat="1" applyFill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166" fontId="0" fillId="0" borderId="1" xfId="0" applyNumberFormat="1" applyBorder="1" applyAlignment="1">
      <alignment vertical="center"/>
    </xf>
    <xf numFmtId="167" fontId="0" fillId="0" borderId="1" xfId="0" applyNumberFormat="1" applyBorder="1" applyAlignment="1">
      <alignment vertical="center"/>
    </xf>
    <xf numFmtId="0" fontId="0" fillId="0" borderId="3" xfId="0" applyBorder="1" applyAlignment="1">
      <alignment vertical="center"/>
    </xf>
    <xf numFmtId="168" fontId="0" fillId="0" borderId="1" xfId="0" applyNumberFormat="1" applyBorder="1" applyAlignment="1">
      <alignment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4"/>
  <sheetViews>
    <sheetView tabSelected="1" topLeftCell="A31" zoomScaleNormal="100" workbookViewId="0">
      <selection activeCell="E54" sqref="E54"/>
    </sheetView>
  </sheetViews>
  <sheetFormatPr defaultColWidth="9.109375" defaultRowHeight="14.4" x14ac:dyDescent="0.3"/>
  <cols>
    <col min="1" max="1" width="15.6640625" style="3" customWidth="1"/>
    <col min="2" max="2" width="19" style="3" customWidth="1"/>
    <col min="3" max="3" width="5.6640625" style="3" customWidth="1"/>
    <col min="4" max="5" width="38.44140625" style="3" customWidth="1"/>
    <col min="6" max="6" width="21.6640625" style="3" customWidth="1"/>
    <col min="7" max="16384" width="9.109375" style="3"/>
  </cols>
  <sheetData>
    <row r="1" spans="1:5" ht="30" customHeight="1" x14ac:dyDescent="0.3">
      <c r="C1" s="2"/>
      <c r="D1" s="29" t="s">
        <v>33</v>
      </c>
      <c r="E1" s="30"/>
    </row>
    <row r="3" spans="1:5" ht="15" thickBot="1" x14ac:dyDescent="0.35">
      <c r="A3" s="17" t="s">
        <v>0</v>
      </c>
      <c r="B3" s="19">
        <v>38530</v>
      </c>
      <c r="D3" s="31" t="s">
        <v>34</v>
      </c>
      <c r="E3" s="31"/>
    </row>
    <row r="4" spans="1:5" x14ac:dyDescent="0.3">
      <c r="A4" s="17" t="s">
        <v>1</v>
      </c>
      <c r="B4" s="19">
        <f ca="1">TODAY()</f>
        <v>46055</v>
      </c>
      <c r="D4" s="4" t="s">
        <v>3</v>
      </c>
      <c r="E4" s="4">
        <f ca="1">YEAR(B5)</f>
        <v>2026</v>
      </c>
    </row>
    <row r="5" spans="1:5" x14ac:dyDescent="0.3">
      <c r="A5" s="17" t="s">
        <v>2</v>
      </c>
      <c r="B5" s="20">
        <f ca="1">NOW()</f>
        <v>46055.385584143522</v>
      </c>
      <c r="D5" s="4" t="s">
        <v>4</v>
      </c>
      <c r="E5" s="4">
        <f ca="1">MONTH(B5)</f>
        <v>2</v>
      </c>
    </row>
    <row r="6" spans="1:5" x14ac:dyDescent="0.3">
      <c r="D6" s="4" t="s">
        <v>5</v>
      </c>
      <c r="E6" s="4">
        <f ca="1">DAY(B5)</f>
        <v>2</v>
      </c>
    </row>
    <row r="7" spans="1:5" x14ac:dyDescent="0.3">
      <c r="D7" s="4" t="s">
        <v>6</v>
      </c>
      <c r="E7" s="4">
        <f ca="1">HOUR(B5)</f>
        <v>9</v>
      </c>
    </row>
    <row r="8" spans="1:5" x14ac:dyDescent="0.3">
      <c r="D8" s="4" t="s">
        <v>7</v>
      </c>
      <c r="E8" s="4">
        <f ca="1">MINUTE(B5)</f>
        <v>15</v>
      </c>
    </row>
    <row r="9" spans="1:5" x14ac:dyDescent="0.3">
      <c r="D9" s="4" t="s">
        <v>8</v>
      </c>
      <c r="E9" s="4">
        <f ca="1">SECOND(B5)</f>
        <v>14</v>
      </c>
    </row>
    <row r="10" spans="1:5" x14ac:dyDescent="0.3">
      <c r="D10" s="4"/>
      <c r="E10" s="4"/>
    </row>
    <row r="11" spans="1:5" x14ac:dyDescent="0.3">
      <c r="D11" s="4" t="s">
        <v>9</v>
      </c>
      <c r="E11" s="4">
        <f ca="1">WEEKDAY(B5,1)</f>
        <v>2</v>
      </c>
    </row>
    <row r="13" spans="1:5" ht="15" thickBot="1" x14ac:dyDescent="0.35">
      <c r="D13" s="27" t="s">
        <v>10</v>
      </c>
      <c r="E13" s="28"/>
    </row>
    <row r="14" spans="1:5" x14ac:dyDescent="0.3">
      <c r="D14" s="4" t="s">
        <v>11</v>
      </c>
      <c r="E14" s="21">
        <f ca="1">B5</f>
        <v>46055.385584143522</v>
      </c>
    </row>
    <row r="15" spans="1:5" x14ac:dyDescent="0.3">
      <c r="D15" s="4" t="s">
        <v>12</v>
      </c>
      <c r="E15" s="22">
        <f ca="1">B5</f>
        <v>46055.385584143522</v>
      </c>
    </row>
    <row r="16" spans="1:5" x14ac:dyDescent="0.3">
      <c r="D16" s="4" t="s">
        <v>13</v>
      </c>
      <c r="E16" s="23">
        <f ca="1">B5</f>
        <v>46055.385584143522</v>
      </c>
    </row>
    <row r="17" spans="4:5" x14ac:dyDescent="0.3">
      <c r="D17" s="4" t="s">
        <v>14</v>
      </c>
      <c r="E17" s="26">
        <f ca="1">B5</f>
        <v>46055.385584143522</v>
      </c>
    </row>
    <row r="18" spans="4:5" x14ac:dyDescent="0.3">
      <c r="D18" s="4"/>
      <c r="E18" s="4"/>
    </row>
    <row r="19" spans="4:5" x14ac:dyDescent="0.3">
      <c r="D19" s="4" t="s">
        <v>32</v>
      </c>
      <c r="E19" s="24">
        <f ca="1">WEEKDAY(B5)</f>
        <v>2</v>
      </c>
    </row>
    <row r="21" spans="4:5" ht="15" thickBot="1" x14ac:dyDescent="0.35">
      <c r="D21" s="27" t="s">
        <v>15</v>
      </c>
      <c r="E21" s="28"/>
    </row>
    <row r="22" spans="4:5" ht="28.8" x14ac:dyDescent="0.3">
      <c r="D22" s="13" t="s">
        <v>16</v>
      </c>
      <c r="E22" s="5">
        <f ca="1">DATE(E4+1,E5,E6)</f>
        <v>46420</v>
      </c>
    </row>
    <row r="24" spans="4:5" ht="15" thickBot="1" x14ac:dyDescent="0.35">
      <c r="D24" s="27" t="s">
        <v>17</v>
      </c>
      <c r="E24" s="28"/>
    </row>
    <row r="25" spans="4:5" x14ac:dyDescent="0.3">
      <c r="D25" s="4" t="s">
        <v>35</v>
      </c>
      <c r="E25" s="25"/>
    </row>
    <row r="26" spans="4:5" x14ac:dyDescent="0.3">
      <c r="D26" s="10" t="s">
        <v>18</v>
      </c>
      <c r="E26" s="4">
        <f ca="1">B5-B3</f>
        <v>7525.3855841435216</v>
      </c>
    </row>
    <row r="27" spans="4:5" x14ac:dyDescent="0.3">
      <c r="D27" s="10" t="s">
        <v>19</v>
      </c>
      <c r="E27" s="9">
        <f ca="1">_xlfn.DAYS(B5,B3)</f>
        <v>7525</v>
      </c>
    </row>
    <row r="28" spans="4:5" x14ac:dyDescent="0.3">
      <c r="D28" s="4"/>
      <c r="E28" s="9"/>
    </row>
    <row r="29" spans="4:5" x14ac:dyDescent="0.3">
      <c r="D29" s="4" t="s">
        <v>20</v>
      </c>
      <c r="E29" s="9"/>
    </row>
    <row r="30" spans="4:5" x14ac:dyDescent="0.3">
      <c r="D30" s="12" t="s">
        <v>21</v>
      </c>
      <c r="E30" s="4">
        <f ca="1">(B5-B3)/365</f>
        <v>20.617494751078141</v>
      </c>
    </row>
    <row r="31" spans="4:5" x14ac:dyDescent="0.3">
      <c r="D31" s="12" t="s">
        <v>22</v>
      </c>
      <c r="E31" s="4">
        <f ca="1">YEAR(B5)-YEAR(B3)</f>
        <v>21</v>
      </c>
    </row>
    <row r="32" spans="4:5" x14ac:dyDescent="0.3">
      <c r="D32" s="10" t="s">
        <v>23</v>
      </c>
      <c r="E32" s="4">
        <f ca="1">DATEDIF(B3,B5,"y")</f>
        <v>20</v>
      </c>
    </row>
    <row r="34" spans="4:6" ht="15" thickBot="1" x14ac:dyDescent="0.35">
      <c r="D34" s="18" t="s">
        <v>24</v>
      </c>
      <c r="E34" s="18"/>
    </row>
    <row r="35" spans="4:6" x14ac:dyDescent="0.3">
      <c r="D35" s="11" t="s">
        <v>25</v>
      </c>
      <c r="E35" s="7">
        <f ca="1">DATE(YEAR(TODAY()),1,1)</f>
        <v>46023</v>
      </c>
    </row>
    <row r="36" spans="4:6" x14ac:dyDescent="0.3">
      <c r="D36" s="4"/>
      <c r="E36" s="6"/>
      <c r="F36" s="16"/>
    </row>
    <row r="37" spans="4:6" x14ac:dyDescent="0.3">
      <c r="D37" s="14" t="s">
        <v>26</v>
      </c>
      <c r="E37" s="6" t="b">
        <f ca="1">B5&lt;E35</f>
        <v>0</v>
      </c>
    </row>
    <row r="38" spans="4:6" x14ac:dyDescent="0.3">
      <c r="D38" s="14" t="s">
        <v>27</v>
      </c>
      <c r="E38" s="6" t="b">
        <f ca="1">B5&lt;46023</f>
        <v>0</v>
      </c>
    </row>
    <row r="39" spans="4:6" x14ac:dyDescent="0.3">
      <c r="D39" s="14" t="s">
        <v>28</v>
      </c>
      <c r="E39" s="6" t="b">
        <f ca="1">B5&lt;DATE(2026,1,1)</f>
        <v>0</v>
      </c>
    </row>
    <row r="40" spans="4:6" x14ac:dyDescent="0.3">
      <c r="D40" s="14" t="s">
        <v>29</v>
      </c>
      <c r="E40" s="6" t="b">
        <f ca="1">TODAY()&lt;E35</f>
        <v>0</v>
      </c>
    </row>
    <row r="41" spans="4:6" x14ac:dyDescent="0.3">
      <c r="D41" s="4"/>
      <c r="E41" s="6"/>
    </row>
    <row r="42" spans="4:6" x14ac:dyDescent="0.3">
      <c r="D42" s="15" t="s">
        <v>30</v>
      </c>
      <c r="E42" s="6" t="b">
        <f ca="1">B5&lt;1/1/2026</f>
        <v>0</v>
      </c>
    </row>
    <row r="43" spans="4:6" x14ac:dyDescent="0.3">
      <c r="D43" s="15" t="s">
        <v>30</v>
      </c>
      <c r="E43" s="6" t="b">
        <f ca="1">B5&lt;"1/1/2026"</f>
        <v>1</v>
      </c>
      <c r="F43" s="1"/>
    </row>
    <row r="45" spans="4:6" ht="15" thickBot="1" x14ac:dyDescent="0.35">
      <c r="D45" s="18" t="s">
        <v>31</v>
      </c>
      <c r="E45" s="18"/>
    </row>
    <row r="46" spans="4:6" x14ac:dyDescent="0.3">
      <c r="D46" s="11" t="s">
        <v>37</v>
      </c>
      <c r="E46" s="7">
        <f ca="1">DATE(YEAR(TODAY()),1,1)</f>
        <v>46023</v>
      </c>
    </row>
    <row r="47" spans="4:6" x14ac:dyDescent="0.3">
      <c r="D47" s="4"/>
      <c r="E47" s="6"/>
    </row>
    <row r="48" spans="4:6" x14ac:dyDescent="0.3">
      <c r="D48" s="14" t="s">
        <v>26</v>
      </c>
      <c r="E48" s="4">
        <f ca="1">COUNTIF(B3:B5,"&lt;01/01/2026")</f>
        <v>1</v>
      </c>
    </row>
    <row r="49" spans="4:5" x14ac:dyDescent="0.3">
      <c r="D49" s="14" t="s">
        <v>27</v>
      </c>
      <c r="E49" s="4">
        <f ca="1">COUNTIF(B3:B5,"&lt;46023")</f>
        <v>1</v>
      </c>
    </row>
    <row r="50" spans="4:5" x14ac:dyDescent="0.3">
      <c r="D50" s="14" t="s">
        <v>28</v>
      </c>
      <c r="E50" s="4">
        <f ca="1">COUNTIF(B3:B5,"&lt;"&amp;E46)</f>
        <v>1</v>
      </c>
    </row>
    <row r="51" spans="4:5" x14ac:dyDescent="0.3">
      <c r="D51" s="14" t="s">
        <v>29</v>
      </c>
      <c r="E51" s="4">
        <f ca="1">COUNTIF(B3:B5,"&lt;"&amp;DATE(2025,1,1))</f>
        <v>1</v>
      </c>
    </row>
    <row r="52" spans="4:5" x14ac:dyDescent="0.3">
      <c r="D52" s="4"/>
      <c r="E52" s="4"/>
    </row>
    <row r="53" spans="4:5" x14ac:dyDescent="0.3">
      <c r="D53" s="15" t="s">
        <v>30</v>
      </c>
      <c r="E53" s="8" t="s">
        <v>36</v>
      </c>
    </row>
    <row r="54" spans="4:5" x14ac:dyDescent="0.3">
      <c r="D54" s="15" t="s">
        <v>30</v>
      </c>
      <c r="E54" s="8">
        <f ca="1">COUNTIF(B3:B5,B3&lt;1/1/2025)</f>
        <v>0</v>
      </c>
    </row>
  </sheetData>
  <mergeCells count="5">
    <mergeCell ref="D13:E13"/>
    <mergeCell ref="D21:E21"/>
    <mergeCell ref="D24:E24"/>
    <mergeCell ref="D1:E1"/>
    <mergeCell ref="D3:E3"/>
  </mergeCells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BDD67738F27484E8B97D8DC50181F04" ma:contentTypeVersion="3" ma:contentTypeDescription="Creare un nuovo documento." ma:contentTypeScope="" ma:versionID="70a63943454314383d6c305347f6b36f">
  <xsd:schema xmlns:xsd="http://www.w3.org/2001/XMLSchema" xmlns:xs="http://www.w3.org/2001/XMLSchema" xmlns:p="http://schemas.microsoft.com/office/2006/metadata/properties" xmlns:ns2="663c303f-a9ef-4212-b4a3-b70aaa29dbdf" targetNamespace="http://schemas.microsoft.com/office/2006/metadata/properties" ma:root="true" ma:fieldsID="05fdcecf8c281720f2df84c807259058" ns2:_="">
    <xsd:import namespace="663c303f-a9ef-4212-b4a3-b70aaa29d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3c303f-a9ef-4212-b4a3-b70aaa29d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8C8462-CE4C-4882-A3A7-BEEE409F48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9394BE-B40F-44A6-B6B2-E58030E8F42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F8489D8-B526-417F-B5CF-8CE39BCFB3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3c303f-a9ef-4212-b4a3-b70aaa29db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Date-Time functions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2026-02-02T08:15:23Z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0x010100ABDD67738F27484E8B97D8DC50181F04</vt:lpwstr>
  </property>
</Properties>
</file>
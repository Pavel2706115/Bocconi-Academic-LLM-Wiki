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bocconi-my.sharepoint.com/personal/pavel_andreev_studbocconi_it/Documents/30424 COMPUTER SCIENCE/30424 ENG - 08 - Lesson 8/"/>
    </mc:Choice>
  </mc:AlternateContent>
  <xr:revisionPtr revIDLastSave="1" documentId="13_ncr:1_{86A02CF0-C101-43EC-A1F0-71FF380E9245}" xr6:coauthVersionLast="47" xr6:coauthVersionMax="47" xr10:uidLastSave="{954D3156-E5CD-4EA7-9A80-96195B0B8E59}"/>
  <bookViews>
    <workbookView xWindow="-96" yWindow="0" windowWidth="11712" windowHeight="12336" activeTab="1" xr2:uid="{00000000-000D-0000-FFFF-FFFF00000000}"/>
  </bookViews>
  <sheets>
    <sheet name="Case development" sheetId="9" r:id="rId1"/>
    <sheet name="Stationery" sheetId="10" r:id="rId2"/>
    <sheet name="Analysis" sheetId="11" r:id="rId3"/>
  </sheets>
  <definedNames>
    <definedName name="_xlnm._FilterDatabase" localSheetId="1" hidden="1">Stationery!$A$1:$G$630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1" l="1"/>
  <c r="B11" i="11"/>
  <c r="B2" i="11"/>
  <c r="B5" i="11"/>
  <c r="B4" i="11"/>
  <c r="B8" i="11"/>
  <c r="B6" i="11"/>
  <c r="B9" i="11"/>
  <c r="B7" i="11"/>
  <c r="B10" i="11"/>
  <c r="I3" i="10" l="1"/>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2" i="10"/>
  <c r="G2" i="10" l="1"/>
  <c r="H2" i="10" s="1"/>
  <c r="G3" i="10"/>
  <c r="H3" i="10" s="1"/>
  <c r="G4" i="10"/>
  <c r="H4" i="10" s="1"/>
  <c r="G5" i="10"/>
  <c r="H5" i="10" s="1"/>
  <c r="G6" i="10"/>
  <c r="H6" i="10" s="1"/>
  <c r="G7" i="10"/>
  <c r="H7" i="10" s="1"/>
  <c r="G8" i="10"/>
  <c r="H8" i="10" s="1"/>
  <c r="G9" i="10"/>
  <c r="H9" i="10" s="1"/>
  <c r="G10" i="10"/>
  <c r="H10" i="10" s="1"/>
  <c r="G11" i="10"/>
  <c r="H11" i="10" s="1"/>
  <c r="G12" i="10"/>
  <c r="H12" i="10" s="1"/>
  <c r="G13" i="10"/>
  <c r="H13" i="10" s="1"/>
  <c r="G14" i="10"/>
  <c r="H14" i="10" s="1"/>
  <c r="G15" i="10"/>
  <c r="H15" i="10" s="1"/>
  <c r="G16" i="10"/>
  <c r="H16" i="10" s="1"/>
  <c r="G17" i="10"/>
  <c r="H17" i="10" s="1"/>
  <c r="G18" i="10"/>
  <c r="H18" i="10" s="1"/>
  <c r="G19" i="10"/>
  <c r="H19" i="10" s="1"/>
  <c r="G20" i="10"/>
  <c r="H20" i="10" s="1"/>
  <c r="G21" i="10"/>
  <c r="H21" i="10" s="1"/>
  <c r="G22" i="10"/>
  <c r="H22" i="10" s="1"/>
  <c r="G23" i="10"/>
  <c r="H23" i="10" s="1"/>
  <c r="G24" i="10"/>
  <c r="H24" i="10" s="1"/>
  <c r="G25" i="10"/>
  <c r="H25" i="10" s="1"/>
  <c r="G26" i="10"/>
  <c r="H26" i="10" s="1"/>
  <c r="G27" i="10"/>
  <c r="H27" i="10" s="1"/>
  <c r="G28" i="10"/>
  <c r="H28" i="10" s="1"/>
  <c r="G29" i="10"/>
  <c r="H29" i="10" s="1"/>
  <c r="G30" i="10"/>
  <c r="H30" i="10" s="1"/>
  <c r="G31" i="10"/>
  <c r="H31" i="10" s="1"/>
  <c r="G32" i="10"/>
  <c r="H32" i="10" s="1"/>
  <c r="G33" i="10"/>
  <c r="H33" i="10" s="1"/>
  <c r="G34" i="10"/>
  <c r="H34" i="10" s="1"/>
  <c r="G35" i="10"/>
  <c r="H35" i="10" s="1"/>
  <c r="G36" i="10"/>
  <c r="H36" i="10" s="1"/>
  <c r="G37" i="10"/>
  <c r="H37" i="10" s="1"/>
  <c r="G38" i="10"/>
  <c r="H38" i="10" s="1"/>
  <c r="G39" i="10"/>
  <c r="H39" i="10" s="1"/>
  <c r="G40" i="10"/>
  <c r="H40" i="10" s="1"/>
  <c r="G41" i="10"/>
  <c r="H41" i="10" s="1"/>
  <c r="G42" i="10"/>
  <c r="H42" i="10" s="1"/>
  <c r="G43" i="10"/>
  <c r="H43" i="10" s="1"/>
  <c r="G44" i="10"/>
  <c r="H44" i="10" s="1"/>
  <c r="G45" i="10"/>
  <c r="H45" i="10" s="1"/>
  <c r="G46" i="10"/>
  <c r="H46" i="10" s="1"/>
  <c r="G47" i="10"/>
  <c r="H47" i="10" s="1"/>
  <c r="G48" i="10"/>
  <c r="H48" i="10" s="1"/>
  <c r="G49" i="10"/>
  <c r="H49" i="10" s="1"/>
  <c r="G50" i="10"/>
  <c r="H50" i="10" s="1"/>
  <c r="G51" i="10"/>
  <c r="H51" i="10" s="1"/>
  <c r="G52" i="10"/>
  <c r="H52" i="10" s="1"/>
  <c r="G53" i="10"/>
  <c r="H53" i="10" s="1"/>
  <c r="G54" i="10"/>
  <c r="H54" i="10" s="1"/>
  <c r="G55" i="10"/>
  <c r="H55" i="10" s="1"/>
  <c r="G56" i="10"/>
  <c r="H56" i="10" s="1"/>
  <c r="G57" i="10"/>
  <c r="H57" i="10" s="1"/>
  <c r="G58" i="10"/>
  <c r="H58" i="10" s="1"/>
  <c r="G59" i="10"/>
  <c r="H59" i="10" s="1"/>
  <c r="G60" i="10"/>
  <c r="H60" i="10" s="1"/>
  <c r="G61" i="10"/>
  <c r="H61" i="10" s="1"/>
  <c r="G62" i="10"/>
  <c r="H62" i="10" s="1"/>
  <c r="G63" i="10"/>
  <c r="H63" i="10" s="1"/>
  <c r="G64" i="10"/>
  <c r="H64" i="10" s="1"/>
  <c r="G65" i="10"/>
  <c r="H65" i="10" s="1"/>
  <c r="G66" i="10"/>
  <c r="H66" i="10" s="1"/>
  <c r="G67" i="10"/>
  <c r="H67" i="10" s="1"/>
  <c r="G68" i="10"/>
  <c r="H68" i="10" s="1"/>
  <c r="G69" i="10"/>
  <c r="H69" i="10" s="1"/>
  <c r="G70" i="10"/>
  <c r="H70" i="10" s="1"/>
  <c r="G71" i="10"/>
  <c r="H71" i="10" s="1"/>
  <c r="G72" i="10"/>
  <c r="H72" i="10" s="1"/>
  <c r="G73" i="10"/>
  <c r="H73" i="10" s="1"/>
  <c r="G74" i="10"/>
  <c r="H74" i="10" s="1"/>
  <c r="G75" i="10"/>
  <c r="H75" i="10" s="1"/>
  <c r="G76" i="10"/>
  <c r="H76" i="10" s="1"/>
  <c r="G77" i="10"/>
  <c r="H77" i="10" s="1"/>
  <c r="G78" i="10"/>
  <c r="H78" i="10" s="1"/>
  <c r="G79" i="10"/>
  <c r="H79" i="10" s="1"/>
  <c r="G80" i="10"/>
  <c r="H80" i="10" s="1"/>
  <c r="G81" i="10"/>
  <c r="H81" i="10" s="1"/>
  <c r="G82" i="10"/>
  <c r="H82" i="10" s="1"/>
  <c r="G83" i="10"/>
  <c r="H83" i="10" s="1"/>
  <c r="G84" i="10"/>
  <c r="H84" i="10" s="1"/>
  <c r="G85" i="10"/>
  <c r="H85" i="10" s="1"/>
  <c r="G86" i="10"/>
  <c r="H86" i="10" s="1"/>
  <c r="G87" i="10"/>
  <c r="H87" i="10" s="1"/>
  <c r="G88" i="10"/>
  <c r="H88" i="10" s="1"/>
  <c r="G89" i="10"/>
  <c r="H89" i="10" s="1"/>
  <c r="G90" i="10"/>
  <c r="H90" i="10" s="1"/>
  <c r="G91" i="10"/>
  <c r="H91" i="10" s="1"/>
  <c r="G92" i="10"/>
  <c r="H92" i="10" s="1"/>
  <c r="G93" i="10"/>
  <c r="H93" i="10" s="1"/>
  <c r="G94" i="10"/>
  <c r="H94" i="10" s="1"/>
  <c r="G95" i="10"/>
  <c r="H95" i="10" s="1"/>
  <c r="G96" i="10"/>
  <c r="H96" i="10" s="1"/>
  <c r="G97" i="10"/>
  <c r="H97" i="10" s="1"/>
  <c r="G98" i="10"/>
  <c r="H98" i="10" s="1"/>
  <c r="G99" i="10"/>
  <c r="H99" i="10" s="1"/>
  <c r="G100" i="10"/>
  <c r="H100" i="10" s="1"/>
  <c r="G101" i="10"/>
  <c r="H101" i="10" s="1"/>
  <c r="G102" i="10"/>
  <c r="H102" i="10" s="1"/>
  <c r="G103" i="10"/>
  <c r="H103" i="10" s="1"/>
  <c r="G104" i="10"/>
  <c r="H104" i="10" s="1"/>
  <c r="G105" i="10"/>
  <c r="H105" i="10" s="1"/>
  <c r="G106" i="10"/>
  <c r="H106" i="10" s="1"/>
  <c r="G107" i="10"/>
  <c r="H107" i="10" s="1"/>
  <c r="G108" i="10"/>
  <c r="H108" i="10" s="1"/>
  <c r="G109" i="10"/>
  <c r="H109" i="10" s="1"/>
  <c r="G110" i="10"/>
  <c r="H110" i="10" s="1"/>
  <c r="G111" i="10"/>
  <c r="H111" i="10" s="1"/>
  <c r="G112" i="10"/>
  <c r="H112" i="10" s="1"/>
  <c r="G113" i="10"/>
  <c r="H113" i="10" s="1"/>
  <c r="G114" i="10"/>
  <c r="H114" i="10" s="1"/>
  <c r="G115" i="10"/>
  <c r="H115" i="10" s="1"/>
  <c r="G116" i="10"/>
  <c r="H116" i="10" s="1"/>
  <c r="G117" i="10"/>
  <c r="H117" i="10" s="1"/>
  <c r="G118" i="10"/>
  <c r="H118" i="10" s="1"/>
  <c r="G119" i="10"/>
  <c r="H119" i="10" s="1"/>
  <c r="G120" i="10"/>
  <c r="H120" i="10" s="1"/>
  <c r="G121" i="10"/>
  <c r="H121" i="10" s="1"/>
  <c r="G122" i="10"/>
  <c r="H122" i="10" s="1"/>
  <c r="G123" i="10"/>
  <c r="H123" i="10" s="1"/>
  <c r="G124" i="10"/>
  <c r="H124" i="10" s="1"/>
  <c r="G125" i="10"/>
  <c r="H125" i="10" s="1"/>
  <c r="G126" i="10"/>
  <c r="H126" i="10" s="1"/>
  <c r="G127" i="10"/>
  <c r="H127" i="10" s="1"/>
  <c r="G128" i="10"/>
  <c r="H128" i="10" s="1"/>
  <c r="G129" i="10"/>
  <c r="H129" i="10" s="1"/>
  <c r="G130" i="10"/>
  <c r="H130" i="10" s="1"/>
  <c r="G131" i="10"/>
  <c r="H131" i="10" s="1"/>
  <c r="G132" i="10"/>
  <c r="H132" i="10" s="1"/>
  <c r="G133" i="10"/>
  <c r="H133" i="10" s="1"/>
  <c r="G134" i="10"/>
  <c r="H134" i="10" s="1"/>
  <c r="G135" i="10"/>
  <c r="H135" i="10" s="1"/>
  <c r="G136" i="10"/>
  <c r="H136" i="10" s="1"/>
  <c r="G137" i="10"/>
  <c r="H137" i="10" s="1"/>
  <c r="G138" i="10"/>
  <c r="H138" i="10" s="1"/>
  <c r="G139" i="10"/>
  <c r="H139" i="10" s="1"/>
  <c r="G140" i="10"/>
  <c r="H140" i="10" s="1"/>
  <c r="G141" i="10"/>
  <c r="H141" i="10" s="1"/>
  <c r="G142" i="10"/>
  <c r="H142" i="10" s="1"/>
  <c r="G143" i="10"/>
  <c r="H143" i="10" s="1"/>
  <c r="G144" i="10"/>
  <c r="H144" i="10" s="1"/>
  <c r="G145" i="10"/>
  <c r="H145" i="10" s="1"/>
  <c r="G146" i="10"/>
  <c r="H146" i="10" s="1"/>
  <c r="G147" i="10"/>
  <c r="H147" i="10" s="1"/>
  <c r="G148" i="10"/>
  <c r="H148" i="10" s="1"/>
  <c r="G149" i="10"/>
  <c r="H149" i="10" s="1"/>
  <c r="G150" i="10"/>
  <c r="H150" i="10" s="1"/>
  <c r="G151" i="10"/>
  <c r="H151" i="10" s="1"/>
  <c r="G152" i="10"/>
  <c r="H152" i="10" s="1"/>
  <c r="G153" i="10"/>
  <c r="H153" i="10" s="1"/>
  <c r="G154" i="10"/>
  <c r="H154" i="10" s="1"/>
  <c r="G155" i="10"/>
  <c r="H155" i="10" s="1"/>
  <c r="G156" i="10"/>
  <c r="H156" i="10" s="1"/>
  <c r="G157" i="10"/>
  <c r="H157" i="10" s="1"/>
  <c r="G158" i="10"/>
  <c r="H158" i="10" s="1"/>
  <c r="G159" i="10"/>
  <c r="H159" i="10" s="1"/>
  <c r="G160" i="10"/>
  <c r="H160" i="10" s="1"/>
  <c r="G161" i="10"/>
  <c r="H161" i="10" s="1"/>
  <c r="G162" i="10"/>
  <c r="H162" i="10" s="1"/>
  <c r="G163" i="10"/>
  <c r="H163" i="10" s="1"/>
  <c r="G164" i="10"/>
  <c r="H164" i="10" s="1"/>
  <c r="G165" i="10"/>
  <c r="H165" i="10" s="1"/>
  <c r="G166" i="10"/>
  <c r="H166" i="10" s="1"/>
  <c r="G167" i="10"/>
  <c r="H167" i="10" s="1"/>
  <c r="G168" i="10"/>
  <c r="H168" i="10" s="1"/>
  <c r="G169" i="10"/>
  <c r="H169" i="10" s="1"/>
  <c r="G170" i="10"/>
  <c r="H170" i="10" s="1"/>
  <c r="G171" i="10"/>
  <c r="H171" i="10" s="1"/>
  <c r="G172" i="10"/>
  <c r="H172" i="10" s="1"/>
  <c r="G173" i="10"/>
  <c r="H173" i="10" s="1"/>
  <c r="G174" i="10"/>
  <c r="H174" i="10" s="1"/>
  <c r="G175" i="10"/>
  <c r="H175" i="10" s="1"/>
  <c r="G176" i="10"/>
  <c r="H176" i="10" s="1"/>
  <c r="G177" i="10"/>
  <c r="H177" i="10" s="1"/>
  <c r="G178" i="10"/>
  <c r="H178" i="10" s="1"/>
  <c r="G179" i="10"/>
  <c r="H179" i="10" s="1"/>
  <c r="G180" i="10"/>
  <c r="H180" i="10" s="1"/>
  <c r="G181" i="10"/>
  <c r="H181" i="10" s="1"/>
  <c r="G182" i="10"/>
  <c r="H182" i="10" s="1"/>
  <c r="G183" i="10"/>
  <c r="H183" i="10" s="1"/>
  <c r="G184" i="10"/>
  <c r="H184" i="10" s="1"/>
  <c r="G185" i="10"/>
  <c r="H185" i="10" s="1"/>
  <c r="G186" i="10"/>
  <c r="H186" i="10" s="1"/>
  <c r="G187" i="10"/>
  <c r="H187" i="10" s="1"/>
  <c r="G188" i="10"/>
  <c r="H188" i="10" s="1"/>
  <c r="G189" i="10"/>
  <c r="H189" i="10" s="1"/>
  <c r="G190" i="10"/>
  <c r="H190" i="10" s="1"/>
  <c r="G191" i="10"/>
  <c r="H191" i="10" s="1"/>
  <c r="G192" i="10"/>
  <c r="H192" i="10" s="1"/>
  <c r="G193" i="10"/>
  <c r="H193" i="10" s="1"/>
  <c r="G194" i="10"/>
  <c r="H194" i="10" s="1"/>
  <c r="G195" i="10"/>
  <c r="H195" i="10" s="1"/>
  <c r="G196" i="10"/>
  <c r="H196" i="10" s="1"/>
  <c r="G197" i="10"/>
  <c r="H197" i="10" s="1"/>
  <c r="G198" i="10"/>
  <c r="H198" i="10" s="1"/>
  <c r="G199" i="10"/>
  <c r="H199" i="10" s="1"/>
  <c r="G200" i="10"/>
  <c r="H200" i="10" s="1"/>
  <c r="G201" i="10"/>
  <c r="H201" i="10" s="1"/>
  <c r="G202" i="10"/>
  <c r="H202" i="10" s="1"/>
  <c r="G203" i="10"/>
  <c r="H203" i="10" s="1"/>
  <c r="G204" i="10"/>
  <c r="H204" i="10" s="1"/>
  <c r="G205" i="10"/>
  <c r="H205" i="10" s="1"/>
  <c r="G206" i="10"/>
  <c r="H206" i="10" s="1"/>
  <c r="G207" i="10"/>
  <c r="H207" i="10" s="1"/>
  <c r="G208" i="10"/>
  <c r="H208" i="10" s="1"/>
  <c r="G209" i="10"/>
  <c r="H209" i="10" s="1"/>
  <c r="G210" i="10"/>
  <c r="H210" i="10" s="1"/>
  <c r="G211" i="10"/>
  <c r="H211" i="10" s="1"/>
  <c r="G212" i="10"/>
  <c r="H212" i="10" s="1"/>
  <c r="G213" i="10"/>
  <c r="H213" i="10" s="1"/>
  <c r="G214" i="10"/>
  <c r="H214" i="10" s="1"/>
  <c r="G215" i="10"/>
  <c r="H215" i="10" s="1"/>
  <c r="G216" i="10"/>
  <c r="H216" i="10" s="1"/>
  <c r="G217" i="10"/>
  <c r="H217" i="10" s="1"/>
  <c r="G218" i="10"/>
  <c r="H218" i="10" s="1"/>
  <c r="G219" i="10"/>
  <c r="H219" i="10" s="1"/>
  <c r="G220" i="10"/>
  <c r="H220" i="10" s="1"/>
  <c r="G221" i="10"/>
  <c r="H221" i="10" s="1"/>
  <c r="G222" i="10"/>
  <c r="H222" i="10" s="1"/>
  <c r="G223" i="10"/>
  <c r="H223" i="10" s="1"/>
  <c r="G224" i="10"/>
  <c r="H224" i="10" s="1"/>
  <c r="G225" i="10"/>
  <c r="H225" i="10" s="1"/>
  <c r="G226" i="10"/>
  <c r="H226" i="10" s="1"/>
  <c r="G227" i="10"/>
  <c r="H227" i="10" s="1"/>
  <c r="G228" i="10"/>
  <c r="H228" i="10" s="1"/>
  <c r="G229" i="10"/>
  <c r="H229" i="10" s="1"/>
  <c r="G230" i="10"/>
  <c r="H230" i="10" s="1"/>
  <c r="G231" i="10"/>
  <c r="H231" i="10" s="1"/>
  <c r="G232" i="10"/>
  <c r="H232" i="10" s="1"/>
  <c r="G233" i="10"/>
  <c r="H233" i="10" s="1"/>
  <c r="G234" i="10"/>
  <c r="H234" i="10" s="1"/>
  <c r="G235" i="10"/>
  <c r="H235" i="10" s="1"/>
  <c r="G236" i="10"/>
  <c r="H236" i="10" s="1"/>
  <c r="G237" i="10"/>
  <c r="H237" i="10" s="1"/>
  <c r="G238" i="10"/>
  <c r="H238" i="10" s="1"/>
  <c r="G239" i="10"/>
  <c r="H239" i="10" s="1"/>
  <c r="G240" i="10"/>
  <c r="H240" i="10" s="1"/>
  <c r="G241" i="10"/>
  <c r="H241" i="10" s="1"/>
  <c r="G242" i="10"/>
  <c r="H242" i="10" s="1"/>
  <c r="G243" i="10"/>
  <c r="H243" i="10" s="1"/>
  <c r="G244" i="10"/>
  <c r="H244" i="10" s="1"/>
  <c r="G245" i="10"/>
  <c r="H245" i="10" s="1"/>
  <c r="G246" i="10"/>
  <c r="H246" i="10" s="1"/>
  <c r="G247" i="10"/>
  <c r="H247" i="10" s="1"/>
  <c r="G248" i="10"/>
  <c r="H248" i="10" s="1"/>
  <c r="G249" i="10"/>
  <c r="H249" i="10" s="1"/>
  <c r="G250" i="10"/>
  <c r="H250" i="10" s="1"/>
  <c r="G251" i="10"/>
  <c r="H251" i="10" s="1"/>
  <c r="G252" i="10"/>
  <c r="H252" i="10" s="1"/>
  <c r="G253" i="10"/>
  <c r="H253" i="10" s="1"/>
  <c r="G254" i="10"/>
  <c r="H254" i="10" s="1"/>
  <c r="G255" i="10"/>
  <c r="H255" i="10" s="1"/>
  <c r="G256" i="10"/>
  <c r="H256" i="10" s="1"/>
  <c r="G257" i="10"/>
  <c r="H257" i="10" s="1"/>
  <c r="G258" i="10"/>
  <c r="H258" i="10" s="1"/>
  <c r="G259" i="10"/>
  <c r="H259" i="10" s="1"/>
  <c r="G260" i="10"/>
  <c r="H260" i="10" s="1"/>
  <c r="G261" i="10"/>
  <c r="H261" i="10" s="1"/>
  <c r="G262" i="10"/>
  <c r="H262" i="10" s="1"/>
  <c r="G263" i="10"/>
  <c r="H263" i="10" s="1"/>
  <c r="G264" i="10"/>
  <c r="H264" i="10" s="1"/>
  <c r="G265" i="10"/>
  <c r="H265" i="10" s="1"/>
  <c r="G266" i="10"/>
  <c r="H266" i="10" s="1"/>
  <c r="G267" i="10"/>
  <c r="H267" i="10" s="1"/>
  <c r="G268" i="10"/>
  <c r="H268" i="10" s="1"/>
  <c r="G269" i="10"/>
  <c r="H269" i="10" s="1"/>
  <c r="G270" i="10"/>
  <c r="H270" i="10" s="1"/>
  <c r="G271" i="10"/>
  <c r="H271" i="10" s="1"/>
  <c r="G272" i="10"/>
  <c r="H272" i="10" s="1"/>
  <c r="G273" i="10"/>
  <c r="H273" i="10" s="1"/>
  <c r="G274" i="10"/>
  <c r="H274" i="10" s="1"/>
  <c r="G275" i="10"/>
  <c r="H275" i="10" s="1"/>
  <c r="G276" i="10"/>
  <c r="H276" i="10" s="1"/>
  <c r="G277" i="10"/>
  <c r="H277" i="10" s="1"/>
  <c r="G278" i="10"/>
  <c r="H278" i="10" s="1"/>
  <c r="G279" i="10"/>
  <c r="H279" i="10" s="1"/>
  <c r="G280" i="10"/>
  <c r="H280" i="10" s="1"/>
  <c r="G281" i="10"/>
  <c r="H281" i="10" s="1"/>
  <c r="G282" i="10"/>
  <c r="H282" i="10" s="1"/>
  <c r="G283" i="10"/>
  <c r="H283" i="10" s="1"/>
  <c r="G284" i="10"/>
  <c r="H284" i="10" s="1"/>
  <c r="G285" i="10"/>
  <c r="H285" i="10" s="1"/>
  <c r="G286" i="10"/>
  <c r="H286" i="10" s="1"/>
  <c r="G287" i="10"/>
  <c r="H287" i="10" s="1"/>
  <c r="G288" i="10"/>
  <c r="H288" i="10" s="1"/>
  <c r="G289" i="10"/>
  <c r="H289" i="10" s="1"/>
  <c r="G290" i="10"/>
  <c r="H290" i="10" s="1"/>
  <c r="G291" i="10"/>
  <c r="H291" i="10" s="1"/>
  <c r="G292" i="10"/>
  <c r="H292" i="10" s="1"/>
  <c r="G293" i="10"/>
  <c r="H293" i="10" s="1"/>
  <c r="G294" i="10"/>
  <c r="H294" i="10" s="1"/>
  <c r="G295" i="10"/>
  <c r="H295" i="10" s="1"/>
  <c r="G296" i="10"/>
  <c r="H296" i="10" s="1"/>
  <c r="G297" i="10"/>
  <c r="H297" i="10" s="1"/>
  <c r="G298" i="10"/>
  <c r="H298" i="10" s="1"/>
  <c r="G299" i="10"/>
  <c r="H299" i="10" s="1"/>
  <c r="G300" i="10"/>
  <c r="H300" i="10" s="1"/>
  <c r="G301" i="10"/>
  <c r="H301" i="10" s="1"/>
  <c r="G302" i="10"/>
  <c r="H302" i="10" s="1"/>
  <c r="G303" i="10"/>
  <c r="H303" i="10" s="1"/>
  <c r="G304" i="10"/>
  <c r="H304" i="10" s="1"/>
  <c r="G305" i="10"/>
  <c r="H305" i="10" s="1"/>
  <c r="G306" i="10"/>
  <c r="H306" i="10" s="1"/>
  <c r="G307" i="10"/>
  <c r="H307" i="10" s="1"/>
  <c r="G308" i="10"/>
  <c r="H308" i="10" s="1"/>
  <c r="G309" i="10"/>
  <c r="H309" i="10" s="1"/>
  <c r="G310" i="10"/>
  <c r="H310" i="10" s="1"/>
  <c r="G311" i="10"/>
  <c r="H311" i="10" s="1"/>
  <c r="G312" i="10"/>
  <c r="H312" i="10" s="1"/>
  <c r="G313" i="10"/>
  <c r="H313" i="10" s="1"/>
  <c r="G314" i="10"/>
  <c r="H314" i="10" s="1"/>
  <c r="G315" i="10"/>
  <c r="H315" i="10" s="1"/>
  <c r="G316" i="10"/>
  <c r="H316" i="10" s="1"/>
  <c r="G317" i="10"/>
  <c r="H317" i="10" s="1"/>
  <c r="G318" i="10"/>
  <c r="H318" i="10" s="1"/>
  <c r="G319" i="10"/>
  <c r="H319" i="10" s="1"/>
  <c r="G320" i="10"/>
  <c r="H320" i="10" s="1"/>
  <c r="G321" i="10"/>
  <c r="H321" i="10" s="1"/>
  <c r="G322" i="10"/>
  <c r="H322" i="10" s="1"/>
  <c r="G323" i="10"/>
  <c r="H323" i="10" s="1"/>
  <c r="G324" i="10"/>
  <c r="H324" i="10" s="1"/>
  <c r="G325" i="10"/>
  <c r="H325" i="10" s="1"/>
  <c r="G326" i="10"/>
  <c r="H326" i="10" s="1"/>
  <c r="G327" i="10"/>
  <c r="H327" i="10" s="1"/>
  <c r="G328" i="10"/>
  <c r="H328" i="10" s="1"/>
  <c r="G329" i="10"/>
  <c r="H329" i="10" s="1"/>
  <c r="G330" i="10"/>
  <c r="H330" i="10" s="1"/>
  <c r="G331" i="10"/>
  <c r="H331" i="10" s="1"/>
  <c r="G332" i="10"/>
  <c r="H332" i="10" s="1"/>
  <c r="G333" i="10"/>
  <c r="H333" i="10" s="1"/>
  <c r="G334" i="10"/>
  <c r="H334" i="10" s="1"/>
  <c r="G335" i="10"/>
  <c r="H335" i="10" s="1"/>
  <c r="G336" i="10"/>
  <c r="H336" i="10" s="1"/>
  <c r="G337" i="10"/>
  <c r="H337" i="10" s="1"/>
  <c r="G338" i="10"/>
  <c r="H338" i="10" s="1"/>
  <c r="G339" i="10"/>
  <c r="H339" i="10" s="1"/>
  <c r="G340" i="10"/>
  <c r="H340" i="10" s="1"/>
  <c r="G341" i="10"/>
  <c r="H341" i="10" s="1"/>
  <c r="G342" i="10"/>
  <c r="H342" i="10" s="1"/>
  <c r="G343" i="10"/>
  <c r="H343" i="10" s="1"/>
  <c r="G344" i="10"/>
  <c r="H344" i="10" s="1"/>
  <c r="G345" i="10"/>
  <c r="H345" i="10" s="1"/>
  <c r="G346" i="10"/>
  <c r="H346" i="10" s="1"/>
  <c r="G347" i="10"/>
  <c r="H347" i="10" s="1"/>
  <c r="G348" i="10"/>
  <c r="H348" i="10" s="1"/>
  <c r="G349" i="10"/>
  <c r="H349" i="10" s="1"/>
  <c r="G350" i="10"/>
  <c r="H350" i="10" s="1"/>
  <c r="G351" i="10"/>
  <c r="H351" i="10" s="1"/>
  <c r="G352" i="10"/>
  <c r="H352" i="10" s="1"/>
  <c r="G353" i="10"/>
  <c r="H353" i="10" s="1"/>
  <c r="G354" i="10"/>
  <c r="H354" i="10" s="1"/>
  <c r="G355" i="10"/>
  <c r="H355" i="10" s="1"/>
  <c r="G356" i="10"/>
  <c r="H356" i="10" s="1"/>
  <c r="G357" i="10"/>
  <c r="H357" i="10" s="1"/>
  <c r="G358" i="10"/>
  <c r="H358" i="10" s="1"/>
  <c r="G359" i="10"/>
  <c r="H359" i="10" s="1"/>
  <c r="G360" i="10"/>
  <c r="H360" i="10" s="1"/>
  <c r="G361" i="10"/>
  <c r="H361" i="10" s="1"/>
  <c r="G362" i="10"/>
  <c r="H362" i="10" s="1"/>
  <c r="G363" i="10"/>
  <c r="H363" i="10" s="1"/>
  <c r="G364" i="10"/>
  <c r="H364" i="10" s="1"/>
  <c r="G365" i="10"/>
  <c r="H365" i="10" s="1"/>
  <c r="G366" i="10"/>
  <c r="H366" i="10" s="1"/>
  <c r="G367" i="10"/>
  <c r="H367" i="10" s="1"/>
  <c r="G368" i="10"/>
  <c r="H368" i="10" s="1"/>
  <c r="G369" i="10"/>
  <c r="H369" i="10" s="1"/>
  <c r="G370" i="10"/>
  <c r="H370" i="10" s="1"/>
  <c r="G371" i="10"/>
  <c r="H371" i="10" s="1"/>
  <c r="G372" i="10"/>
  <c r="H372" i="10" s="1"/>
  <c r="G373" i="10"/>
  <c r="H373" i="10" s="1"/>
  <c r="G374" i="10"/>
  <c r="H374" i="10" s="1"/>
  <c r="G375" i="10"/>
  <c r="H375" i="10" s="1"/>
  <c r="G376" i="10"/>
  <c r="H376" i="10" s="1"/>
  <c r="G377" i="10"/>
  <c r="H377" i="10" s="1"/>
  <c r="G378" i="10"/>
  <c r="H378" i="10" s="1"/>
  <c r="G379" i="10"/>
  <c r="H379" i="10" s="1"/>
  <c r="G380" i="10"/>
  <c r="H380" i="10" s="1"/>
  <c r="G381" i="10"/>
  <c r="H381" i="10" s="1"/>
  <c r="G382" i="10"/>
  <c r="H382" i="10" s="1"/>
  <c r="G383" i="10"/>
  <c r="H383" i="10" s="1"/>
  <c r="G384" i="10"/>
  <c r="H384" i="10" s="1"/>
  <c r="G385" i="10"/>
  <c r="H385" i="10" s="1"/>
  <c r="G386" i="10"/>
  <c r="H386" i="10" s="1"/>
  <c r="G387" i="10"/>
  <c r="H387" i="10" s="1"/>
  <c r="G388" i="10"/>
  <c r="H388" i="10" s="1"/>
  <c r="G389" i="10"/>
  <c r="H389" i="10" s="1"/>
  <c r="G390" i="10"/>
  <c r="H390" i="10" s="1"/>
  <c r="G391" i="10"/>
  <c r="H391" i="10" s="1"/>
  <c r="G392" i="10"/>
  <c r="H392" i="10" s="1"/>
  <c r="G393" i="10"/>
  <c r="H393" i="10" s="1"/>
  <c r="G394" i="10"/>
  <c r="H394" i="10" s="1"/>
  <c r="G395" i="10"/>
  <c r="H395" i="10" s="1"/>
  <c r="G396" i="10"/>
  <c r="H396" i="10" s="1"/>
  <c r="G397" i="10"/>
  <c r="H397" i="10" s="1"/>
  <c r="G398" i="10"/>
  <c r="H398" i="10" s="1"/>
  <c r="G399" i="10"/>
  <c r="H399" i="10" s="1"/>
  <c r="G400" i="10"/>
  <c r="H400" i="10" s="1"/>
  <c r="G401" i="10"/>
  <c r="H401" i="10" s="1"/>
  <c r="G402" i="10"/>
  <c r="H402" i="10" s="1"/>
  <c r="G403" i="10"/>
  <c r="H403" i="10" s="1"/>
  <c r="G404" i="10"/>
  <c r="H404" i="10" s="1"/>
  <c r="G405" i="10"/>
  <c r="H405" i="10" s="1"/>
  <c r="G406" i="10"/>
  <c r="H406" i="10" s="1"/>
  <c r="G407" i="10"/>
  <c r="H407" i="10" s="1"/>
  <c r="G408" i="10"/>
  <c r="H408" i="10" s="1"/>
  <c r="G409" i="10"/>
  <c r="H409" i="10" s="1"/>
  <c r="G410" i="10"/>
  <c r="H410" i="10" s="1"/>
  <c r="G411" i="10"/>
  <c r="H411" i="10" s="1"/>
  <c r="G412" i="10"/>
  <c r="H412" i="10" s="1"/>
  <c r="G413" i="10"/>
  <c r="H413" i="10" s="1"/>
  <c r="G414" i="10"/>
  <c r="H414" i="10" s="1"/>
  <c r="G415" i="10"/>
  <c r="H415" i="10" s="1"/>
  <c r="G416" i="10"/>
  <c r="H416" i="10" s="1"/>
  <c r="G417" i="10"/>
  <c r="H417" i="10" s="1"/>
  <c r="G418" i="10"/>
  <c r="H418" i="10" s="1"/>
  <c r="G419" i="10"/>
  <c r="H419" i="10" s="1"/>
  <c r="G420" i="10"/>
  <c r="H420" i="10" s="1"/>
  <c r="G421" i="10"/>
  <c r="H421" i="10" s="1"/>
  <c r="G422" i="10"/>
  <c r="H422" i="10" s="1"/>
  <c r="G423" i="10"/>
  <c r="H423" i="10" s="1"/>
  <c r="G424" i="10"/>
  <c r="H424" i="10" s="1"/>
  <c r="G425" i="10"/>
  <c r="H425" i="10" s="1"/>
  <c r="G426" i="10"/>
  <c r="H426" i="10" s="1"/>
  <c r="G427" i="10"/>
  <c r="H427" i="10" s="1"/>
  <c r="G428" i="10"/>
  <c r="H428" i="10" s="1"/>
  <c r="G429" i="10"/>
  <c r="H429" i="10" s="1"/>
  <c r="G430" i="10"/>
  <c r="H430" i="10" s="1"/>
  <c r="G431" i="10"/>
  <c r="H431" i="10" s="1"/>
  <c r="G432" i="10"/>
  <c r="H432" i="10" s="1"/>
  <c r="G433" i="10"/>
  <c r="H433" i="10" s="1"/>
  <c r="G434" i="10"/>
  <c r="H434" i="10" s="1"/>
  <c r="G435" i="10"/>
  <c r="H435" i="10" s="1"/>
  <c r="G436" i="10"/>
  <c r="H436" i="10" s="1"/>
  <c r="G437" i="10"/>
  <c r="H437" i="10" s="1"/>
  <c r="G438" i="10"/>
  <c r="H438" i="10" s="1"/>
  <c r="G439" i="10"/>
  <c r="H439" i="10" s="1"/>
  <c r="G440" i="10"/>
  <c r="H440" i="10" s="1"/>
  <c r="G441" i="10"/>
  <c r="H441" i="10" s="1"/>
  <c r="G442" i="10"/>
  <c r="H442" i="10" s="1"/>
  <c r="G443" i="10"/>
  <c r="H443" i="10" s="1"/>
  <c r="G444" i="10"/>
  <c r="H444" i="10" s="1"/>
  <c r="G445" i="10"/>
  <c r="H445" i="10" s="1"/>
  <c r="G446" i="10"/>
  <c r="H446" i="10" s="1"/>
  <c r="G447" i="10"/>
  <c r="H447" i="10" s="1"/>
  <c r="G448" i="10"/>
  <c r="H448" i="10" s="1"/>
  <c r="G449" i="10"/>
  <c r="H449" i="10" s="1"/>
  <c r="G450" i="10"/>
  <c r="H450" i="10" s="1"/>
  <c r="G451" i="10"/>
  <c r="H451" i="10" s="1"/>
  <c r="G452" i="10"/>
  <c r="H452" i="10" s="1"/>
  <c r="G453" i="10"/>
  <c r="H453" i="10" s="1"/>
  <c r="G454" i="10"/>
  <c r="H454" i="10" s="1"/>
  <c r="G455" i="10"/>
  <c r="H455" i="10" s="1"/>
  <c r="G456" i="10"/>
  <c r="H456" i="10" s="1"/>
  <c r="G457" i="10"/>
  <c r="H457" i="10" s="1"/>
  <c r="G458" i="10"/>
  <c r="H458" i="10" s="1"/>
  <c r="G459" i="10"/>
  <c r="H459" i="10" s="1"/>
  <c r="G460" i="10"/>
  <c r="H460" i="10" s="1"/>
  <c r="G461" i="10"/>
  <c r="H461" i="10" s="1"/>
  <c r="G462" i="10"/>
  <c r="H462" i="10" s="1"/>
  <c r="G463" i="10"/>
  <c r="H463" i="10" s="1"/>
  <c r="G464" i="10"/>
  <c r="H464" i="10" s="1"/>
  <c r="G465" i="10"/>
  <c r="H465" i="10" s="1"/>
  <c r="G466" i="10"/>
  <c r="H466" i="10" s="1"/>
  <c r="G467" i="10"/>
  <c r="H467" i="10" s="1"/>
  <c r="G468" i="10"/>
  <c r="H468" i="10" s="1"/>
  <c r="G469" i="10"/>
  <c r="H469" i="10" s="1"/>
  <c r="G470" i="10"/>
  <c r="H470" i="10" s="1"/>
  <c r="G471" i="10"/>
  <c r="H471" i="10" s="1"/>
  <c r="G472" i="10"/>
  <c r="H472" i="10" s="1"/>
  <c r="G473" i="10"/>
  <c r="H473" i="10" s="1"/>
  <c r="G474" i="10"/>
  <c r="H474" i="10" s="1"/>
  <c r="G475" i="10"/>
  <c r="H475" i="10" s="1"/>
  <c r="G476" i="10"/>
  <c r="H476" i="10" s="1"/>
  <c r="G477" i="10"/>
  <c r="H477" i="10" s="1"/>
  <c r="G478" i="10"/>
  <c r="H478" i="10" s="1"/>
  <c r="G479" i="10"/>
  <c r="H479" i="10" s="1"/>
  <c r="G480" i="10"/>
  <c r="H480" i="10" s="1"/>
  <c r="G481" i="10"/>
  <c r="H481" i="10" s="1"/>
  <c r="G482" i="10"/>
  <c r="H482" i="10" s="1"/>
  <c r="G483" i="10"/>
  <c r="H483" i="10" s="1"/>
  <c r="G484" i="10"/>
  <c r="H484" i="10" s="1"/>
  <c r="G485" i="10"/>
  <c r="H485" i="10" s="1"/>
  <c r="G486" i="10"/>
  <c r="H486" i="10" s="1"/>
  <c r="G487" i="10"/>
  <c r="H487" i="10" s="1"/>
  <c r="G488" i="10"/>
  <c r="H488" i="10" s="1"/>
  <c r="G489" i="10"/>
  <c r="H489" i="10" s="1"/>
  <c r="G490" i="10"/>
  <c r="H490" i="10" s="1"/>
  <c r="G491" i="10"/>
  <c r="H491" i="10" s="1"/>
  <c r="G492" i="10"/>
  <c r="H492" i="10" s="1"/>
  <c r="G493" i="10"/>
  <c r="H493" i="10" s="1"/>
  <c r="G494" i="10"/>
  <c r="H494" i="10" s="1"/>
  <c r="G495" i="10"/>
  <c r="H495" i="10" s="1"/>
  <c r="G496" i="10"/>
  <c r="H496" i="10" s="1"/>
  <c r="G497" i="10"/>
  <c r="H497" i="10" s="1"/>
  <c r="G498" i="10"/>
  <c r="H498" i="10" s="1"/>
  <c r="G499" i="10"/>
  <c r="H499" i="10" s="1"/>
  <c r="G500" i="10"/>
  <c r="H500" i="10" s="1"/>
  <c r="G501" i="10"/>
  <c r="H501" i="10" s="1"/>
  <c r="G502" i="10"/>
  <c r="H502" i="10" s="1"/>
  <c r="G503" i="10"/>
  <c r="H503" i="10" s="1"/>
  <c r="G504" i="10"/>
  <c r="H504" i="10" s="1"/>
  <c r="G505" i="10"/>
  <c r="H505" i="10" s="1"/>
  <c r="G506" i="10"/>
  <c r="H506" i="10" s="1"/>
  <c r="G507" i="10"/>
  <c r="H507" i="10" s="1"/>
  <c r="G508" i="10"/>
  <c r="H508" i="10" s="1"/>
  <c r="G509" i="10"/>
  <c r="H509" i="10" s="1"/>
  <c r="G510" i="10"/>
  <c r="H510" i="10" s="1"/>
  <c r="G511" i="10"/>
  <c r="H511" i="10" s="1"/>
  <c r="G512" i="10"/>
  <c r="H512" i="10" s="1"/>
  <c r="G513" i="10"/>
  <c r="H513" i="10" s="1"/>
  <c r="G514" i="10"/>
  <c r="H514" i="10" s="1"/>
  <c r="G515" i="10"/>
  <c r="H515" i="10" s="1"/>
  <c r="G516" i="10"/>
  <c r="H516" i="10" s="1"/>
  <c r="G517" i="10"/>
  <c r="H517" i="10" s="1"/>
  <c r="G518" i="10"/>
  <c r="H518" i="10" s="1"/>
  <c r="G519" i="10"/>
  <c r="H519" i="10" s="1"/>
  <c r="G520" i="10"/>
  <c r="H520" i="10" s="1"/>
  <c r="G521" i="10"/>
  <c r="H521" i="10" s="1"/>
  <c r="G522" i="10"/>
  <c r="H522" i="10" s="1"/>
  <c r="G523" i="10"/>
  <c r="H523" i="10" s="1"/>
  <c r="G524" i="10"/>
  <c r="H524" i="10" s="1"/>
  <c r="G525" i="10"/>
  <c r="H525" i="10" s="1"/>
  <c r="G526" i="10"/>
  <c r="H526" i="10" s="1"/>
  <c r="G527" i="10"/>
  <c r="H527" i="10" s="1"/>
  <c r="G528" i="10"/>
  <c r="H528" i="10" s="1"/>
  <c r="G529" i="10"/>
  <c r="H529" i="10" s="1"/>
  <c r="G530" i="10"/>
  <c r="H530" i="10" s="1"/>
  <c r="G531" i="10"/>
  <c r="H531" i="10" s="1"/>
  <c r="G532" i="10"/>
  <c r="H532" i="10" s="1"/>
  <c r="G533" i="10"/>
  <c r="H533" i="10" s="1"/>
  <c r="G534" i="10"/>
  <c r="H534" i="10" s="1"/>
  <c r="G535" i="10"/>
  <c r="H535" i="10" s="1"/>
  <c r="G536" i="10"/>
  <c r="H536" i="10" s="1"/>
  <c r="G537" i="10"/>
  <c r="H537" i="10" s="1"/>
  <c r="G538" i="10"/>
  <c r="H538" i="10" s="1"/>
  <c r="G539" i="10"/>
  <c r="H539" i="10" s="1"/>
  <c r="G540" i="10"/>
  <c r="H540" i="10" s="1"/>
  <c r="G541" i="10"/>
  <c r="H541" i="10" s="1"/>
  <c r="G542" i="10"/>
  <c r="H542" i="10" s="1"/>
  <c r="G543" i="10"/>
  <c r="H543" i="10" s="1"/>
  <c r="G544" i="10"/>
  <c r="H544" i="10" s="1"/>
  <c r="G545" i="10"/>
  <c r="H545" i="10" s="1"/>
  <c r="G546" i="10"/>
  <c r="H546" i="10" s="1"/>
  <c r="G547" i="10"/>
  <c r="H547" i="10" s="1"/>
  <c r="G548" i="10"/>
  <c r="H548" i="10" s="1"/>
  <c r="G549" i="10"/>
  <c r="H549" i="10" s="1"/>
  <c r="G550" i="10"/>
  <c r="H550" i="10" s="1"/>
  <c r="G551" i="10"/>
  <c r="H551" i="10" s="1"/>
  <c r="G552" i="10"/>
  <c r="H552" i="10" s="1"/>
  <c r="G553" i="10"/>
  <c r="H553" i="10" s="1"/>
  <c r="G554" i="10"/>
  <c r="H554" i="10" s="1"/>
  <c r="G555" i="10"/>
  <c r="H555" i="10" s="1"/>
  <c r="G556" i="10"/>
  <c r="H556" i="10" s="1"/>
  <c r="G557" i="10"/>
  <c r="H557" i="10" s="1"/>
  <c r="G558" i="10"/>
  <c r="H558" i="10" s="1"/>
  <c r="G559" i="10"/>
  <c r="H559" i="10" s="1"/>
  <c r="G560" i="10"/>
  <c r="H560" i="10" s="1"/>
  <c r="G561" i="10"/>
  <c r="H561" i="10" s="1"/>
  <c r="G562" i="10"/>
  <c r="H562" i="10" s="1"/>
  <c r="G563" i="10"/>
  <c r="H563" i="10" s="1"/>
  <c r="G564" i="10"/>
  <c r="H564" i="10" s="1"/>
  <c r="G565" i="10"/>
  <c r="H565" i="10" s="1"/>
  <c r="G566" i="10"/>
  <c r="H566" i="10" s="1"/>
  <c r="G567" i="10"/>
  <c r="H567" i="10" s="1"/>
  <c r="G568" i="10"/>
  <c r="H568" i="10" s="1"/>
  <c r="G569" i="10"/>
  <c r="H569" i="10" s="1"/>
  <c r="G570" i="10"/>
  <c r="H570" i="10" s="1"/>
  <c r="G571" i="10"/>
  <c r="H571" i="10" s="1"/>
  <c r="G572" i="10"/>
  <c r="H572" i="10" s="1"/>
  <c r="G573" i="10"/>
  <c r="H573" i="10" s="1"/>
  <c r="G574" i="10"/>
  <c r="H574" i="10" s="1"/>
  <c r="G575" i="10"/>
  <c r="H575" i="10" s="1"/>
  <c r="G576" i="10"/>
  <c r="H576" i="10" s="1"/>
  <c r="G577" i="10"/>
  <c r="H577" i="10" s="1"/>
  <c r="G578" i="10"/>
  <c r="H578" i="10" s="1"/>
  <c r="G579" i="10"/>
  <c r="H579" i="10" s="1"/>
  <c r="G580" i="10"/>
  <c r="H580" i="10" s="1"/>
  <c r="G581" i="10"/>
  <c r="H581" i="10" s="1"/>
  <c r="G582" i="10"/>
  <c r="H582" i="10" s="1"/>
  <c r="G583" i="10"/>
  <c r="H583" i="10" s="1"/>
  <c r="G584" i="10"/>
  <c r="H584" i="10" s="1"/>
  <c r="G585" i="10"/>
  <c r="H585" i="10" s="1"/>
  <c r="G586" i="10"/>
  <c r="H586" i="10" s="1"/>
  <c r="G587" i="10"/>
  <c r="H587" i="10" s="1"/>
  <c r="G588" i="10"/>
  <c r="H588" i="10" s="1"/>
  <c r="G589" i="10"/>
  <c r="H589" i="10" s="1"/>
  <c r="G590" i="10"/>
  <c r="H590" i="10" s="1"/>
  <c r="G591" i="10"/>
  <c r="H591" i="10" s="1"/>
  <c r="G592" i="10"/>
  <c r="H592" i="10" s="1"/>
  <c r="G593" i="10"/>
  <c r="H593" i="10" s="1"/>
  <c r="G594" i="10"/>
  <c r="H594" i="10" s="1"/>
  <c r="G595" i="10"/>
  <c r="H595" i="10" s="1"/>
  <c r="G596" i="10"/>
  <c r="H596" i="10" s="1"/>
  <c r="G597" i="10"/>
  <c r="H597" i="10" s="1"/>
  <c r="G598" i="10"/>
  <c r="H598" i="10" s="1"/>
  <c r="G599" i="10"/>
  <c r="H599" i="10" s="1"/>
  <c r="G600" i="10"/>
  <c r="H600" i="10" s="1"/>
  <c r="G601" i="10"/>
  <c r="H601" i="10" s="1"/>
  <c r="G602" i="10"/>
  <c r="H602" i="10" s="1"/>
  <c r="G603" i="10"/>
  <c r="H603" i="10" s="1"/>
  <c r="G604" i="10"/>
  <c r="H604" i="10" s="1"/>
  <c r="G605" i="10"/>
  <c r="H605" i="10" s="1"/>
  <c r="G606" i="10"/>
  <c r="H606" i="10" s="1"/>
  <c r="G607" i="10"/>
  <c r="H607" i="10" s="1"/>
  <c r="G608" i="10"/>
  <c r="H608" i="10" s="1"/>
  <c r="G609" i="10"/>
  <c r="H609" i="10" s="1"/>
  <c r="G610" i="10"/>
  <c r="H610" i="10" s="1"/>
  <c r="G611" i="10"/>
  <c r="H611" i="10" s="1"/>
  <c r="G612" i="10"/>
  <c r="H612" i="10" s="1"/>
  <c r="G613" i="10"/>
  <c r="H613" i="10" s="1"/>
  <c r="G614" i="10"/>
  <c r="H614" i="10" s="1"/>
  <c r="G615" i="10"/>
  <c r="H615" i="10" s="1"/>
  <c r="G616" i="10"/>
  <c r="H616" i="10" s="1"/>
  <c r="G617" i="10"/>
  <c r="H617" i="10" s="1"/>
  <c r="G618" i="10"/>
  <c r="H618" i="10" s="1"/>
  <c r="G619" i="10"/>
  <c r="H619" i="10" s="1"/>
  <c r="G620" i="10"/>
  <c r="H620" i="10" s="1"/>
  <c r="G621" i="10"/>
  <c r="H621" i="10" s="1"/>
  <c r="G622" i="10"/>
  <c r="H622" i="10" s="1"/>
  <c r="G623" i="10"/>
  <c r="H623" i="10" s="1"/>
  <c r="G624" i="10"/>
  <c r="H624" i="10" s="1"/>
  <c r="G625" i="10"/>
  <c r="H625" i="10" s="1"/>
  <c r="G626" i="10"/>
  <c r="H626" i="10" s="1"/>
  <c r="G627" i="10"/>
  <c r="H627" i="10" s="1"/>
  <c r="G628" i="10"/>
  <c r="H628" i="10" s="1"/>
  <c r="G629" i="10"/>
  <c r="H629" i="10" s="1"/>
  <c r="G630" i="10"/>
  <c r="H630" i="10" s="1"/>
</calcChain>
</file>

<file path=xl/sharedStrings.xml><?xml version="1.0" encoding="utf-8"?>
<sst xmlns="http://schemas.openxmlformats.org/spreadsheetml/2006/main" count="1968" uniqueCount="86">
  <si>
    <t>To solve the case we need to:</t>
  </si>
  <si>
    <t>1.</t>
  </si>
  <si>
    <t>2.</t>
  </si>
  <si>
    <t>3.</t>
  </si>
  <si>
    <t>4.</t>
  </si>
  <si>
    <t>5.</t>
  </si>
  <si>
    <t>My personal notes:</t>
  </si>
  <si>
    <t>Category</t>
  </si>
  <si>
    <t>Item</t>
  </si>
  <si>
    <t>Pen</t>
  </si>
  <si>
    <t>Micro-Ballpoint pen</t>
  </si>
  <si>
    <t>Maxi-ballpoint pen</t>
  </si>
  <si>
    <t>Midi-ballpoint pen</t>
  </si>
  <si>
    <t>Deluxe-Fountain pen</t>
  </si>
  <si>
    <t>Basic-Fountain pen</t>
  </si>
  <si>
    <t>Pencil</t>
  </si>
  <si>
    <t>B Pencil</t>
  </si>
  <si>
    <t>HB Pencil</t>
  </si>
  <si>
    <t>Pencil with rubber</t>
  </si>
  <si>
    <t>Blue/Red Pencil</t>
  </si>
  <si>
    <t>01-Refill pencil</t>
  </si>
  <si>
    <t>05-Refill pencil</t>
  </si>
  <si>
    <t>Blocknotes</t>
  </si>
  <si>
    <t>Maxi Blocknotes</t>
  </si>
  <si>
    <t>Med Blocknotes</t>
  </si>
  <si>
    <t>Mini Blocknotes</t>
  </si>
  <si>
    <t>White Blocknotes</t>
  </si>
  <si>
    <t>Catalogue Blocknotes</t>
  </si>
  <si>
    <t>Large-Spiral Blocknotes</t>
  </si>
  <si>
    <t>Rubber</t>
  </si>
  <si>
    <t>Soft-Pencil Rubber</t>
  </si>
  <si>
    <t>Hard-Pencil Rubber</t>
  </si>
  <si>
    <t>Pen/Pencil rubber</t>
  </si>
  <si>
    <t>Pencil Refill</t>
  </si>
  <si>
    <t>Refill HB Pencil</t>
  </si>
  <si>
    <t>Refill H Pencil</t>
  </si>
  <si>
    <t>Refill B Pencil</t>
  </si>
  <si>
    <t>Scotch</t>
  </si>
  <si>
    <t>Maxi scotch</t>
  </si>
  <si>
    <t>Micro scotch</t>
  </si>
  <si>
    <t>Double-sided tape</t>
  </si>
  <si>
    <t>Transparent tape</t>
  </si>
  <si>
    <t>Pencil Sharpener</t>
  </si>
  <si>
    <t>DeLuxe Pencil sharpener</t>
  </si>
  <si>
    <t>Basic Pencil sharpener</t>
  </si>
  <si>
    <t>Transparent folder</t>
  </si>
  <si>
    <t>Holed transparent folder</t>
  </si>
  <si>
    <t>Colored Transparent folder</t>
  </si>
  <si>
    <t>File folder</t>
  </si>
  <si>
    <t>Maxi file folder</t>
  </si>
  <si>
    <t>Med File Folder</t>
  </si>
  <si>
    <t>Mini File Folder</t>
  </si>
  <si>
    <t>Commercial envelope</t>
  </si>
  <si>
    <t>Large Commercial Envelope</t>
  </si>
  <si>
    <t>Medium Commercial Envelope</t>
  </si>
  <si>
    <t>Tight Commercial Envelope</t>
  </si>
  <si>
    <t>Small Commercial Envelope</t>
  </si>
  <si>
    <t>Sale date and time</t>
  </si>
  <si>
    <t>Shipment date and time</t>
  </si>
  <si>
    <t>Supplier</t>
  </si>
  <si>
    <t>Office Time</t>
  </si>
  <si>
    <t>Jovines</t>
  </si>
  <si>
    <t>World Office Supplier</t>
  </si>
  <si>
    <t>Joy</t>
  </si>
  <si>
    <t>Marins</t>
  </si>
  <si>
    <t>Atemlos</t>
  </si>
  <si>
    <t>Michels</t>
  </si>
  <si>
    <t>Juppers</t>
  </si>
  <si>
    <t>Tuscanian</t>
  </si>
  <si>
    <t>Brice</t>
  </si>
  <si>
    <t>Revenue</t>
  </si>
  <si>
    <t>Total revenues 10-20 Jan</t>
  </si>
  <si>
    <t>Not shipped</t>
  </si>
  <si>
    <t>NA</t>
  </si>
  <si>
    <t>See order notes</t>
  </si>
  <si>
    <t>Shipping management</t>
  </si>
  <si>
    <t>Day check</t>
  </si>
  <si>
    <t>In the new column Shipping management use the IF function and operation between dates to show, for each sale:
- The text string “Excellent handling” if the shipment started in 48 hours or less
- An empty cell if the shipment started in 48 to 96 hours
- The text string “Bad handling” if the shipment started in 96 hours or more</t>
  </si>
  <si>
    <t>In thenew Day check column use IF and WEEKDAY functions to show, for each sale, the text string “Weekend sale” if the sale was on a Sunday or on a Saturday, or an empty cell in all other cases</t>
  </si>
  <si>
    <t>Use conditional formatting to apply a format to the cells of the Revenue field so that the cells corresponding to sales made after 1/1/2025 and with a revenue greater than or equal to 500 euros are automatically highlighted with a fill color of your choice</t>
  </si>
  <si>
    <t>6.</t>
  </si>
  <si>
    <t>In the new Analysis worksheet use the SUMIFS fuction to calculate the total revenues for each category, considering only the sales carried out between 1/10/2025 and 1/20/2025 (both inclusive), . Then sort the categories, in the Analysis worksheet, in ascending order.</t>
  </si>
  <si>
    <t>Lesson 8 - Case 2</t>
  </si>
  <si>
    <t>In the new Hours for shipping column, use IF, ISTEXT and TODAY functions to calculate and how many hours passed between the sale date and time and shipping date and time, for each sale</t>
  </si>
  <si>
    <t>Days for shipping</t>
  </si>
  <si>
    <t>Use conditional formatting to apply a format to the cells of the Product field so that the cells corresponding to sales made between 10:00 AM (included) and 12:00 PM (not included) are automatically highlighted with a fill color of your choice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</si>
</sst>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ss"/>
    <numFmt numFmtId="165" formatCode="#,##0.00\ &quot;€&quot;"/>
  </numFmts>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8"/>
      <color theme="0"/>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4" tint="-0.499984740745262"/>
        <bgColor indexed="64"/>
      </patternFill>
    </fill>
    <fill>
      <patternFill patternType="solid">
        <fgColor theme="7" tint="0.79998168889431442"/>
        <bgColor indexed="64"/>
      </patternFill>
    </fill>
    <fill>
      <patternFill patternType="solid">
        <fgColor theme="7" tint="0.39997558519241921"/>
        <bgColor indexed="64"/>
      </patternFill>
    </fill>
  </fills>
  <borders count="4">
    <border>
      <left/>
      <right/>
      <top/>
      <bottom/>
      <diagonal/>
    </border>
    <border>
      <left/>
      <right/>
      <top/>
      <bottom style="dotted">
        <color auto="1"/>
      </bottom>
      <diagonal/>
    </border>
    <border>
      <left/>
      <right/>
      <top style="dotted">
        <color auto="1"/>
      </top>
      <bottom style="dotted">
        <color auto="1"/>
      </bottom>
      <diagonal/>
    </border>
    <border>
      <left/>
      <right/>
      <top/>
      <bottom style="thin">
        <color indexed="64"/>
      </bottom>
      <diagonal/>
    </border>
  </borders>
  <cellStyleXfs count="1">
    <xf numFmtId="0" fontId="0" fillId="0" borderId="0"/>
  </cellStyleXfs>
  <cellXfs count="14">
    <xf numFmtId="0" fontId="0" fillId="0" borderId="0" xfId="0"/>
    <xf numFmtId="0" fontId="0" fillId="2" borderId="0" xfId="0" applyFill="1"/>
    <xf numFmtId="0" fontId="2" fillId="2" borderId="0" xfId="0" applyFont="1" applyFill="1" applyAlignment="1">
      <alignment vertical="center"/>
    </xf>
    <xf numFmtId="0" fontId="2" fillId="2" borderId="0" xfId="0" applyFont="1" applyFill="1" applyAlignment="1">
      <alignment horizontal="right" vertical="top"/>
    </xf>
    <xf numFmtId="0" fontId="3" fillId="2" borderId="0" xfId="0" applyFont="1" applyFill="1" applyAlignment="1">
      <alignment horizontal="justify" vertical="top" wrapText="1"/>
    </xf>
    <xf numFmtId="0" fontId="0" fillId="4" borderId="0" xfId="0" applyFill="1"/>
    <xf numFmtId="0" fontId="0" fillId="4" borderId="1" xfId="0" applyFill="1" applyBorder="1"/>
    <xf numFmtId="0" fontId="0" fillId="4" borderId="2" xfId="0" applyFill="1" applyBorder="1"/>
    <xf numFmtId="0" fontId="0" fillId="5" borderId="0" xfId="0" applyFill="1"/>
    <xf numFmtId="0" fontId="0" fillId="5" borderId="0" xfId="0" applyFill="1" applyAlignment="1">
      <alignment vertical="center"/>
    </xf>
    <xf numFmtId="164" fontId="0" fillId="0" borderId="0" xfId="0" applyNumberFormat="1"/>
    <xf numFmtId="0" fontId="1" fillId="0" borderId="3" xfId="0" applyFont="1" applyBorder="1"/>
    <xf numFmtId="165" fontId="0" fillId="0" borderId="0" xfId="0" applyNumberFormat="1"/>
    <xf numFmtId="0" fontId="4" fillId="3" borderId="0" xfId="0" applyFont="1" applyFill="1" applyAlignment="1">
      <alignment horizontal="center" vertical="center"/>
    </xf>
  </cellXfs>
  <cellStyles count="1">
    <cellStyle name="Normal" xfId="0" builtinId="0"/>
  </cellStyles>
  <dxfs count="4">
    <dxf>
      <fill>
        <patternFill>
          <bgColor theme="9" tint="0.39994506668294322"/>
        </patternFill>
      </fill>
    </dxf>
    <dxf>
      <fill>
        <patternFill>
          <bgColor theme="7"/>
        </patternFill>
      </fill>
    </dxf>
    <dxf>
      <fill>
        <patternFill>
          <bgColor theme="9" tint="0.39994506668294322"/>
        </patternFill>
      </fill>
    </dxf>
    <dxf>
      <fill>
        <patternFill>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55CC-F343-4FFB-A9C4-D0BB48924A53}">
  <dimension ref="A1:H11"/>
  <sheetViews>
    <sheetView showGridLines="0" zoomScaleNormal="100" workbookViewId="0"/>
  </sheetViews>
  <sheetFormatPr defaultRowHeight="14.4" x14ac:dyDescent="0.3"/>
  <cols>
    <col min="1" max="1" width="3.6640625" customWidth="1"/>
    <col min="2" max="2" width="4.6640625" customWidth="1"/>
    <col min="3" max="3" width="82.44140625" customWidth="1"/>
    <col min="4" max="6" width="3.6640625" customWidth="1"/>
    <col min="7" max="7" width="58.44140625" customWidth="1"/>
    <col min="8" max="8" width="3.6640625" customWidth="1"/>
  </cols>
  <sheetData>
    <row r="1" spans="1:8" x14ac:dyDescent="0.3">
      <c r="A1" s="1"/>
      <c r="B1" s="1"/>
      <c r="C1" s="1"/>
      <c r="D1" s="1"/>
    </row>
    <row r="2" spans="1:8" ht="25.5" customHeight="1" x14ac:dyDescent="0.3">
      <c r="A2" s="1"/>
      <c r="B2" s="13" t="s">
        <v>82</v>
      </c>
      <c r="C2" s="13"/>
      <c r="D2" s="1"/>
    </row>
    <row r="3" spans="1:8" ht="21.75" customHeight="1" x14ac:dyDescent="0.3">
      <c r="A3" s="1"/>
      <c r="B3" s="1"/>
      <c r="C3" s="1"/>
      <c r="D3" s="1"/>
      <c r="F3" s="8"/>
      <c r="G3" s="9" t="s">
        <v>6</v>
      </c>
      <c r="H3" s="8"/>
    </row>
    <row r="4" spans="1:8" ht="23.25" customHeight="1" x14ac:dyDescent="0.3">
      <c r="A4" s="1"/>
      <c r="B4" s="2" t="s">
        <v>0</v>
      </c>
      <c r="C4" s="1"/>
      <c r="D4" s="1"/>
      <c r="F4" s="5"/>
      <c r="G4" s="6"/>
      <c r="H4" s="5"/>
    </row>
    <row r="5" spans="1:8" ht="53.25" customHeight="1" x14ac:dyDescent="0.3">
      <c r="A5" s="1"/>
      <c r="B5" s="3" t="s">
        <v>1</v>
      </c>
      <c r="C5" s="4" t="s">
        <v>83</v>
      </c>
      <c r="D5" s="1"/>
      <c r="F5" s="5"/>
      <c r="G5" s="7"/>
      <c r="H5" s="5"/>
    </row>
    <row r="6" spans="1:8" ht="90" customHeight="1" x14ac:dyDescent="0.3">
      <c r="A6" s="1"/>
      <c r="B6" s="3" t="s">
        <v>2</v>
      </c>
      <c r="C6" s="4" t="s">
        <v>77</v>
      </c>
      <c r="D6" s="1"/>
      <c r="F6" s="5"/>
      <c r="G6" s="7"/>
      <c r="H6" s="5"/>
    </row>
    <row r="7" spans="1:8" ht="57.75" customHeight="1" x14ac:dyDescent="0.3">
      <c r="A7" s="1"/>
      <c r="B7" s="3" t="s">
        <v>3</v>
      </c>
      <c r="C7" s="4" t="s">
        <v>78</v>
      </c>
      <c r="D7" s="1"/>
      <c r="F7" s="5"/>
      <c r="G7" s="7"/>
      <c r="H7" s="5"/>
    </row>
    <row r="8" spans="1:8" ht="55.5" customHeight="1" x14ac:dyDescent="0.3">
      <c r="A8" s="1"/>
      <c r="B8" s="3" t="s">
        <v>4</v>
      </c>
      <c r="C8" s="4" t="s">
        <v>79</v>
      </c>
      <c r="D8" s="1"/>
      <c r="F8" s="5"/>
      <c r="G8" s="7"/>
      <c r="H8" s="5"/>
    </row>
    <row r="9" spans="1:8" ht="62.25" customHeight="1" x14ac:dyDescent="0.3">
      <c r="A9" s="1"/>
      <c r="B9" s="3" t="s">
        <v>5</v>
      </c>
      <c r="C9" s="4" t="s">
        <v>85</v>
      </c>
      <c r="D9" s="1"/>
      <c r="F9" s="5"/>
      <c r="G9" s="7"/>
      <c r="H9" s="5"/>
    </row>
    <row r="10" spans="1:8" ht="62.4" x14ac:dyDescent="0.3">
      <c r="A10" s="1"/>
      <c r="B10" s="3" t="s">
        <v>80</v>
      </c>
      <c r="C10" s="4" t="s">
        <v>81</v>
      </c>
      <c r="D10" s="1"/>
      <c r="F10" s="5"/>
      <c r="G10" s="7"/>
      <c r="H10" s="5"/>
    </row>
    <row r="11" spans="1:8" x14ac:dyDescent="0.3">
      <c r="A11" s="1"/>
      <c r="B11" s="1"/>
      <c r="C11" s="1"/>
      <c r="D11" s="1"/>
      <c r="F11" s="5"/>
      <c r="G11" s="5"/>
      <c r="H11" s="5"/>
    </row>
  </sheetData>
  <mergeCells count="1">
    <mergeCell ref="B2:C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973A9-D13A-404F-B596-AA79C7B980AF}">
  <dimension ref="A1:I630"/>
  <sheetViews>
    <sheetView tabSelected="1" topLeftCell="C1" workbookViewId="0">
      <selection activeCell="F2" sqref="F2"/>
    </sheetView>
  </sheetViews>
  <sheetFormatPr defaultRowHeight="14.4" x14ac:dyDescent="0.3"/>
  <cols>
    <col min="1" max="1" width="20.88671875" customWidth="1"/>
    <col min="2" max="2" width="28.6640625" bestFit="1" customWidth="1"/>
    <col min="3" max="3" width="20.6640625" bestFit="1" customWidth="1"/>
    <col min="4" max="4" width="20.44140625" bestFit="1" customWidth="1"/>
    <col min="5" max="5" width="22.6640625" bestFit="1" customWidth="1"/>
    <col min="6" max="6" width="14.5546875" customWidth="1"/>
    <col min="7" max="7" width="17.44140625" bestFit="1" customWidth="1"/>
    <col min="8" max="8" width="23.5546875" customWidth="1"/>
    <col min="9" max="9" width="15" bestFit="1" customWidth="1"/>
  </cols>
  <sheetData>
    <row r="1" spans="1:9" x14ac:dyDescent="0.3">
      <c r="A1" s="11" t="s">
        <v>57</v>
      </c>
      <c r="B1" s="11" t="s">
        <v>8</v>
      </c>
      <c r="C1" s="11" t="s">
        <v>7</v>
      </c>
      <c r="D1" s="11" t="s">
        <v>59</v>
      </c>
      <c r="E1" s="11" t="s">
        <v>58</v>
      </c>
      <c r="F1" s="11" t="s">
        <v>70</v>
      </c>
      <c r="G1" s="11" t="s">
        <v>84</v>
      </c>
      <c r="H1" s="11" t="s">
        <v>75</v>
      </c>
      <c r="I1" s="11" t="s">
        <v>76</v>
      </c>
    </row>
    <row r="2" spans="1:9" x14ac:dyDescent="0.3">
      <c r="A2" s="10">
        <v>45694.240532021504</v>
      </c>
      <c r="B2" t="s">
        <v>39</v>
      </c>
      <c r="C2" t="s">
        <v>37</v>
      </c>
      <c r="D2" t="s">
        <v>65</v>
      </c>
      <c r="E2" s="10">
        <v>45698.424564901994</v>
      </c>
      <c r="F2" s="12">
        <v>88.71</v>
      </c>
      <c r="G2">
        <f t="shared" ref="G2:G65" ca="1" si="0">IF(ISTEXT(E2),TODAY(),E2)-A2</f>
        <v>4.1840328804901219</v>
      </c>
      <c r="H2" t="str">
        <f ca="1">IF(G2*24&lt;=48,"Excellent handling",IF(G2*24&gt;=96,"Bad handling",""))</f>
        <v>Bad handling</v>
      </c>
      <c r="I2" t="str">
        <f>IF(OR(WEEKDAY(A2)=1,WEEKDAY(A2)=7),"Weekend sale","")</f>
        <v/>
      </c>
    </row>
    <row r="3" spans="1:9" x14ac:dyDescent="0.3">
      <c r="A3" s="10">
        <v>45679.006580086083</v>
      </c>
      <c r="B3" t="s">
        <v>53</v>
      </c>
      <c r="C3" t="s">
        <v>52</v>
      </c>
      <c r="D3" t="s">
        <v>66</v>
      </c>
      <c r="E3" s="10">
        <v>45681.594513430508</v>
      </c>
      <c r="F3" s="12">
        <v>499.26</v>
      </c>
      <c r="G3">
        <f t="shared" ca="1" si="0"/>
        <v>2.5879333444245276</v>
      </c>
      <c r="H3" t="str">
        <f t="shared" ref="H3:H66" ca="1" si="1">IF(G3*24&lt;=48,"Excellent handling",IF(G3*24&gt;=96,"Bad handling",""))</f>
        <v/>
      </c>
      <c r="I3" t="str">
        <f t="shared" ref="I3:I66" si="2">IF(OR(WEEKDAY(A3)=1,WEEKDAY(A3)=7),"Weekend sale","")</f>
        <v/>
      </c>
    </row>
    <row r="4" spans="1:9" x14ac:dyDescent="0.3">
      <c r="A4" s="10">
        <v>45666.230552945832</v>
      </c>
      <c r="B4" t="s">
        <v>46</v>
      </c>
      <c r="C4" t="s">
        <v>45</v>
      </c>
      <c r="D4" t="s">
        <v>64</v>
      </c>
      <c r="E4" s="10">
        <v>45670.377443639612</v>
      </c>
      <c r="F4" s="12">
        <v>317.45</v>
      </c>
      <c r="G4">
        <f t="shared" ca="1" si="0"/>
        <v>4.1468906937807333</v>
      </c>
      <c r="H4" t="str">
        <f t="shared" ca="1" si="1"/>
        <v>Bad handling</v>
      </c>
      <c r="I4" t="str">
        <f t="shared" si="2"/>
        <v/>
      </c>
    </row>
    <row r="5" spans="1:9" x14ac:dyDescent="0.3">
      <c r="A5" s="10">
        <v>45634.197361109713</v>
      </c>
      <c r="B5" t="s">
        <v>23</v>
      </c>
      <c r="C5" t="s">
        <v>22</v>
      </c>
      <c r="D5" t="s">
        <v>67</v>
      </c>
      <c r="E5" s="10">
        <v>45637.853599038273</v>
      </c>
      <c r="F5" s="12">
        <v>168.33</v>
      </c>
      <c r="G5">
        <f t="shared" ca="1" si="0"/>
        <v>3.6562379285605857</v>
      </c>
      <c r="H5" t="str">
        <f t="shared" ca="1" si="1"/>
        <v/>
      </c>
      <c r="I5" t="str">
        <f t="shared" si="2"/>
        <v>Weekend sale</v>
      </c>
    </row>
    <row r="6" spans="1:9" x14ac:dyDescent="0.3">
      <c r="A6" s="10">
        <v>45632.443322974446</v>
      </c>
      <c r="B6" t="s">
        <v>11</v>
      </c>
      <c r="C6" t="s">
        <v>9</v>
      </c>
      <c r="D6" t="s">
        <v>67</v>
      </c>
      <c r="E6" s="10" t="s">
        <v>72</v>
      </c>
      <c r="F6" s="12">
        <v>500.76</v>
      </c>
      <c r="G6">
        <f t="shared" ca="1" si="0"/>
        <v>422.55667702555365</v>
      </c>
      <c r="H6" t="str">
        <f t="shared" ca="1" si="1"/>
        <v>Bad handling</v>
      </c>
      <c r="I6" t="str">
        <f t="shared" si="2"/>
        <v/>
      </c>
    </row>
    <row r="7" spans="1:9" x14ac:dyDescent="0.3">
      <c r="A7" s="10">
        <v>45666.310579776182</v>
      </c>
      <c r="B7" t="s">
        <v>11</v>
      </c>
      <c r="C7" t="s">
        <v>9</v>
      </c>
      <c r="D7" t="s">
        <v>67</v>
      </c>
      <c r="E7" s="10">
        <v>45668.707659947293</v>
      </c>
      <c r="F7" s="12">
        <v>378.66</v>
      </c>
      <c r="G7">
        <f t="shared" ca="1" si="0"/>
        <v>2.3970801711111562</v>
      </c>
      <c r="H7" t="str">
        <f t="shared" ca="1" si="1"/>
        <v/>
      </c>
      <c r="I7" t="str">
        <f t="shared" si="2"/>
        <v/>
      </c>
    </row>
    <row r="8" spans="1:9" x14ac:dyDescent="0.3">
      <c r="A8" s="10">
        <v>45658.436799115523</v>
      </c>
      <c r="B8" t="s">
        <v>55</v>
      </c>
      <c r="C8" t="s">
        <v>52</v>
      </c>
      <c r="D8" t="s">
        <v>67</v>
      </c>
      <c r="E8" s="10">
        <v>45661.425813852467</v>
      </c>
      <c r="F8" s="12">
        <v>790.44</v>
      </c>
      <c r="G8">
        <f t="shared" ca="1" si="0"/>
        <v>2.9890147369442275</v>
      </c>
      <c r="H8" t="str">
        <f t="shared" ca="1" si="1"/>
        <v/>
      </c>
      <c r="I8" t="str">
        <f t="shared" si="2"/>
        <v/>
      </c>
    </row>
    <row r="9" spans="1:9" x14ac:dyDescent="0.3">
      <c r="A9" s="10">
        <v>45653.18539213184</v>
      </c>
      <c r="B9" t="s">
        <v>10</v>
      </c>
      <c r="C9" t="s">
        <v>9</v>
      </c>
      <c r="D9" t="s">
        <v>61</v>
      </c>
      <c r="E9" s="10">
        <v>45655.069390086486</v>
      </c>
      <c r="F9" s="12">
        <v>546.04999999999995</v>
      </c>
      <c r="G9">
        <f t="shared" ca="1" si="0"/>
        <v>1.8839979546464747</v>
      </c>
      <c r="H9" t="str">
        <f t="shared" ca="1" si="1"/>
        <v>Excellent handling</v>
      </c>
      <c r="I9" t="str">
        <f t="shared" si="2"/>
        <v/>
      </c>
    </row>
    <row r="10" spans="1:9" x14ac:dyDescent="0.3">
      <c r="A10" s="10">
        <v>45647.889355620173</v>
      </c>
      <c r="B10" t="s">
        <v>50</v>
      </c>
      <c r="C10" t="s">
        <v>48</v>
      </c>
      <c r="D10" t="s">
        <v>64</v>
      </c>
      <c r="E10" s="10">
        <v>45649.304702662026</v>
      </c>
      <c r="F10" s="12">
        <v>291.64999999999998</v>
      </c>
      <c r="G10">
        <f t="shared" ca="1" si="0"/>
        <v>1.4153470418532379</v>
      </c>
      <c r="H10" t="str">
        <f t="shared" ca="1" si="1"/>
        <v>Excellent handling</v>
      </c>
      <c r="I10" t="str">
        <f t="shared" si="2"/>
        <v>Weekend sale</v>
      </c>
    </row>
    <row r="11" spans="1:9" x14ac:dyDescent="0.3">
      <c r="A11" s="10">
        <v>45669.632696644621</v>
      </c>
      <c r="B11" t="s">
        <v>56</v>
      </c>
      <c r="C11" t="s">
        <v>52</v>
      </c>
      <c r="D11" t="s">
        <v>67</v>
      </c>
      <c r="E11" s="10">
        <v>45673.760294009728</v>
      </c>
      <c r="F11" s="12">
        <v>352.77</v>
      </c>
      <c r="G11">
        <f t="shared" ca="1" si="0"/>
        <v>4.1275973651063396</v>
      </c>
      <c r="H11" t="str">
        <f t="shared" ca="1" si="1"/>
        <v>Bad handling</v>
      </c>
      <c r="I11" t="str">
        <f t="shared" si="2"/>
        <v>Weekend sale</v>
      </c>
    </row>
    <row r="12" spans="1:9" x14ac:dyDescent="0.3">
      <c r="A12" s="10">
        <v>45680.737845729986</v>
      </c>
      <c r="B12" t="s">
        <v>10</v>
      </c>
      <c r="C12" t="s">
        <v>9</v>
      </c>
      <c r="D12" t="s">
        <v>61</v>
      </c>
      <c r="E12" s="10">
        <v>45683.648537119501</v>
      </c>
      <c r="F12" s="12">
        <v>464.22</v>
      </c>
      <c r="G12">
        <f t="shared" ca="1" si="0"/>
        <v>2.9106913895157049</v>
      </c>
      <c r="H12" t="str">
        <f t="shared" ca="1" si="1"/>
        <v/>
      </c>
      <c r="I12" t="str">
        <f t="shared" si="2"/>
        <v/>
      </c>
    </row>
    <row r="13" spans="1:9" x14ac:dyDescent="0.3">
      <c r="A13" s="10">
        <v>45661.00569578322</v>
      </c>
      <c r="B13" t="s">
        <v>38</v>
      </c>
      <c r="C13" t="s">
        <v>37</v>
      </c>
      <c r="D13" t="s">
        <v>63</v>
      </c>
      <c r="E13" s="10">
        <v>45663.884023309904</v>
      </c>
      <c r="F13" s="12">
        <v>494.87</v>
      </c>
      <c r="G13">
        <f t="shared" ca="1" si="0"/>
        <v>2.8783275266832788</v>
      </c>
      <c r="H13" t="str">
        <f t="shared" ca="1" si="1"/>
        <v/>
      </c>
      <c r="I13" t="str">
        <f t="shared" si="2"/>
        <v>Weekend sale</v>
      </c>
    </row>
    <row r="14" spans="1:9" x14ac:dyDescent="0.3">
      <c r="A14" s="10">
        <v>45651.331412037034</v>
      </c>
      <c r="B14" t="s">
        <v>11</v>
      </c>
      <c r="C14" t="s">
        <v>9</v>
      </c>
      <c r="D14" t="s">
        <v>67</v>
      </c>
      <c r="E14" s="10" t="s">
        <v>74</v>
      </c>
      <c r="F14" s="12">
        <v>568.46</v>
      </c>
      <c r="G14">
        <f t="shared" ca="1" si="0"/>
        <v>403.66858796296583</v>
      </c>
      <c r="H14" t="str">
        <f t="shared" ca="1" si="1"/>
        <v>Bad handling</v>
      </c>
      <c r="I14" t="str">
        <f t="shared" si="2"/>
        <v/>
      </c>
    </row>
    <row r="15" spans="1:9" x14ac:dyDescent="0.3">
      <c r="A15" s="10">
        <v>45644.617397206835</v>
      </c>
      <c r="B15" t="s">
        <v>26</v>
      </c>
      <c r="C15" t="s">
        <v>22</v>
      </c>
      <c r="D15" t="s">
        <v>65</v>
      </c>
      <c r="E15" s="10">
        <v>45647.2813713793</v>
      </c>
      <c r="F15" s="12">
        <v>512.26</v>
      </c>
      <c r="G15">
        <f t="shared" ca="1" si="0"/>
        <v>2.6639741724648047</v>
      </c>
      <c r="H15" t="str">
        <f t="shared" ca="1" si="1"/>
        <v/>
      </c>
      <c r="I15" t="str">
        <f t="shared" si="2"/>
        <v/>
      </c>
    </row>
    <row r="16" spans="1:9" x14ac:dyDescent="0.3">
      <c r="A16" s="10">
        <v>45693.892824051436</v>
      </c>
      <c r="B16" t="s">
        <v>43</v>
      </c>
      <c r="C16" t="s">
        <v>42</v>
      </c>
      <c r="D16" t="s">
        <v>62</v>
      </c>
      <c r="E16" s="10">
        <v>45694.61413007645</v>
      </c>
      <c r="F16" s="12">
        <v>511.42</v>
      </c>
      <c r="G16">
        <f t="shared" ca="1" si="0"/>
        <v>0.72130602501420071</v>
      </c>
      <c r="H16" t="str">
        <f t="shared" ca="1" si="1"/>
        <v>Excellent handling</v>
      </c>
      <c r="I16" t="str">
        <f t="shared" si="2"/>
        <v/>
      </c>
    </row>
    <row r="17" spans="1:9" x14ac:dyDescent="0.3">
      <c r="A17" s="10">
        <v>45682.639962167625</v>
      </c>
      <c r="B17" t="s">
        <v>18</v>
      </c>
      <c r="C17" t="s">
        <v>15</v>
      </c>
      <c r="D17" t="s">
        <v>64</v>
      </c>
      <c r="E17" s="10">
        <v>45686.46563839673</v>
      </c>
      <c r="F17" s="12">
        <v>613.21</v>
      </c>
      <c r="G17">
        <f t="shared" ca="1" si="0"/>
        <v>3.8256762291057385</v>
      </c>
      <c r="H17" t="str">
        <f t="shared" ca="1" si="1"/>
        <v/>
      </c>
      <c r="I17" t="str">
        <f t="shared" si="2"/>
        <v>Weekend sale</v>
      </c>
    </row>
    <row r="18" spans="1:9" x14ac:dyDescent="0.3">
      <c r="A18" s="10">
        <v>45684.344778133855</v>
      </c>
      <c r="B18" t="s">
        <v>24</v>
      </c>
      <c r="C18" t="s">
        <v>22</v>
      </c>
      <c r="D18" t="s">
        <v>61</v>
      </c>
      <c r="E18" s="10">
        <v>45688.037558485863</v>
      </c>
      <c r="F18" s="12">
        <v>196.42</v>
      </c>
      <c r="G18">
        <f t="shared" ca="1" si="0"/>
        <v>3.6927803520084126</v>
      </c>
      <c r="H18" t="str">
        <f t="shared" ca="1" si="1"/>
        <v/>
      </c>
      <c r="I18" t="str">
        <f t="shared" si="2"/>
        <v/>
      </c>
    </row>
    <row r="19" spans="1:9" x14ac:dyDescent="0.3">
      <c r="A19" s="10">
        <v>45663.608963590756</v>
      </c>
      <c r="B19" t="s">
        <v>41</v>
      </c>
      <c r="C19" t="s">
        <v>37</v>
      </c>
      <c r="D19" t="s">
        <v>68</v>
      </c>
      <c r="E19" s="10">
        <v>45666.903334005794</v>
      </c>
      <c r="F19" s="12">
        <v>627.66</v>
      </c>
      <c r="G19">
        <f t="shared" ca="1" si="0"/>
        <v>3.2943704150384292</v>
      </c>
      <c r="H19" t="str">
        <f t="shared" ca="1" si="1"/>
        <v/>
      </c>
      <c r="I19" t="str">
        <f t="shared" si="2"/>
        <v/>
      </c>
    </row>
    <row r="20" spans="1:9" x14ac:dyDescent="0.3">
      <c r="A20" s="10">
        <v>45627.368751975853</v>
      </c>
      <c r="B20" t="s">
        <v>46</v>
      </c>
      <c r="C20" t="s">
        <v>45</v>
      </c>
      <c r="D20" t="s">
        <v>64</v>
      </c>
      <c r="E20" s="10">
        <v>45627.468785217614</v>
      </c>
      <c r="F20" s="12">
        <v>606.25</v>
      </c>
      <c r="G20">
        <f t="shared" ca="1" si="0"/>
        <v>0.10003324176068418</v>
      </c>
      <c r="H20" t="str">
        <f t="shared" ca="1" si="1"/>
        <v>Excellent handling</v>
      </c>
      <c r="I20" t="str">
        <f t="shared" si="2"/>
        <v>Weekend sale</v>
      </c>
    </row>
    <row r="21" spans="1:9" x14ac:dyDescent="0.3">
      <c r="A21" s="10">
        <v>45652.901368666171</v>
      </c>
      <c r="B21" t="s">
        <v>55</v>
      </c>
      <c r="C21" t="s">
        <v>52</v>
      </c>
      <c r="D21" t="s">
        <v>67</v>
      </c>
      <c r="E21" s="10">
        <v>45653.706365539903</v>
      </c>
      <c r="F21" s="12">
        <v>558.38</v>
      </c>
      <c r="G21">
        <f t="shared" ca="1" si="0"/>
        <v>0.80499687373230699</v>
      </c>
      <c r="H21" t="str">
        <f t="shared" ca="1" si="1"/>
        <v>Excellent handling</v>
      </c>
      <c r="I21" t="str">
        <f t="shared" si="2"/>
        <v/>
      </c>
    </row>
    <row r="22" spans="1:9" x14ac:dyDescent="0.3">
      <c r="A22" s="10">
        <v>45662.877828659832</v>
      </c>
      <c r="B22" t="s">
        <v>30</v>
      </c>
      <c r="C22" t="s">
        <v>29</v>
      </c>
      <c r="D22" t="s">
        <v>68</v>
      </c>
      <c r="E22" s="10">
        <v>45665.759037680291</v>
      </c>
      <c r="F22" s="12">
        <v>687.35</v>
      </c>
      <c r="G22">
        <f t="shared" ca="1" si="0"/>
        <v>2.8812090204592096</v>
      </c>
      <c r="H22" t="str">
        <f t="shared" ca="1" si="1"/>
        <v/>
      </c>
      <c r="I22" t="str">
        <f t="shared" si="2"/>
        <v>Weekend sale</v>
      </c>
    </row>
    <row r="23" spans="1:9" x14ac:dyDescent="0.3">
      <c r="A23" s="10">
        <v>45655.145890862266</v>
      </c>
      <c r="B23" t="s">
        <v>31</v>
      </c>
      <c r="C23" t="s">
        <v>29</v>
      </c>
      <c r="D23" t="s">
        <v>61</v>
      </c>
      <c r="E23" s="10">
        <v>45658.193121405522</v>
      </c>
      <c r="F23" s="12">
        <v>148.22</v>
      </c>
      <c r="G23">
        <f t="shared" ca="1" si="0"/>
        <v>3.0472305432558642</v>
      </c>
      <c r="H23" t="str">
        <f t="shared" ca="1" si="1"/>
        <v/>
      </c>
      <c r="I23" t="str">
        <f t="shared" si="2"/>
        <v>Weekend sale</v>
      </c>
    </row>
    <row r="24" spans="1:9" x14ac:dyDescent="0.3">
      <c r="A24" s="10">
        <v>45643.453248432932</v>
      </c>
      <c r="B24" t="s">
        <v>56</v>
      </c>
      <c r="C24" t="s">
        <v>52</v>
      </c>
      <c r="D24" t="s">
        <v>67</v>
      </c>
      <c r="E24" s="10">
        <v>45648.38240963783</v>
      </c>
      <c r="F24" s="12">
        <v>560.09</v>
      </c>
      <c r="G24">
        <f t="shared" ca="1" si="0"/>
        <v>4.9291612048982643</v>
      </c>
      <c r="H24" t="str">
        <f t="shared" ca="1" si="1"/>
        <v>Bad handling</v>
      </c>
      <c r="I24" t="str">
        <f t="shared" si="2"/>
        <v/>
      </c>
    </row>
    <row r="25" spans="1:9" x14ac:dyDescent="0.3">
      <c r="A25" s="10">
        <v>45636.141922186398</v>
      </c>
      <c r="B25" t="s">
        <v>24</v>
      </c>
      <c r="C25" t="s">
        <v>22</v>
      </c>
      <c r="D25" t="s">
        <v>61</v>
      </c>
      <c r="E25" s="10" t="s">
        <v>73</v>
      </c>
      <c r="F25" s="12">
        <v>500.61</v>
      </c>
      <c r="G25">
        <f t="shared" ca="1" si="0"/>
        <v>418.85807781360199</v>
      </c>
      <c r="H25" t="str">
        <f t="shared" ca="1" si="1"/>
        <v>Bad handling</v>
      </c>
      <c r="I25" t="str">
        <f t="shared" si="2"/>
        <v/>
      </c>
    </row>
    <row r="26" spans="1:9" x14ac:dyDescent="0.3">
      <c r="A26" s="10">
        <v>45638.349864447227</v>
      </c>
      <c r="B26" t="s">
        <v>19</v>
      </c>
      <c r="C26" t="s">
        <v>15</v>
      </c>
      <c r="D26" t="s">
        <v>63</v>
      </c>
      <c r="E26" s="10">
        <v>45641.271174054309</v>
      </c>
      <c r="F26" s="12">
        <v>128.93</v>
      </c>
      <c r="G26">
        <f t="shared" ca="1" si="0"/>
        <v>2.9213096070816391</v>
      </c>
      <c r="H26" t="str">
        <f t="shared" ca="1" si="1"/>
        <v/>
      </c>
      <c r="I26" t="str">
        <f t="shared" si="2"/>
        <v/>
      </c>
    </row>
    <row r="27" spans="1:9" x14ac:dyDescent="0.3">
      <c r="A27" s="10">
        <v>45628.456057033785</v>
      </c>
      <c r="B27" t="s">
        <v>30</v>
      </c>
      <c r="C27" t="s">
        <v>29</v>
      </c>
      <c r="D27" t="s">
        <v>68</v>
      </c>
      <c r="E27" s="10">
        <v>45629.523086461391</v>
      </c>
      <c r="F27" s="12">
        <v>665</v>
      </c>
      <c r="G27">
        <f t="shared" ca="1" si="0"/>
        <v>1.0670294276060304</v>
      </c>
      <c r="H27" t="str">
        <f t="shared" ca="1" si="1"/>
        <v>Excellent handling</v>
      </c>
      <c r="I27" t="str">
        <f t="shared" si="2"/>
        <v/>
      </c>
    </row>
    <row r="28" spans="1:9" x14ac:dyDescent="0.3">
      <c r="A28" s="10">
        <v>45659.080330327291</v>
      </c>
      <c r="B28" t="s">
        <v>55</v>
      </c>
      <c r="C28" t="s">
        <v>52</v>
      </c>
      <c r="D28" t="s">
        <v>67</v>
      </c>
      <c r="E28" s="10">
        <v>45664.058764451809</v>
      </c>
      <c r="F28" s="12">
        <v>532.01</v>
      </c>
      <c r="G28">
        <f t="shared" ca="1" si="0"/>
        <v>4.978434124517662</v>
      </c>
      <c r="H28" t="str">
        <f t="shared" ca="1" si="1"/>
        <v>Bad handling</v>
      </c>
      <c r="I28" t="str">
        <f t="shared" si="2"/>
        <v/>
      </c>
    </row>
    <row r="29" spans="1:9" x14ac:dyDescent="0.3">
      <c r="A29" s="10">
        <v>45653.182534762171</v>
      </c>
      <c r="B29" t="s">
        <v>24</v>
      </c>
      <c r="C29" t="s">
        <v>22</v>
      </c>
      <c r="D29" t="s">
        <v>61</v>
      </c>
      <c r="E29" s="10">
        <v>45653.399894626564</v>
      </c>
      <c r="F29" s="12">
        <v>563.13</v>
      </c>
      <c r="G29">
        <f t="shared" ca="1" si="0"/>
        <v>0.21735986439307453</v>
      </c>
      <c r="H29" t="str">
        <f t="shared" ca="1" si="1"/>
        <v>Excellent handling</v>
      </c>
      <c r="I29" t="str">
        <f t="shared" si="2"/>
        <v/>
      </c>
    </row>
    <row r="30" spans="1:9" x14ac:dyDescent="0.3">
      <c r="A30" s="10">
        <v>45629.149395935478</v>
      </c>
      <c r="B30" t="s">
        <v>41</v>
      </c>
      <c r="C30" t="s">
        <v>37</v>
      </c>
      <c r="D30" t="s">
        <v>68</v>
      </c>
      <c r="E30" s="10">
        <v>45631.565354346196</v>
      </c>
      <c r="F30" s="12">
        <v>590.64</v>
      </c>
      <c r="G30">
        <f t="shared" ca="1" si="0"/>
        <v>2.4159584107183036</v>
      </c>
      <c r="H30" t="str">
        <f t="shared" ca="1" si="1"/>
        <v/>
      </c>
      <c r="I30" t="str">
        <f t="shared" si="2"/>
        <v/>
      </c>
    </row>
    <row r="31" spans="1:9" x14ac:dyDescent="0.3">
      <c r="A31" s="10">
        <v>45670.202470951481</v>
      </c>
      <c r="B31" t="s">
        <v>19</v>
      </c>
      <c r="C31" t="s">
        <v>15</v>
      </c>
      <c r="D31" t="s">
        <v>63</v>
      </c>
      <c r="E31" s="10">
        <v>45672.876582198987</v>
      </c>
      <c r="F31" s="12">
        <v>334.22</v>
      </c>
      <c r="G31">
        <f t="shared" ca="1" si="0"/>
        <v>2.6741112475065165</v>
      </c>
      <c r="H31" t="str">
        <f t="shared" ca="1" si="1"/>
        <v/>
      </c>
      <c r="I31" t="str">
        <f t="shared" si="2"/>
        <v/>
      </c>
    </row>
    <row r="32" spans="1:9" x14ac:dyDescent="0.3">
      <c r="A32" s="10">
        <v>45640.174132893364</v>
      </c>
      <c r="B32" t="s">
        <v>20</v>
      </c>
      <c r="C32" t="s">
        <v>15</v>
      </c>
      <c r="D32" t="s">
        <v>64</v>
      </c>
      <c r="E32" s="10">
        <v>45641.698336447938</v>
      </c>
      <c r="F32" s="12">
        <v>323.36</v>
      </c>
      <c r="G32">
        <f t="shared" ca="1" si="0"/>
        <v>1.524203554574342</v>
      </c>
      <c r="H32" t="str">
        <f t="shared" ca="1" si="1"/>
        <v>Excellent handling</v>
      </c>
      <c r="I32" t="str">
        <f t="shared" si="2"/>
        <v>Weekend sale</v>
      </c>
    </row>
    <row r="33" spans="1:9" x14ac:dyDescent="0.3">
      <c r="A33" s="10">
        <v>45676.836480904836</v>
      </c>
      <c r="B33" t="s">
        <v>34</v>
      </c>
      <c r="C33" t="s">
        <v>33</v>
      </c>
      <c r="D33" t="s">
        <v>62</v>
      </c>
      <c r="E33" s="10">
        <v>45678.83847488516</v>
      </c>
      <c r="F33" s="12">
        <v>466.87</v>
      </c>
      <c r="G33">
        <f t="shared" ca="1" si="0"/>
        <v>2.0019939803241869</v>
      </c>
      <c r="H33" t="str">
        <f t="shared" ca="1" si="1"/>
        <v/>
      </c>
      <c r="I33" t="str">
        <f t="shared" si="2"/>
        <v>Weekend sale</v>
      </c>
    </row>
    <row r="34" spans="1:9" x14ac:dyDescent="0.3">
      <c r="A34" s="10">
        <v>45666.39529536241</v>
      </c>
      <c r="B34" t="s">
        <v>20</v>
      </c>
      <c r="C34" t="s">
        <v>15</v>
      </c>
      <c r="D34" t="s">
        <v>64</v>
      </c>
      <c r="E34" s="10">
        <v>45668.180995220828</v>
      </c>
      <c r="F34" s="12">
        <v>130.75</v>
      </c>
      <c r="G34">
        <f t="shared" ca="1" si="0"/>
        <v>1.7856998584175017</v>
      </c>
      <c r="H34" t="str">
        <f t="shared" ca="1" si="1"/>
        <v>Excellent handling</v>
      </c>
      <c r="I34" t="str">
        <f t="shared" si="2"/>
        <v/>
      </c>
    </row>
    <row r="35" spans="1:9" x14ac:dyDescent="0.3">
      <c r="A35" s="10">
        <v>45687.331745128351</v>
      </c>
      <c r="B35" t="s">
        <v>51</v>
      </c>
      <c r="C35" t="s">
        <v>48</v>
      </c>
      <c r="D35" t="s">
        <v>69</v>
      </c>
      <c r="E35" s="10">
        <v>45687.647183197747</v>
      </c>
      <c r="F35" s="12">
        <v>791.14</v>
      </c>
      <c r="G35">
        <f t="shared" ca="1" si="0"/>
        <v>0.31543806939589558</v>
      </c>
      <c r="H35" t="str">
        <f t="shared" ca="1" si="1"/>
        <v>Excellent handling</v>
      </c>
      <c r="I35" t="str">
        <f t="shared" si="2"/>
        <v/>
      </c>
    </row>
    <row r="36" spans="1:9" x14ac:dyDescent="0.3">
      <c r="A36" s="10">
        <v>45692.936492611363</v>
      </c>
      <c r="B36" t="s">
        <v>16</v>
      </c>
      <c r="C36" t="s">
        <v>15</v>
      </c>
      <c r="D36" t="s">
        <v>61</v>
      </c>
      <c r="E36" s="10" t="s">
        <v>72</v>
      </c>
      <c r="F36" s="12">
        <v>769.01</v>
      </c>
      <c r="G36">
        <f t="shared" ca="1" si="0"/>
        <v>362.06350738863694</v>
      </c>
      <c r="H36" t="str">
        <f t="shared" ca="1" si="1"/>
        <v>Bad handling</v>
      </c>
      <c r="I36" t="str">
        <f t="shared" si="2"/>
        <v/>
      </c>
    </row>
    <row r="37" spans="1:9" x14ac:dyDescent="0.3">
      <c r="A37" s="10">
        <v>45647.023889550263</v>
      </c>
      <c r="B37" t="s">
        <v>30</v>
      </c>
      <c r="C37" t="s">
        <v>29</v>
      </c>
      <c r="D37" t="s">
        <v>68</v>
      </c>
      <c r="E37" s="10">
        <v>45650.032859248189</v>
      </c>
      <c r="F37" s="12">
        <v>339.52</v>
      </c>
      <c r="G37">
        <f t="shared" ca="1" si="0"/>
        <v>3.0089696979266591</v>
      </c>
      <c r="H37" t="str">
        <f t="shared" ca="1" si="1"/>
        <v/>
      </c>
      <c r="I37" t="str">
        <f t="shared" si="2"/>
        <v>Weekend sale</v>
      </c>
    </row>
    <row r="38" spans="1:9" x14ac:dyDescent="0.3">
      <c r="A38" s="10">
        <v>45692.31306321374</v>
      </c>
      <c r="B38" t="s">
        <v>12</v>
      </c>
      <c r="C38" t="s">
        <v>9</v>
      </c>
      <c r="D38" t="s">
        <v>62</v>
      </c>
      <c r="E38" s="10">
        <v>45694.334695840102</v>
      </c>
      <c r="F38" s="12">
        <v>323.25</v>
      </c>
      <c r="G38">
        <f t="shared" ca="1" si="0"/>
        <v>2.0216326263616793</v>
      </c>
      <c r="H38" t="str">
        <f t="shared" ca="1" si="1"/>
        <v/>
      </c>
      <c r="I38" t="str">
        <f t="shared" si="2"/>
        <v/>
      </c>
    </row>
    <row r="39" spans="1:9" x14ac:dyDescent="0.3">
      <c r="A39" s="10">
        <v>45655.739971457253</v>
      </c>
      <c r="B39" t="s">
        <v>40</v>
      </c>
      <c r="C39" t="s">
        <v>37</v>
      </c>
      <c r="D39" t="s">
        <v>66</v>
      </c>
      <c r="E39" s="10">
        <v>45659.767438835726</v>
      </c>
      <c r="F39" s="12">
        <v>804.95</v>
      </c>
      <c r="G39">
        <f t="shared" ca="1" si="0"/>
        <v>4.027467378473375</v>
      </c>
      <c r="H39" t="str">
        <f t="shared" ca="1" si="1"/>
        <v>Bad handling</v>
      </c>
      <c r="I39" t="str">
        <f t="shared" si="2"/>
        <v>Weekend sale</v>
      </c>
    </row>
    <row r="40" spans="1:9" x14ac:dyDescent="0.3">
      <c r="A40" s="10">
        <v>45696.086281394826</v>
      </c>
      <c r="B40" t="s">
        <v>50</v>
      </c>
      <c r="C40" t="s">
        <v>48</v>
      </c>
      <c r="D40" t="s">
        <v>64</v>
      </c>
      <c r="E40" s="10">
        <v>45701.481680232726</v>
      </c>
      <c r="F40" s="12">
        <v>111.19</v>
      </c>
      <c r="G40">
        <f t="shared" ca="1" si="0"/>
        <v>5.3953988378998474</v>
      </c>
      <c r="H40" t="str">
        <f t="shared" ca="1" si="1"/>
        <v>Bad handling</v>
      </c>
      <c r="I40" t="str">
        <f t="shared" si="2"/>
        <v>Weekend sale</v>
      </c>
    </row>
    <row r="41" spans="1:9" x14ac:dyDescent="0.3">
      <c r="A41" s="10">
        <v>45644.300967305579</v>
      </c>
      <c r="B41" t="s">
        <v>23</v>
      </c>
      <c r="C41" t="s">
        <v>22</v>
      </c>
      <c r="D41" t="s">
        <v>67</v>
      </c>
      <c r="E41" s="10">
        <v>45645.172437913068</v>
      </c>
      <c r="F41" s="12">
        <v>100.22</v>
      </c>
      <c r="G41">
        <f t="shared" ca="1" si="0"/>
        <v>0.87147060748975491</v>
      </c>
      <c r="H41" t="str">
        <f t="shared" ca="1" si="1"/>
        <v>Excellent handling</v>
      </c>
      <c r="I41" t="str">
        <f t="shared" si="2"/>
        <v/>
      </c>
    </row>
    <row r="42" spans="1:9" x14ac:dyDescent="0.3">
      <c r="A42" s="10">
        <v>45657.752774045701</v>
      </c>
      <c r="B42" t="s">
        <v>20</v>
      </c>
      <c r="C42" t="s">
        <v>15</v>
      </c>
      <c r="D42" t="s">
        <v>64</v>
      </c>
      <c r="E42" s="10">
        <v>45658.521703452971</v>
      </c>
      <c r="F42" s="12">
        <v>287.70999999999998</v>
      </c>
      <c r="G42">
        <f t="shared" ca="1" si="0"/>
        <v>0.76892940726975212</v>
      </c>
      <c r="H42" t="str">
        <f t="shared" ca="1" si="1"/>
        <v>Excellent handling</v>
      </c>
      <c r="I42" t="str">
        <f t="shared" si="2"/>
        <v/>
      </c>
    </row>
    <row r="43" spans="1:9" x14ac:dyDescent="0.3">
      <c r="A43" s="10">
        <v>45681.343498381379</v>
      </c>
      <c r="B43" t="s">
        <v>24</v>
      </c>
      <c r="C43" t="s">
        <v>22</v>
      </c>
      <c r="D43" t="s">
        <v>61</v>
      </c>
      <c r="E43" s="10">
        <v>45684.152170893831</v>
      </c>
      <c r="F43" s="12">
        <v>751.51</v>
      </c>
      <c r="G43">
        <f t="shared" ca="1" si="0"/>
        <v>2.8086725124521763</v>
      </c>
      <c r="H43" t="str">
        <f t="shared" ca="1" si="1"/>
        <v/>
      </c>
      <c r="I43" t="str">
        <f t="shared" si="2"/>
        <v/>
      </c>
    </row>
    <row r="44" spans="1:9" x14ac:dyDescent="0.3">
      <c r="A44" s="10">
        <v>45688.311234000073</v>
      </c>
      <c r="B44" t="s">
        <v>39</v>
      </c>
      <c r="C44" t="s">
        <v>37</v>
      </c>
      <c r="D44" t="s">
        <v>65</v>
      </c>
      <c r="E44" s="10">
        <v>45692.469836492695</v>
      </c>
      <c r="F44" s="12">
        <v>315.88</v>
      </c>
      <c r="G44">
        <f t="shared" ca="1" si="0"/>
        <v>4.158602492621867</v>
      </c>
      <c r="H44" t="str">
        <f t="shared" ca="1" si="1"/>
        <v>Bad handling</v>
      </c>
      <c r="I44" t="str">
        <f t="shared" si="2"/>
        <v/>
      </c>
    </row>
    <row r="45" spans="1:9" x14ac:dyDescent="0.3">
      <c r="A45" s="10">
        <v>45675.876282574347</v>
      </c>
      <c r="B45" t="s">
        <v>46</v>
      </c>
      <c r="C45" t="s">
        <v>45</v>
      </c>
      <c r="D45" t="s">
        <v>64</v>
      </c>
      <c r="E45" s="10">
        <v>45679.350359819167</v>
      </c>
      <c r="F45" s="12">
        <v>37.1</v>
      </c>
      <c r="G45">
        <f t="shared" ca="1" si="0"/>
        <v>3.4740772448203643</v>
      </c>
      <c r="H45" t="str">
        <f t="shared" ca="1" si="1"/>
        <v/>
      </c>
      <c r="I45" t="str">
        <f t="shared" si="2"/>
        <v>Weekend sale</v>
      </c>
    </row>
    <row r="46" spans="1:9" x14ac:dyDescent="0.3">
      <c r="A46" s="10">
        <v>45660.37588649628</v>
      </c>
      <c r="B46" t="s">
        <v>35</v>
      </c>
      <c r="C46" t="s">
        <v>33</v>
      </c>
      <c r="D46" t="s">
        <v>67</v>
      </c>
      <c r="E46" s="10">
        <v>45661.724062920541</v>
      </c>
      <c r="F46" s="12">
        <v>325.10000000000002</v>
      </c>
      <c r="G46">
        <f t="shared" ca="1" si="0"/>
        <v>1.3481764242606005</v>
      </c>
      <c r="H46" t="str">
        <f t="shared" ca="1" si="1"/>
        <v>Excellent handling</v>
      </c>
      <c r="I46" t="str">
        <f t="shared" si="2"/>
        <v/>
      </c>
    </row>
    <row r="47" spans="1:9" x14ac:dyDescent="0.3">
      <c r="A47" s="10">
        <v>45685.569677343054</v>
      </c>
      <c r="B47" t="s">
        <v>28</v>
      </c>
      <c r="C47" t="s">
        <v>22</v>
      </c>
      <c r="D47" t="s">
        <v>67</v>
      </c>
      <c r="E47" s="10" t="s">
        <v>73</v>
      </c>
      <c r="F47" s="12">
        <v>475.17</v>
      </c>
      <c r="G47">
        <f t="shared" ca="1" si="0"/>
        <v>369.43032265694637</v>
      </c>
      <c r="H47" t="str">
        <f t="shared" ca="1" si="1"/>
        <v>Bad handling</v>
      </c>
      <c r="I47" t="str">
        <f t="shared" si="2"/>
        <v/>
      </c>
    </row>
    <row r="48" spans="1:9" x14ac:dyDescent="0.3">
      <c r="A48" s="10">
        <v>45630.068995126116</v>
      </c>
      <c r="B48" t="s">
        <v>12</v>
      </c>
      <c r="C48" t="s">
        <v>9</v>
      </c>
      <c r="D48" t="s">
        <v>62</v>
      </c>
      <c r="E48" s="10">
        <v>45634.043641415512</v>
      </c>
      <c r="F48" s="12">
        <v>786.44</v>
      </c>
      <c r="G48">
        <f t="shared" ca="1" si="0"/>
        <v>3.9746462893963326</v>
      </c>
      <c r="H48" t="str">
        <f t="shared" ca="1" si="1"/>
        <v/>
      </c>
      <c r="I48" t="str">
        <f t="shared" si="2"/>
        <v/>
      </c>
    </row>
    <row r="49" spans="1:9" x14ac:dyDescent="0.3">
      <c r="A49" s="10">
        <v>45638.032049344642</v>
      </c>
      <c r="B49" t="s">
        <v>34</v>
      </c>
      <c r="C49" t="s">
        <v>33</v>
      </c>
      <c r="D49" t="s">
        <v>62</v>
      </c>
      <c r="E49" s="10">
        <v>45641.087697503179</v>
      </c>
      <c r="F49" s="12">
        <v>436.63</v>
      </c>
      <c r="G49">
        <f t="shared" ca="1" si="0"/>
        <v>3.0556481585372239</v>
      </c>
      <c r="H49" t="str">
        <f t="shared" ca="1" si="1"/>
        <v/>
      </c>
      <c r="I49" t="str">
        <f t="shared" si="2"/>
        <v/>
      </c>
    </row>
    <row r="50" spans="1:9" x14ac:dyDescent="0.3">
      <c r="A50" s="10">
        <v>45693.494371690409</v>
      </c>
      <c r="B50" t="s">
        <v>46</v>
      </c>
      <c r="C50" t="s">
        <v>45</v>
      </c>
      <c r="D50" t="s">
        <v>64</v>
      </c>
      <c r="E50" s="10">
        <v>45695.737090796996</v>
      </c>
      <c r="F50" s="12">
        <v>302.54000000000002</v>
      </c>
      <c r="G50">
        <f t="shared" ca="1" si="0"/>
        <v>2.2427191065871739</v>
      </c>
      <c r="H50" t="str">
        <f t="shared" ca="1" si="1"/>
        <v/>
      </c>
      <c r="I50" t="str">
        <f t="shared" si="2"/>
        <v/>
      </c>
    </row>
    <row r="51" spans="1:9" x14ac:dyDescent="0.3">
      <c r="A51" s="10">
        <v>45627.02927681541</v>
      </c>
      <c r="B51" t="s">
        <v>18</v>
      </c>
      <c r="C51" t="s">
        <v>15</v>
      </c>
      <c r="D51" t="s">
        <v>64</v>
      </c>
      <c r="E51" s="10">
        <v>45631.292503867386</v>
      </c>
      <c r="F51" s="12">
        <v>638.70000000000005</v>
      </c>
      <c r="G51">
        <f t="shared" ca="1" si="0"/>
        <v>4.2632270519752637</v>
      </c>
      <c r="H51" t="str">
        <f t="shared" ca="1" si="1"/>
        <v>Bad handling</v>
      </c>
      <c r="I51" t="str">
        <f t="shared" si="2"/>
        <v>Weekend sale</v>
      </c>
    </row>
    <row r="52" spans="1:9" x14ac:dyDescent="0.3">
      <c r="A52" s="10">
        <v>45632.484018124342</v>
      </c>
      <c r="B52" t="s">
        <v>14</v>
      </c>
      <c r="C52" t="s">
        <v>9</v>
      </c>
      <c r="D52" t="s">
        <v>61</v>
      </c>
      <c r="E52" s="10">
        <v>45634.553506533128</v>
      </c>
      <c r="F52" s="12">
        <v>777.34</v>
      </c>
      <c r="G52">
        <f t="shared" ca="1" si="0"/>
        <v>2.0694884087861283</v>
      </c>
      <c r="H52" t="str">
        <f t="shared" ca="1" si="1"/>
        <v/>
      </c>
      <c r="I52" t="str">
        <f t="shared" si="2"/>
        <v/>
      </c>
    </row>
    <row r="53" spans="1:9" x14ac:dyDescent="0.3">
      <c r="A53" s="10">
        <v>45677.383117872268</v>
      </c>
      <c r="B53" t="s">
        <v>39</v>
      </c>
      <c r="C53" t="s">
        <v>37</v>
      </c>
      <c r="D53" t="s">
        <v>65</v>
      </c>
      <c r="E53" s="10" t="s">
        <v>72</v>
      </c>
      <c r="F53" s="12">
        <v>813.43</v>
      </c>
      <c r="G53">
        <f t="shared" ca="1" si="0"/>
        <v>377.61688212773151</v>
      </c>
      <c r="H53" t="str">
        <f t="shared" ca="1" si="1"/>
        <v>Bad handling</v>
      </c>
      <c r="I53" t="str">
        <f t="shared" si="2"/>
        <v/>
      </c>
    </row>
    <row r="54" spans="1:9" x14ac:dyDescent="0.3">
      <c r="A54" s="10">
        <v>45630.084060923611</v>
      </c>
      <c r="B54" t="s">
        <v>56</v>
      </c>
      <c r="C54" t="s">
        <v>52</v>
      </c>
      <c r="D54" t="s">
        <v>67</v>
      </c>
      <c r="E54" s="10">
        <v>45631.403263565007</v>
      </c>
      <c r="F54" s="12">
        <v>346.19</v>
      </c>
      <c r="G54">
        <f t="shared" ca="1" si="0"/>
        <v>1.3192026413962594</v>
      </c>
      <c r="H54" t="str">
        <f t="shared" ca="1" si="1"/>
        <v>Excellent handling</v>
      </c>
      <c r="I54" t="str">
        <f t="shared" si="2"/>
        <v/>
      </c>
    </row>
    <row r="55" spans="1:9" x14ac:dyDescent="0.3">
      <c r="A55" s="10">
        <v>45683.12937274915</v>
      </c>
      <c r="B55" t="s">
        <v>43</v>
      </c>
      <c r="C55" t="s">
        <v>42</v>
      </c>
      <c r="D55" t="s">
        <v>62</v>
      </c>
      <c r="E55" s="10">
        <v>45689.037882788136</v>
      </c>
      <c r="F55" s="12">
        <v>443.99</v>
      </c>
      <c r="G55">
        <f t="shared" ca="1" si="0"/>
        <v>5.9085100389856962</v>
      </c>
      <c r="H55" t="str">
        <f t="shared" ca="1" si="1"/>
        <v>Bad handling</v>
      </c>
      <c r="I55" t="str">
        <f t="shared" si="2"/>
        <v>Weekend sale</v>
      </c>
    </row>
    <row r="56" spans="1:9" x14ac:dyDescent="0.3">
      <c r="A56" s="10">
        <v>45668.853592032894</v>
      </c>
      <c r="B56" t="s">
        <v>35</v>
      </c>
      <c r="C56" t="s">
        <v>33</v>
      </c>
      <c r="D56" t="s">
        <v>67</v>
      </c>
      <c r="E56" s="10">
        <v>45671.455752756388</v>
      </c>
      <c r="F56" s="12">
        <v>541.03</v>
      </c>
      <c r="G56">
        <f t="shared" ca="1" si="0"/>
        <v>2.6021607234943076</v>
      </c>
      <c r="H56" t="str">
        <f t="shared" ca="1" si="1"/>
        <v/>
      </c>
      <c r="I56" t="str">
        <f t="shared" si="2"/>
        <v>Weekend sale</v>
      </c>
    </row>
    <row r="57" spans="1:9" x14ac:dyDescent="0.3">
      <c r="A57" s="10">
        <v>45681.757827626083</v>
      </c>
      <c r="B57" t="s">
        <v>26</v>
      </c>
      <c r="C57" t="s">
        <v>22</v>
      </c>
      <c r="D57" t="s">
        <v>65</v>
      </c>
      <c r="E57" s="10">
        <v>45683.941520957444</v>
      </c>
      <c r="F57" s="12">
        <v>487.61</v>
      </c>
      <c r="G57">
        <f t="shared" ca="1" si="0"/>
        <v>2.1836933313607005</v>
      </c>
      <c r="H57" t="str">
        <f t="shared" ca="1" si="1"/>
        <v/>
      </c>
      <c r="I57" t="str">
        <f t="shared" si="2"/>
        <v/>
      </c>
    </row>
    <row r="58" spans="1:9" x14ac:dyDescent="0.3">
      <c r="A58" s="10">
        <v>45683.301826474875</v>
      </c>
      <c r="B58" t="s">
        <v>50</v>
      </c>
      <c r="C58" t="s">
        <v>48</v>
      </c>
      <c r="D58" t="s">
        <v>64</v>
      </c>
      <c r="E58" s="10">
        <v>45683.633640460001</v>
      </c>
      <c r="F58" s="12">
        <v>221.56</v>
      </c>
      <c r="G58">
        <f t="shared" ca="1" si="0"/>
        <v>0.33181398512533633</v>
      </c>
      <c r="H58" t="str">
        <f t="shared" ca="1" si="1"/>
        <v>Excellent handling</v>
      </c>
      <c r="I58" t="str">
        <f t="shared" si="2"/>
        <v>Weekend sale</v>
      </c>
    </row>
    <row r="59" spans="1:9" x14ac:dyDescent="0.3">
      <c r="A59" s="10">
        <v>45687.52567108949</v>
      </c>
      <c r="B59" t="s">
        <v>10</v>
      </c>
      <c r="C59" t="s">
        <v>9</v>
      </c>
      <c r="D59" t="s">
        <v>61</v>
      </c>
      <c r="E59" s="10">
        <v>45689.728324022552</v>
      </c>
      <c r="F59" s="12">
        <v>601.91999999999996</v>
      </c>
      <c r="G59">
        <f t="shared" ca="1" si="0"/>
        <v>2.2026529330614721</v>
      </c>
      <c r="H59" t="str">
        <f t="shared" ca="1" si="1"/>
        <v/>
      </c>
      <c r="I59" t="str">
        <f t="shared" si="2"/>
        <v/>
      </c>
    </row>
    <row r="60" spans="1:9" x14ac:dyDescent="0.3">
      <c r="A60" s="10">
        <v>45691.479724138415</v>
      </c>
      <c r="B60" t="s">
        <v>39</v>
      </c>
      <c r="C60" t="s">
        <v>37</v>
      </c>
      <c r="D60" t="s">
        <v>65</v>
      </c>
      <c r="E60" s="10">
        <v>45693.044935722035</v>
      </c>
      <c r="F60" s="12">
        <v>182.06</v>
      </c>
      <c r="G60">
        <f t="shared" ca="1" si="0"/>
        <v>1.5652115836201119</v>
      </c>
      <c r="H60" t="str">
        <f t="shared" ca="1" si="1"/>
        <v>Excellent handling</v>
      </c>
      <c r="I60" t="str">
        <f t="shared" si="2"/>
        <v/>
      </c>
    </row>
    <row r="61" spans="1:9" x14ac:dyDescent="0.3">
      <c r="A61" s="10">
        <v>45652.870493765418</v>
      </c>
      <c r="B61" t="s">
        <v>46</v>
      </c>
      <c r="C61" t="s">
        <v>45</v>
      </c>
      <c r="D61" t="s">
        <v>64</v>
      </c>
      <c r="E61" s="10">
        <v>45655.841359537866</v>
      </c>
      <c r="F61" s="12">
        <v>343.53</v>
      </c>
      <c r="G61">
        <f t="shared" ca="1" si="0"/>
        <v>2.9708657724477234</v>
      </c>
      <c r="H61" t="str">
        <f t="shared" ca="1" si="1"/>
        <v/>
      </c>
      <c r="I61" t="str">
        <f t="shared" si="2"/>
        <v/>
      </c>
    </row>
    <row r="62" spans="1:9" x14ac:dyDescent="0.3">
      <c r="A62" s="10">
        <v>45647.993845273078</v>
      </c>
      <c r="B62" t="s">
        <v>14</v>
      </c>
      <c r="C62" t="s">
        <v>9</v>
      </c>
      <c r="D62" t="s">
        <v>61</v>
      </c>
      <c r="E62" s="10" t="s">
        <v>73</v>
      </c>
      <c r="F62" s="12">
        <v>76.849999999999994</v>
      </c>
      <c r="G62">
        <f t="shared" ca="1" si="0"/>
        <v>407.00615472692152</v>
      </c>
      <c r="H62" t="str">
        <f t="shared" ca="1" si="1"/>
        <v>Bad handling</v>
      </c>
      <c r="I62" t="str">
        <f t="shared" si="2"/>
        <v>Weekend sale</v>
      </c>
    </row>
    <row r="63" spans="1:9" x14ac:dyDescent="0.3">
      <c r="A63" s="10">
        <v>45668.022383575626</v>
      </c>
      <c r="B63" t="s">
        <v>53</v>
      </c>
      <c r="C63" t="s">
        <v>52</v>
      </c>
      <c r="D63" t="s">
        <v>66</v>
      </c>
      <c r="E63" s="10">
        <v>45668.070701797667</v>
      </c>
      <c r="F63" s="12">
        <v>455.34</v>
      </c>
      <c r="G63">
        <f t="shared" ca="1" si="0"/>
        <v>4.8318222041416448E-2</v>
      </c>
      <c r="H63" t="str">
        <f t="shared" ca="1" si="1"/>
        <v>Excellent handling</v>
      </c>
      <c r="I63" t="str">
        <f t="shared" si="2"/>
        <v>Weekend sale</v>
      </c>
    </row>
    <row r="64" spans="1:9" x14ac:dyDescent="0.3">
      <c r="A64" s="10">
        <v>45695.303187318503</v>
      </c>
      <c r="B64" t="s">
        <v>19</v>
      </c>
      <c r="C64" t="s">
        <v>15</v>
      </c>
      <c r="D64" t="s">
        <v>63</v>
      </c>
      <c r="E64" s="10">
        <v>45698.06374039322</v>
      </c>
      <c r="F64" s="12">
        <v>696.53</v>
      </c>
      <c r="G64">
        <f t="shared" ca="1" si="0"/>
        <v>2.7605530747168814</v>
      </c>
      <c r="H64" t="str">
        <f t="shared" ca="1" si="1"/>
        <v/>
      </c>
      <c r="I64" t="str">
        <f t="shared" si="2"/>
        <v/>
      </c>
    </row>
    <row r="65" spans="1:9" x14ac:dyDescent="0.3">
      <c r="A65" s="10">
        <v>45662.26091418849</v>
      </c>
      <c r="B65" t="s">
        <v>50</v>
      </c>
      <c r="C65" t="s">
        <v>48</v>
      </c>
      <c r="D65" t="s">
        <v>64</v>
      </c>
      <c r="E65" s="10">
        <v>45666.123910722978</v>
      </c>
      <c r="F65" s="12">
        <v>592.29999999999995</v>
      </c>
      <c r="G65">
        <f t="shared" ca="1" si="0"/>
        <v>3.8629965344880475</v>
      </c>
      <c r="H65" t="str">
        <f t="shared" ca="1" si="1"/>
        <v/>
      </c>
      <c r="I65" t="str">
        <f t="shared" si="2"/>
        <v>Weekend sale</v>
      </c>
    </row>
    <row r="66" spans="1:9" x14ac:dyDescent="0.3">
      <c r="A66" s="10">
        <v>45650.85138068036</v>
      </c>
      <c r="B66" t="s">
        <v>43</v>
      </c>
      <c r="C66" t="s">
        <v>42</v>
      </c>
      <c r="D66" t="s">
        <v>62</v>
      </c>
      <c r="E66" s="10">
        <v>45655.747270807406</v>
      </c>
      <c r="F66" s="12">
        <v>437.47</v>
      </c>
      <c r="G66">
        <f t="shared" ref="G66:G129" ca="1" si="3">IF(ISTEXT(E66),TODAY(),E66)-A66</f>
        <v>4.895890127045277</v>
      </c>
      <c r="H66" t="str">
        <f t="shared" ca="1" si="1"/>
        <v>Bad handling</v>
      </c>
      <c r="I66" t="str">
        <f t="shared" si="2"/>
        <v/>
      </c>
    </row>
    <row r="67" spans="1:9" x14ac:dyDescent="0.3">
      <c r="A67" s="10">
        <v>45659.198770774303</v>
      </c>
      <c r="B67" t="s">
        <v>25</v>
      </c>
      <c r="C67" t="s">
        <v>22</v>
      </c>
      <c r="D67" t="s">
        <v>60</v>
      </c>
      <c r="E67" s="10" t="s">
        <v>73</v>
      </c>
      <c r="F67" s="12">
        <v>307.35000000000002</v>
      </c>
      <c r="G67">
        <f t="shared" ca="1" si="3"/>
        <v>395.80122922569717</v>
      </c>
      <c r="H67" t="str">
        <f t="shared" ref="H67:H130" ca="1" si="4">IF(G67*24&lt;=48,"Excellent handling",IF(G67*24&gt;=96,"Bad handling",""))</f>
        <v>Bad handling</v>
      </c>
      <c r="I67" t="str">
        <f t="shared" ref="I67:I130" si="5">IF(OR(WEEKDAY(A67)=1,WEEKDAY(A67)=7),"Weekend sale","")</f>
        <v/>
      </c>
    </row>
    <row r="68" spans="1:9" x14ac:dyDescent="0.3">
      <c r="A68" s="10">
        <v>45658.733204337717</v>
      </c>
      <c r="B68" t="s">
        <v>41</v>
      </c>
      <c r="C68" t="s">
        <v>37</v>
      </c>
      <c r="D68" t="s">
        <v>68</v>
      </c>
      <c r="E68" s="10">
        <v>45658.87199109661</v>
      </c>
      <c r="F68" s="12">
        <v>335.94</v>
      </c>
      <c r="G68">
        <f t="shared" ca="1" si="3"/>
        <v>0.13878675889282022</v>
      </c>
      <c r="H68" t="str">
        <f t="shared" ca="1" si="4"/>
        <v>Excellent handling</v>
      </c>
      <c r="I68" t="str">
        <f t="shared" si="5"/>
        <v/>
      </c>
    </row>
    <row r="69" spans="1:9" x14ac:dyDescent="0.3">
      <c r="A69" s="10">
        <v>45684.450745114023</v>
      </c>
      <c r="B69" t="s">
        <v>20</v>
      </c>
      <c r="C69" t="s">
        <v>15</v>
      </c>
      <c r="D69" t="s">
        <v>64</v>
      </c>
      <c r="E69" s="10">
        <v>45687.99928180212</v>
      </c>
      <c r="F69" s="12">
        <v>418.57</v>
      </c>
      <c r="G69">
        <f t="shared" ca="1" si="3"/>
        <v>3.5485366880966467</v>
      </c>
      <c r="H69" t="str">
        <f t="shared" ca="1" si="4"/>
        <v/>
      </c>
      <c r="I69" t="str">
        <f t="shared" si="5"/>
        <v/>
      </c>
    </row>
    <row r="70" spans="1:9" x14ac:dyDescent="0.3">
      <c r="A70" s="10">
        <v>45633.334813245587</v>
      </c>
      <c r="B70" t="s">
        <v>55</v>
      </c>
      <c r="C70" t="s">
        <v>52</v>
      </c>
      <c r="D70" t="s">
        <v>67</v>
      </c>
      <c r="E70" s="10">
        <v>45638.655680839925</v>
      </c>
      <c r="F70" s="12">
        <v>816.6</v>
      </c>
      <c r="G70">
        <f t="shared" ca="1" si="3"/>
        <v>5.3208675943387789</v>
      </c>
      <c r="H70" t="str">
        <f t="shared" ca="1" si="4"/>
        <v>Bad handling</v>
      </c>
      <c r="I70" t="str">
        <f t="shared" si="5"/>
        <v>Weekend sale</v>
      </c>
    </row>
    <row r="71" spans="1:9" x14ac:dyDescent="0.3">
      <c r="A71" s="10">
        <v>45671.602418591712</v>
      </c>
      <c r="B71" t="s">
        <v>20</v>
      </c>
      <c r="C71" t="s">
        <v>15</v>
      </c>
      <c r="D71" t="s">
        <v>64</v>
      </c>
      <c r="E71" s="10">
        <v>45676.554351867991</v>
      </c>
      <c r="F71" s="12">
        <v>559.28</v>
      </c>
      <c r="G71">
        <f t="shared" ca="1" si="3"/>
        <v>4.9519332762793056</v>
      </c>
      <c r="H71" t="str">
        <f t="shared" ca="1" si="4"/>
        <v>Bad handling</v>
      </c>
      <c r="I71" t="str">
        <f t="shared" si="5"/>
        <v/>
      </c>
    </row>
    <row r="72" spans="1:9" x14ac:dyDescent="0.3">
      <c r="A72" s="10">
        <v>45669.331099918163</v>
      </c>
      <c r="B72" t="s">
        <v>20</v>
      </c>
      <c r="C72" t="s">
        <v>15</v>
      </c>
      <c r="D72" t="s">
        <v>64</v>
      </c>
      <c r="E72" s="10">
        <v>45671.86425842141</v>
      </c>
      <c r="F72" s="12">
        <v>565.25</v>
      </c>
      <c r="G72">
        <f t="shared" ca="1" si="3"/>
        <v>2.5331585032472503</v>
      </c>
      <c r="H72" t="str">
        <f t="shared" ca="1" si="4"/>
        <v/>
      </c>
      <c r="I72" t="str">
        <f t="shared" si="5"/>
        <v>Weekend sale</v>
      </c>
    </row>
    <row r="73" spans="1:9" x14ac:dyDescent="0.3">
      <c r="A73" s="10">
        <v>45694.43598109077</v>
      </c>
      <c r="B73" t="s">
        <v>53</v>
      </c>
      <c r="C73" t="s">
        <v>52</v>
      </c>
      <c r="D73" t="s">
        <v>66</v>
      </c>
      <c r="E73" s="10">
        <v>45695.880088082929</v>
      </c>
      <c r="F73" s="12">
        <v>52.65</v>
      </c>
      <c r="G73">
        <f t="shared" ca="1" si="3"/>
        <v>1.4441069921595044</v>
      </c>
      <c r="H73" t="str">
        <f t="shared" ca="1" si="4"/>
        <v>Excellent handling</v>
      </c>
      <c r="I73" t="str">
        <f t="shared" si="5"/>
        <v/>
      </c>
    </row>
    <row r="74" spans="1:9" x14ac:dyDescent="0.3">
      <c r="A74" s="10">
        <v>45644.291278306824</v>
      </c>
      <c r="B74" t="s">
        <v>23</v>
      </c>
      <c r="C74" t="s">
        <v>22</v>
      </c>
      <c r="D74" t="s">
        <v>67</v>
      </c>
      <c r="E74" s="10" t="s">
        <v>74</v>
      </c>
      <c r="F74" s="12">
        <v>41.87</v>
      </c>
      <c r="G74">
        <f t="shared" ca="1" si="3"/>
        <v>410.7087216931759</v>
      </c>
      <c r="H74" t="str">
        <f t="shared" ca="1" si="4"/>
        <v>Bad handling</v>
      </c>
      <c r="I74" t="str">
        <f t="shared" si="5"/>
        <v/>
      </c>
    </row>
    <row r="75" spans="1:9" x14ac:dyDescent="0.3">
      <c r="A75" s="10">
        <v>45642.793994535612</v>
      </c>
      <c r="B75" t="s">
        <v>31</v>
      </c>
      <c r="C75" t="s">
        <v>29</v>
      </c>
      <c r="D75" t="s">
        <v>61</v>
      </c>
      <c r="E75" s="10">
        <v>45645.36731310984</v>
      </c>
      <c r="F75" s="12">
        <v>169.63</v>
      </c>
      <c r="G75">
        <f t="shared" ca="1" si="3"/>
        <v>2.573318574228324</v>
      </c>
      <c r="H75" t="str">
        <f t="shared" ca="1" si="4"/>
        <v/>
      </c>
      <c r="I75" t="str">
        <f t="shared" si="5"/>
        <v/>
      </c>
    </row>
    <row r="76" spans="1:9" x14ac:dyDescent="0.3">
      <c r="A76" s="10">
        <v>45648.60074883778</v>
      </c>
      <c r="B76" t="s">
        <v>31</v>
      </c>
      <c r="C76" t="s">
        <v>29</v>
      </c>
      <c r="D76" t="s">
        <v>61</v>
      </c>
      <c r="E76" s="10">
        <v>45648.823631431165</v>
      </c>
      <c r="F76" s="12">
        <v>813.93</v>
      </c>
      <c r="G76">
        <f t="shared" ca="1" si="3"/>
        <v>0.22288259338529315</v>
      </c>
      <c r="H76" t="str">
        <f t="shared" ca="1" si="4"/>
        <v>Excellent handling</v>
      </c>
      <c r="I76" t="str">
        <f t="shared" si="5"/>
        <v>Weekend sale</v>
      </c>
    </row>
    <row r="77" spans="1:9" x14ac:dyDescent="0.3">
      <c r="A77" s="10">
        <v>45645.009390849198</v>
      </c>
      <c r="B77" t="s">
        <v>12</v>
      </c>
      <c r="C77" t="s">
        <v>9</v>
      </c>
      <c r="D77" t="s">
        <v>62</v>
      </c>
      <c r="E77" s="10">
        <v>45647.584584501645</v>
      </c>
      <c r="F77" s="12">
        <v>808.92</v>
      </c>
      <c r="G77">
        <f t="shared" ca="1" si="3"/>
        <v>2.5751936524466146</v>
      </c>
      <c r="H77" t="str">
        <f t="shared" ca="1" si="4"/>
        <v/>
      </c>
      <c r="I77" t="str">
        <f t="shared" si="5"/>
        <v/>
      </c>
    </row>
    <row r="78" spans="1:9" x14ac:dyDescent="0.3">
      <c r="A78" s="10">
        <v>45696.380633163717</v>
      </c>
      <c r="B78" t="s">
        <v>20</v>
      </c>
      <c r="C78" t="s">
        <v>15</v>
      </c>
      <c r="D78" t="s">
        <v>64</v>
      </c>
      <c r="E78" s="10">
        <v>45699.287325454643</v>
      </c>
      <c r="F78" s="12">
        <v>225.4</v>
      </c>
      <c r="G78">
        <f t="shared" ca="1" si="3"/>
        <v>2.9066922909260029</v>
      </c>
      <c r="H78" t="str">
        <f t="shared" ca="1" si="4"/>
        <v/>
      </c>
      <c r="I78" t="str">
        <f t="shared" si="5"/>
        <v>Weekend sale</v>
      </c>
    </row>
    <row r="79" spans="1:9" x14ac:dyDescent="0.3">
      <c r="A79" s="10">
        <v>45638.0468182349</v>
      </c>
      <c r="B79" t="s">
        <v>24</v>
      </c>
      <c r="C79" t="s">
        <v>22</v>
      </c>
      <c r="D79" t="s">
        <v>61</v>
      </c>
      <c r="E79" s="10">
        <v>45639.773607487245</v>
      </c>
      <c r="F79" s="12">
        <v>274.88</v>
      </c>
      <c r="G79">
        <f t="shared" ca="1" si="3"/>
        <v>1.7267892523450428</v>
      </c>
      <c r="H79" t="str">
        <f t="shared" ca="1" si="4"/>
        <v>Excellent handling</v>
      </c>
      <c r="I79" t="str">
        <f t="shared" si="5"/>
        <v/>
      </c>
    </row>
    <row r="80" spans="1:9" x14ac:dyDescent="0.3">
      <c r="A80" s="10">
        <v>45684.845664171415</v>
      </c>
      <c r="B80" t="s">
        <v>25</v>
      </c>
      <c r="C80" t="s">
        <v>22</v>
      </c>
      <c r="D80" t="s">
        <v>60</v>
      </c>
      <c r="E80" s="10">
        <v>45686.180459801733</v>
      </c>
      <c r="F80" s="12">
        <v>561.76</v>
      </c>
      <c r="G80">
        <f t="shared" ca="1" si="3"/>
        <v>1.3347956303186947</v>
      </c>
      <c r="H80" t="str">
        <f t="shared" ca="1" si="4"/>
        <v>Excellent handling</v>
      </c>
      <c r="I80" t="str">
        <f t="shared" si="5"/>
        <v/>
      </c>
    </row>
    <row r="81" spans="1:9" x14ac:dyDescent="0.3">
      <c r="A81" s="10">
        <v>45672.659427777289</v>
      </c>
      <c r="B81" t="s">
        <v>10</v>
      </c>
      <c r="C81" t="s">
        <v>9</v>
      </c>
      <c r="D81" t="s">
        <v>61</v>
      </c>
      <c r="E81" s="10">
        <v>45673.733316955244</v>
      </c>
      <c r="F81" s="12">
        <v>411.43</v>
      </c>
      <c r="G81">
        <f t="shared" ca="1" si="3"/>
        <v>1.0738891779546975</v>
      </c>
      <c r="H81" t="str">
        <f t="shared" ca="1" si="4"/>
        <v>Excellent handling</v>
      </c>
      <c r="I81" t="str">
        <f t="shared" si="5"/>
        <v/>
      </c>
    </row>
    <row r="82" spans="1:9" x14ac:dyDescent="0.3">
      <c r="A82" s="10">
        <v>45662.711638946588</v>
      </c>
      <c r="B82" t="s">
        <v>46</v>
      </c>
      <c r="C82" t="s">
        <v>45</v>
      </c>
      <c r="D82" t="s">
        <v>64</v>
      </c>
      <c r="E82" s="10">
        <v>45663.988706297845</v>
      </c>
      <c r="F82" s="12">
        <v>192.03</v>
      </c>
      <c r="G82">
        <f t="shared" ca="1" si="3"/>
        <v>1.2770673512568465</v>
      </c>
      <c r="H82" t="str">
        <f t="shared" ca="1" si="4"/>
        <v>Excellent handling</v>
      </c>
      <c r="I82" t="str">
        <f t="shared" si="5"/>
        <v>Weekend sale</v>
      </c>
    </row>
    <row r="83" spans="1:9" x14ac:dyDescent="0.3">
      <c r="A83" s="10">
        <v>45634.781121411819</v>
      </c>
      <c r="B83" t="s">
        <v>30</v>
      </c>
      <c r="C83" t="s">
        <v>29</v>
      </c>
      <c r="D83" t="s">
        <v>68</v>
      </c>
      <c r="E83" s="10">
        <v>45637.736794047414</v>
      </c>
      <c r="F83" s="12">
        <v>754.57</v>
      </c>
      <c r="G83">
        <f t="shared" ca="1" si="3"/>
        <v>2.955672635594965</v>
      </c>
      <c r="H83" t="str">
        <f t="shared" ca="1" si="4"/>
        <v/>
      </c>
      <c r="I83" t="str">
        <f t="shared" si="5"/>
        <v>Weekend sale</v>
      </c>
    </row>
    <row r="84" spans="1:9" x14ac:dyDescent="0.3">
      <c r="A84" s="10">
        <v>45680.034220084352</v>
      </c>
      <c r="B84" t="s">
        <v>16</v>
      </c>
      <c r="C84" t="s">
        <v>15</v>
      </c>
      <c r="D84" t="s">
        <v>61</v>
      </c>
      <c r="E84" s="10">
        <v>45682.370189308873</v>
      </c>
      <c r="F84" s="12">
        <v>321.49</v>
      </c>
      <c r="G84">
        <f t="shared" ca="1" si="3"/>
        <v>2.33596922452125</v>
      </c>
      <c r="H84" t="str">
        <f t="shared" ca="1" si="4"/>
        <v/>
      </c>
      <c r="I84" t="str">
        <f t="shared" si="5"/>
        <v/>
      </c>
    </row>
    <row r="85" spans="1:9" x14ac:dyDescent="0.3">
      <c r="A85" s="10">
        <v>45683.562642186444</v>
      </c>
      <c r="B85" t="s">
        <v>34</v>
      </c>
      <c r="C85" t="s">
        <v>33</v>
      </c>
      <c r="D85" t="s">
        <v>62</v>
      </c>
      <c r="E85" s="10">
        <v>45685.650443722392</v>
      </c>
      <c r="F85" s="12">
        <v>372.21</v>
      </c>
      <c r="G85">
        <f t="shared" ca="1" si="3"/>
        <v>2.0878015359485289</v>
      </c>
      <c r="H85" t="str">
        <f t="shared" ca="1" si="4"/>
        <v/>
      </c>
      <c r="I85" t="str">
        <f t="shared" si="5"/>
        <v>Weekend sale</v>
      </c>
    </row>
    <row r="86" spans="1:9" x14ac:dyDescent="0.3">
      <c r="A86" s="10">
        <v>45677.685734250503</v>
      </c>
      <c r="B86" t="s">
        <v>20</v>
      </c>
      <c r="C86" t="s">
        <v>15</v>
      </c>
      <c r="D86" t="s">
        <v>64</v>
      </c>
      <c r="E86" s="10">
        <v>45679.03798159134</v>
      </c>
      <c r="F86" s="12">
        <v>604.39</v>
      </c>
      <c r="G86">
        <f t="shared" ca="1" si="3"/>
        <v>1.3522473408374935</v>
      </c>
      <c r="H86" t="str">
        <f t="shared" ca="1" si="4"/>
        <v>Excellent handling</v>
      </c>
      <c r="I86" t="str">
        <f t="shared" si="5"/>
        <v/>
      </c>
    </row>
    <row r="87" spans="1:9" x14ac:dyDescent="0.3">
      <c r="A87" s="10">
        <v>45692.530938458869</v>
      </c>
      <c r="B87" t="s">
        <v>31</v>
      </c>
      <c r="C87" t="s">
        <v>29</v>
      </c>
      <c r="D87" t="s">
        <v>61</v>
      </c>
      <c r="E87" s="10">
        <v>45693.349690995892</v>
      </c>
      <c r="F87" s="12">
        <v>841.69</v>
      </c>
      <c r="G87">
        <f t="shared" ca="1" si="3"/>
        <v>0.81875253702310147</v>
      </c>
      <c r="H87" t="str">
        <f t="shared" ca="1" si="4"/>
        <v>Excellent handling</v>
      </c>
      <c r="I87" t="str">
        <f t="shared" si="5"/>
        <v/>
      </c>
    </row>
    <row r="88" spans="1:9" x14ac:dyDescent="0.3">
      <c r="A88" s="10">
        <v>45635.732414728845</v>
      </c>
      <c r="B88" t="s">
        <v>56</v>
      </c>
      <c r="C88" t="s">
        <v>52</v>
      </c>
      <c r="D88" t="s">
        <v>67</v>
      </c>
      <c r="E88" s="10">
        <v>45637.013841339445</v>
      </c>
      <c r="F88" s="12">
        <v>171.69</v>
      </c>
      <c r="G88">
        <f t="shared" ca="1" si="3"/>
        <v>1.2814266105997376</v>
      </c>
      <c r="H88" t="str">
        <f t="shared" ca="1" si="4"/>
        <v>Excellent handling</v>
      </c>
      <c r="I88" t="str">
        <f t="shared" si="5"/>
        <v/>
      </c>
    </row>
    <row r="89" spans="1:9" x14ac:dyDescent="0.3">
      <c r="A89" s="10">
        <v>45687.953894725746</v>
      </c>
      <c r="B89" t="s">
        <v>43</v>
      </c>
      <c r="C89" t="s">
        <v>42</v>
      </c>
      <c r="D89" t="s">
        <v>62</v>
      </c>
      <c r="E89" s="10">
        <v>45689.114063302819</v>
      </c>
      <c r="F89" s="12">
        <v>431.57</v>
      </c>
      <c r="G89">
        <f t="shared" ca="1" si="3"/>
        <v>1.1601685770729091</v>
      </c>
      <c r="H89" t="str">
        <f t="shared" ca="1" si="4"/>
        <v>Excellent handling</v>
      </c>
      <c r="I89" t="str">
        <f t="shared" si="5"/>
        <v/>
      </c>
    </row>
    <row r="90" spans="1:9" x14ac:dyDescent="0.3">
      <c r="A90" s="10">
        <v>45655.756663361426</v>
      </c>
      <c r="B90" t="s">
        <v>51</v>
      </c>
      <c r="C90" t="s">
        <v>48</v>
      </c>
      <c r="D90" t="s">
        <v>69</v>
      </c>
      <c r="E90" s="10">
        <v>45656.722520187817</v>
      </c>
      <c r="F90" s="12">
        <v>108.19</v>
      </c>
      <c r="G90">
        <f t="shared" ca="1" si="3"/>
        <v>0.9658568263912457</v>
      </c>
      <c r="H90" t="str">
        <f t="shared" ca="1" si="4"/>
        <v>Excellent handling</v>
      </c>
      <c r="I90" t="str">
        <f t="shared" si="5"/>
        <v>Weekend sale</v>
      </c>
    </row>
    <row r="91" spans="1:9" x14ac:dyDescent="0.3">
      <c r="A91" s="10">
        <v>45639.983525728399</v>
      </c>
      <c r="B91" t="s">
        <v>14</v>
      </c>
      <c r="C91" t="s">
        <v>9</v>
      </c>
      <c r="D91" t="s">
        <v>61</v>
      </c>
      <c r="E91" s="10">
        <v>45640.498121291246</v>
      </c>
      <c r="F91" s="12">
        <v>288.44</v>
      </c>
      <c r="G91">
        <f t="shared" ca="1" si="3"/>
        <v>0.5145955628468073</v>
      </c>
      <c r="H91" t="str">
        <f t="shared" ca="1" si="4"/>
        <v>Excellent handling</v>
      </c>
      <c r="I91" t="str">
        <f t="shared" si="5"/>
        <v/>
      </c>
    </row>
    <row r="92" spans="1:9" x14ac:dyDescent="0.3">
      <c r="A92" s="10">
        <v>45668.893074589818</v>
      </c>
      <c r="B92" t="s">
        <v>44</v>
      </c>
      <c r="C92" t="s">
        <v>42</v>
      </c>
      <c r="D92" t="s">
        <v>67</v>
      </c>
      <c r="E92" s="10">
        <v>45671.319377152555</v>
      </c>
      <c r="F92" s="12">
        <v>481.54</v>
      </c>
      <c r="G92">
        <f t="shared" ca="1" si="3"/>
        <v>2.4263025627369643</v>
      </c>
      <c r="H92" t="str">
        <f t="shared" ca="1" si="4"/>
        <v/>
      </c>
      <c r="I92" t="str">
        <f t="shared" si="5"/>
        <v>Weekend sale</v>
      </c>
    </row>
    <row r="93" spans="1:9" x14ac:dyDescent="0.3">
      <c r="A93" s="10">
        <v>45627.64458906083</v>
      </c>
      <c r="B93" t="s">
        <v>50</v>
      </c>
      <c r="C93" t="s">
        <v>48</v>
      </c>
      <c r="D93" t="s">
        <v>64</v>
      </c>
      <c r="E93" s="10">
        <v>45630.422926188447</v>
      </c>
      <c r="F93" s="12">
        <v>307.33999999999997</v>
      </c>
      <c r="G93">
        <f t="shared" ca="1" si="3"/>
        <v>2.7783371276163962</v>
      </c>
      <c r="H93" t="str">
        <f t="shared" ca="1" si="4"/>
        <v/>
      </c>
      <c r="I93" t="str">
        <f t="shared" si="5"/>
        <v>Weekend sale</v>
      </c>
    </row>
    <row r="94" spans="1:9" x14ac:dyDescent="0.3">
      <c r="A94" s="10">
        <v>45644.539604696831</v>
      </c>
      <c r="B94" t="s">
        <v>38</v>
      </c>
      <c r="C94" t="s">
        <v>37</v>
      </c>
      <c r="D94" t="s">
        <v>63</v>
      </c>
      <c r="E94" s="10">
        <v>45644.583070652254</v>
      </c>
      <c r="F94" s="12">
        <v>132.93</v>
      </c>
      <c r="G94">
        <f t="shared" ca="1" si="3"/>
        <v>4.3465955423016567E-2</v>
      </c>
      <c r="H94" t="str">
        <f t="shared" ca="1" si="4"/>
        <v>Excellent handling</v>
      </c>
      <c r="I94" t="str">
        <f t="shared" si="5"/>
        <v/>
      </c>
    </row>
    <row r="95" spans="1:9" x14ac:dyDescent="0.3">
      <c r="A95" s="10">
        <v>45662.187183465365</v>
      </c>
      <c r="B95" t="s">
        <v>16</v>
      </c>
      <c r="C95" t="s">
        <v>15</v>
      </c>
      <c r="D95" t="s">
        <v>61</v>
      </c>
      <c r="E95" s="10">
        <v>45665.156526922714</v>
      </c>
      <c r="F95" s="12">
        <v>452.58</v>
      </c>
      <c r="G95">
        <f t="shared" ca="1" si="3"/>
        <v>2.9693434573491686</v>
      </c>
      <c r="H95" t="str">
        <f t="shared" ca="1" si="4"/>
        <v/>
      </c>
      <c r="I95" t="str">
        <f t="shared" si="5"/>
        <v>Weekend sale</v>
      </c>
    </row>
    <row r="96" spans="1:9" x14ac:dyDescent="0.3">
      <c r="A96" s="10">
        <v>45672.805946614921</v>
      </c>
      <c r="B96" t="s">
        <v>18</v>
      </c>
      <c r="C96" t="s">
        <v>15</v>
      </c>
      <c r="D96" t="s">
        <v>64</v>
      </c>
      <c r="E96" s="10">
        <v>45675.828513500754</v>
      </c>
      <c r="F96" s="12">
        <v>387.25</v>
      </c>
      <c r="G96">
        <f t="shared" ca="1" si="3"/>
        <v>3.02256688583293</v>
      </c>
      <c r="H96" t="str">
        <f t="shared" ca="1" si="4"/>
        <v/>
      </c>
      <c r="I96" t="str">
        <f t="shared" si="5"/>
        <v/>
      </c>
    </row>
    <row r="97" spans="1:9" x14ac:dyDescent="0.3">
      <c r="A97" s="10">
        <v>45640.643017806746</v>
      </c>
      <c r="B97" t="s">
        <v>18</v>
      </c>
      <c r="C97" t="s">
        <v>15</v>
      </c>
      <c r="D97" t="s">
        <v>64</v>
      </c>
      <c r="E97" s="10">
        <v>45641.729064216088</v>
      </c>
      <c r="F97" s="12">
        <v>228.18</v>
      </c>
      <c r="G97">
        <f t="shared" ca="1" si="3"/>
        <v>1.0860464093420887</v>
      </c>
      <c r="H97" t="str">
        <f t="shared" ca="1" si="4"/>
        <v>Excellent handling</v>
      </c>
      <c r="I97" t="str">
        <f t="shared" si="5"/>
        <v>Weekend sale</v>
      </c>
    </row>
    <row r="98" spans="1:9" x14ac:dyDescent="0.3">
      <c r="A98" s="10">
        <v>45645.389911112383</v>
      </c>
      <c r="B98" t="s">
        <v>31</v>
      </c>
      <c r="C98" t="s">
        <v>29</v>
      </c>
      <c r="D98" t="s">
        <v>61</v>
      </c>
      <c r="E98" s="10">
        <v>45648.25038507516</v>
      </c>
      <c r="F98" s="12">
        <v>139.01</v>
      </c>
      <c r="G98">
        <f t="shared" ca="1" si="3"/>
        <v>2.8604739627771778</v>
      </c>
      <c r="H98" t="str">
        <f t="shared" ca="1" si="4"/>
        <v/>
      </c>
      <c r="I98" t="str">
        <f t="shared" si="5"/>
        <v/>
      </c>
    </row>
    <row r="99" spans="1:9" x14ac:dyDescent="0.3">
      <c r="A99" s="10">
        <v>45636.430457044815</v>
      </c>
      <c r="B99" t="s">
        <v>44</v>
      </c>
      <c r="C99" t="s">
        <v>42</v>
      </c>
      <c r="D99" t="s">
        <v>67</v>
      </c>
      <c r="E99" s="10">
        <v>45637.708315629381</v>
      </c>
      <c r="F99" s="12">
        <v>338.47</v>
      </c>
      <c r="G99">
        <f t="shared" ca="1" si="3"/>
        <v>1.2778585845662747</v>
      </c>
      <c r="H99" t="str">
        <f t="shared" ca="1" si="4"/>
        <v>Excellent handling</v>
      </c>
      <c r="I99" t="str">
        <f t="shared" si="5"/>
        <v/>
      </c>
    </row>
    <row r="100" spans="1:9" x14ac:dyDescent="0.3">
      <c r="A100" s="10">
        <v>45650.249812484413</v>
      </c>
      <c r="B100" t="s">
        <v>39</v>
      </c>
      <c r="C100" t="s">
        <v>37</v>
      </c>
      <c r="D100" t="s">
        <v>65</v>
      </c>
      <c r="E100" s="10">
        <v>45652.833387474195</v>
      </c>
      <c r="F100" s="12">
        <v>487.44</v>
      </c>
      <c r="G100">
        <f t="shared" ca="1" si="3"/>
        <v>2.5835749897814821</v>
      </c>
      <c r="H100" t="str">
        <f t="shared" ca="1" si="4"/>
        <v/>
      </c>
      <c r="I100" t="str">
        <f t="shared" si="5"/>
        <v/>
      </c>
    </row>
    <row r="101" spans="1:9" x14ac:dyDescent="0.3">
      <c r="A101" s="10">
        <v>45664.112991445363</v>
      </c>
      <c r="B101" t="s">
        <v>13</v>
      </c>
      <c r="C101" t="s">
        <v>9</v>
      </c>
      <c r="D101" t="s">
        <v>65</v>
      </c>
      <c r="E101" s="10">
        <v>45666.574628272385</v>
      </c>
      <c r="F101" s="12">
        <v>227.52</v>
      </c>
      <c r="G101">
        <f t="shared" ca="1" si="3"/>
        <v>2.4616368270217208</v>
      </c>
      <c r="H101" t="str">
        <f t="shared" ca="1" si="4"/>
        <v/>
      </c>
      <c r="I101" t="str">
        <f t="shared" si="5"/>
        <v/>
      </c>
    </row>
    <row r="102" spans="1:9" x14ac:dyDescent="0.3">
      <c r="A102" s="10">
        <v>45636.803896343823</v>
      </c>
      <c r="B102" t="s">
        <v>54</v>
      </c>
      <c r="C102" t="s">
        <v>52</v>
      </c>
      <c r="D102" t="s">
        <v>66</v>
      </c>
      <c r="E102" s="10">
        <v>45639.101675302096</v>
      </c>
      <c r="F102" s="12">
        <v>682.1</v>
      </c>
      <c r="G102">
        <f t="shared" ca="1" si="3"/>
        <v>2.2977789582728292</v>
      </c>
      <c r="H102" t="str">
        <f t="shared" ca="1" si="4"/>
        <v/>
      </c>
      <c r="I102" t="str">
        <f t="shared" si="5"/>
        <v/>
      </c>
    </row>
    <row r="103" spans="1:9" x14ac:dyDescent="0.3">
      <c r="A103" s="10">
        <v>45674.619269489252</v>
      </c>
      <c r="B103" t="s">
        <v>16</v>
      </c>
      <c r="C103" t="s">
        <v>15</v>
      </c>
      <c r="D103" t="s">
        <v>61</v>
      </c>
      <c r="E103" s="10">
        <v>45675.644783614924</v>
      </c>
      <c r="F103" s="12">
        <v>780.51</v>
      </c>
      <c r="G103">
        <f t="shared" ca="1" si="3"/>
        <v>1.0255141256711795</v>
      </c>
      <c r="H103" t="str">
        <f t="shared" ca="1" si="4"/>
        <v>Excellent handling</v>
      </c>
      <c r="I103" t="str">
        <f t="shared" si="5"/>
        <v/>
      </c>
    </row>
    <row r="104" spans="1:9" x14ac:dyDescent="0.3">
      <c r="A104" s="10">
        <v>45654.1321502473</v>
      </c>
      <c r="B104" t="s">
        <v>24</v>
      </c>
      <c r="C104" t="s">
        <v>22</v>
      </c>
      <c r="D104" t="s">
        <v>61</v>
      </c>
      <c r="E104" s="10">
        <v>45655.152960088613</v>
      </c>
      <c r="F104" s="12">
        <v>488.12</v>
      </c>
      <c r="G104">
        <f t="shared" ca="1" si="3"/>
        <v>1.0208098413131665</v>
      </c>
      <c r="H104" t="str">
        <f t="shared" ca="1" si="4"/>
        <v>Excellent handling</v>
      </c>
      <c r="I104" t="str">
        <f t="shared" si="5"/>
        <v>Weekend sale</v>
      </c>
    </row>
    <row r="105" spans="1:9" x14ac:dyDescent="0.3">
      <c r="A105" s="10">
        <v>45680.212510143261</v>
      </c>
      <c r="B105" t="s">
        <v>24</v>
      </c>
      <c r="C105" t="s">
        <v>22</v>
      </c>
      <c r="D105" t="s">
        <v>61</v>
      </c>
      <c r="E105" s="10">
        <v>45683.535473873009</v>
      </c>
      <c r="F105" s="12">
        <v>266.32</v>
      </c>
      <c r="G105">
        <f t="shared" ca="1" si="3"/>
        <v>3.3229637297481531</v>
      </c>
      <c r="H105" t="str">
        <f t="shared" ca="1" si="4"/>
        <v/>
      </c>
      <c r="I105" t="str">
        <f t="shared" si="5"/>
        <v/>
      </c>
    </row>
    <row r="106" spans="1:9" x14ac:dyDescent="0.3">
      <c r="A106" s="10">
        <v>45668.84644205479</v>
      </c>
      <c r="B106" t="s">
        <v>24</v>
      </c>
      <c r="C106" t="s">
        <v>22</v>
      </c>
      <c r="D106" t="s">
        <v>61</v>
      </c>
      <c r="E106" s="10">
        <v>45671.707746102045</v>
      </c>
      <c r="F106" s="12">
        <v>496.24</v>
      </c>
      <c r="G106">
        <f t="shared" ca="1" si="3"/>
        <v>2.861304047255544</v>
      </c>
      <c r="H106" t="str">
        <f t="shared" ca="1" si="4"/>
        <v/>
      </c>
      <c r="I106" t="str">
        <f t="shared" si="5"/>
        <v>Weekend sale</v>
      </c>
    </row>
    <row r="107" spans="1:9" x14ac:dyDescent="0.3">
      <c r="A107" s="10">
        <v>45661.454471177436</v>
      </c>
      <c r="B107" t="s">
        <v>21</v>
      </c>
      <c r="C107" t="s">
        <v>15</v>
      </c>
      <c r="D107" t="s">
        <v>61</v>
      </c>
      <c r="E107" s="10">
        <v>45665.731220349408</v>
      </c>
      <c r="F107" s="12">
        <v>469.96</v>
      </c>
      <c r="G107">
        <f t="shared" ca="1" si="3"/>
        <v>4.2767491719714599</v>
      </c>
      <c r="H107" t="str">
        <f t="shared" ca="1" si="4"/>
        <v>Bad handling</v>
      </c>
      <c r="I107" t="str">
        <f t="shared" si="5"/>
        <v>Weekend sale</v>
      </c>
    </row>
    <row r="108" spans="1:9" x14ac:dyDescent="0.3">
      <c r="A108" s="10">
        <v>45646.183723773298</v>
      </c>
      <c r="B108" t="s">
        <v>13</v>
      </c>
      <c r="C108" t="s">
        <v>9</v>
      </c>
      <c r="D108" t="s">
        <v>65</v>
      </c>
      <c r="E108" s="10">
        <v>45646.550677127023</v>
      </c>
      <c r="F108" s="12">
        <v>47.83</v>
      </c>
      <c r="G108">
        <f t="shared" ca="1" si="3"/>
        <v>0.36695335372496629</v>
      </c>
      <c r="H108" t="str">
        <f t="shared" ca="1" si="4"/>
        <v>Excellent handling</v>
      </c>
      <c r="I108" t="str">
        <f t="shared" si="5"/>
        <v/>
      </c>
    </row>
    <row r="109" spans="1:9" x14ac:dyDescent="0.3">
      <c r="A109" s="10">
        <v>45658.874425035341</v>
      </c>
      <c r="B109" t="s">
        <v>26</v>
      </c>
      <c r="C109" t="s">
        <v>22</v>
      </c>
      <c r="D109" t="s">
        <v>65</v>
      </c>
      <c r="E109" s="10">
        <v>45660.589636811601</v>
      </c>
      <c r="F109" s="12">
        <v>776.98</v>
      </c>
      <c r="G109">
        <f t="shared" ca="1" si="3"/>
        <v>1.7152117762598209</v>
      </c>
      <c r="H109" t="str">
        <f t="shared" ca="1" si="4"/>
        <v>Excellent handling</v>
      </c>
      <c r="I109" t="str">
        <f t="shared" si="5"/>
        <v/>
      </c>
    </row>
    <row r="110" spans="1:9" x14ac:dyDescent="0.3">
      <c r="A110" s="10">
        <v>45680.781728712907</v>
      </c>
      <c r="B110" t="s">
        <v>21</v>
      </c>
      <c r="C110" t="s">
        <v>15</v>
      </c>
      <c r="D110" t="s">
        <v>61</v>
      </c>
      <c r="E110" s="10">
        <v>45682.934115131007</v>
      </c>
      <c r="F110" s="12">
        <v>606.07000000000005</v>
      </c>
      <c r="G110">
        <f t="shared" ca="1" si="3"/>
        <v>2.1523864180999226</v>
      </c>
      <c r="H110" t="str">
        <f t="shared" ca="1" si="4"/>
        <v/>
      </c>
      <c r="I110" t="str">
        <f t="shared" si="5"/>
        <v/>
      </c>
    </row>
    <row r="111" spans="1:9" x14ac:dyDescent="0.3">
      <c r="A111" s="10">
        <v>45657.837499868532</v>
      </c>
      <c r="B111" t="s">
        <v>21</v>
      </c>
      <c r="C111" t="s">
        <v>15</v>
      </c>
      <c r="D111" t="s">
        <v>61</v>
      </c>
      <c r="E111" s="10">
        <v>45660.344597181545</v>
      </c>
      <c r="F111" s="12">
        <v>844.64</v>
      </c>
      <c r="G111">
        <f t="shared" ca="1" si="3"/>
        <v>2.5070973130132188</v>
      </c>
      <c r="H111" t="str">
        <f t="shared" ca="1" si="4"/>
        <v/>
      </c>
      <c r="I111" t="str">
        <f t="shared" si="5"/>
        <v/>
      </c>
    </row>
    <row r="112" spans="1:9" x14ac:dyDescent="0.3">
      <c r="A112" s="10">
        <v>45695.09991520067</v>
      </c>
      <c r="B112" t="s">
        <v>47</v>
      </c>
      <c r="C112" t="s">
        <v>45</v>
      </c>
      <c r="D112" t="s">
        <v>60</v>
      </c>
      <c r="E112" s="10">
        <v>45696.303504418021</v>
      </c>
      <c r="F112" s="12">
        <v>496.49</v>
      </c>
      <c r="G112">
        <f t="shared" ca="1" si="3"/>
        <v>1.2035892173516913</v>
      </c>
      <c r="H112" t="str">
        <f t="shared" ca="1" si="4"/>
        <v>Excellent handling</v>
      </c>
      <c r="I112" t="str">
        <f t="shared" si="5"/>
        <v/>
      </c>
    </row>
    <row r="113" spans="1:9" x14ac:dyDescent="0.3">
      <c r="A113" s="10">
        <v>45664.845532101142</v>
      </c>
      <c r="B113" t="s">
        <v>39</v>
      </c>
      <c r="C113" t="s">
        <v>37</v>
      </c>
      <c r="D113" t="s">
        <v>65</v>
      </c>
      <c r="E113" s="10">
        <v>45670.111822199076</v>
      </c>
      <c r="F113" s="12">
        <v>409.94</v>
      </c>
      <c r="G113">
        <f t="shared" ca="1" si="3"/>
        <v>5.2662900979339611</v>
      </c>
      <c r="H113" t="str">
        <f t="shared" ca="1" si="4"/>
        <v>Bad handling</v>
      </c>
      <c r="I113" t="str">
        <f t="shared" si="5"/>
        <v/>
      </c>
    </row>
    <row r="114" spans="1:9" x14ac:dyDescent="0.3">
      <c r="A114" s="10">
        <v>45671.204347213708</v>
      </c>
      <c r="B114" t="s">
        <v>46</v>
      </c>
      <c r="C114" t="s">
        <v>45</v>
      </c>
      <c r="D114" t="s">
        <v>64</v>
      </c>
      <c r="E114" s="10">
        <v>45673.41944578971</v>
      </c>
      <c r="F114" s="12">
        <v>660.49</v>
      </c>
      <c r="G114">
        <f t="shared" ca="1" si="3"/>
        <v>2.2150985760017647</v>
      </c>
      <c r="H114" t="str">
        <f t="shared" ca="1" si="4"/>
        <v/>
      </c>
      <c r="I114" t="str">
        <f t="shared" si="5"/>
        <v/>
      </c>
    </row>
    <row r="115" spans="1:9" x14ac:dyDescent="0.3">
      <c r="A115" s="10">
        <v>45627.414068297112</v>
      </c>
      <c r="B115" t="s">
        <v>36</v>
      </c>
      <c r="C115" t="s">
        <v>33</v>
      </c>
      <c r="D115" t="s">
        <v>68</v>
      </c>
      <c r="E115" s="10" t="s">
        <v>72</v>
      </c>
      <c r="F115" s="12">
        <v>671.44</v>
      </c>
      <c r="G115">
        <f t="shared" ca="1" si="3"/>
        <v>427.58593170288805</v>
      </c>
      <c r="H115" t="str">
        <f t="shared" ca="1" si="4"/>
        <v>Bad handling</v>
      </c>
      <c r="I115" t="str">
        <f t="shared" si="5"/>
        <v>Weekend sale</v>
      </c>
    </row>
    <row r="116" spans="1:9" x14ac:dyDescent="0.3">
      <c r="A116" s="10">
        <v>45649.523741868834</v>
      </c>
      <c r="B116" t="s">
        <v>35</v>
      </c>
      <c r="C116" t="s">
        <v>33</v>
      </c>
      <c r="D116" t="s">
        <v>67</v>
      </c>
      <c r="E116" s="10">
        <v>45652.475949749423</v>
      </c>
      <c r="F116" s="12">
        <v>443.11</v>
      </c>
      <c r="G116">
        <f t="shared" ca="1" si="3"/>
        <v>2.9522078805894125</v>
      </c>
      <c r="H116" t="str">
        <f t="shared" ca="1" si="4"/>
        <v/>
      </c>
      <c r="I116" t="str">
        <f t="shared" si="5"/>
        <v/>
      </c>
    </row>
    <row r="117" spans="1:9" x14ac:dyDescent="0.3">
      <c r="A117" s="10">
        <v>45670.629223520125</v>
      </c>
      <c r="B117" t="s">
        <v>47</v>
      </c>
      <c r="C117" t="s">
        <v>45</v>
      </c>
      <c r="D117" t="s">
        <v>60</v>
      </c>
      <c r="E117" s="10">
        <v>45673.12392063492</v>
      </c>
      <c r="F117" s="12">
        <v>593.02</v>
      </c>
      <c r="G117">
        <f t="shared" ca="1" si="3"/>
        <v>2.4946971147946897</v>
      </c>
      <c r="H117" t="str">
        <f t="shared" ca="1" si="4"/>
        <v/>
      </c>
      <c r="I117" t="str">
        <f t="shared" si="5"/>
        <v/>
      </c>
    </row>
    <row r="118" spans="1:9" x14ac:dyDescent="0.3">
      <c r="A118" s="10">
        <v>45676.656211748676</v>
      </c>
      <c r="B118" t="s">
        <v>31</v>
      </c>
      <c r="C118" t="s">
        <v>29</v>
      </c>
      <c r="D118" t="s">
        <v>61</v>
      </c>
      <c r="E118" s="10">
        <v>45679.847886161711</v>
      </c>
      <c r="F118" s="12">
        <v>192.41</v>
      </c>
      <c r="G118">
        <f t="shared" ca="1" si="3"/>
        <v>3.1916744130357984</v>
      </c>
      <c r="H118" t="str">
        <f t="shared" ca="1" si="4"/>
        <v/>
      </c>
      <c r="I118" t="str">
        <f t="shared" si="5"/>
        <v>Weekend sale</v>
      </c>
    </row>
    <row r="119" spans="1:9" x14ac:dyDescent="0.3">
      <c r="A119" s="10">
        <v>45696.684768391795</v>
      </c>
      <c r="B119" t="s">
        <v>12</v>
      </c>
      <c r="C119" t="s">
        <v>9</v>
      </c>
      <c r="D119" t="s">
        <v>62</v>
      </c>
      <c r="E119" s="10">
        <v>45698.859487513721</v>
      </c>
      <c r="F119" s="12">
        <v>662.02</v>
      </c>
      <c r="G119">
        <f t="shared" ca="1" si="3"/>
        <v>2.174719121925591</v>
      </c>
      <c r="H119" t="str">
        <f t="shared" ca="1" si="4"/>
        <v/>
      </c>
      <c r="I119" t="str">
        <f t="shared" si="5"/>
        <v>Weekend sale</v>
      </c>
    </row>
    <row r="120" spans="1:9" x14ac:dyDescent="0.3">
      <c r="A120" s="10">
        <v>45695.859880048105</v>
      </c>
      <c r="B120" t="s">
        <v>17</v>
      </c>
      <c r="C120" t="s">
        <v>15</v>
      </c>
      <c r="D120" t="s">
        <v>62</v>
      </c>
      <c r="E120" s="10">
        <v>45698.592590211483</v>
      </c>
      <c r="F120" s="12">
        <v>517.61</v>
      </c>
      <c r="G120">
        <f t="shared" ca="1" si="3"/>
        <v>2.7327101633782149</v>
      </c>
      <c r="H120" t="str">
        <f t="shared" ca="1" si="4"/>
        <v/>
      </c>
      <c r="I120" t="str">
        <f t="shared" si="5"/>
        <v/>
      </c>
    </row>
    <row r="121" spans="1:9" x14ac:dyDescent="0.3">
      <c r="A121" s="10">
        <v>45647.08654832407</v>
      </c>
      <c r="B121" t="s">
        <v>23</v>
      </c>
      <c r="C121" t="s">
        <v>22</v>
      </c>
      <c r="D121" t="s">
        <v>67</v>
      </c>
      <c r="E121" s="10">
        <v>45648.888266948212</v>
      </c>
      <c r="F121" s="12">
        <v>42.47</v>
      </c>
      <c r="G121">
        <f t="shared" ca="1" si="3"/>
        <v>1.8017186241413583</v>
      </c>
      <c r="H121" t="str">
        <f t="shared" ca="1" si="4"/>
        <v>Excellent handling</v>
      </c>
      <c r="I121" t="str">
        <f t="shared" si="5"/>
        <v>Weekend sale</v>
      </c>
    </row>
    <row r="122" spans="1:9" x14ac:dyDescent="0.3">
      <c r="A122" s="10">
        <v>45656.888498344895</v>
      </c>
      <c r="B122" t="s">
        <v>13</v>
      </c>
      <c r="C122" t="s">
        <v>9</v>
      </c>
      <c r="D122" t="s">
        <v>65</v>
      </c>
      <c r="E122" s="10">
        <v>45660.766935916428</v>
      </c>
      <c r="F122" s="12">
        <v>735.77</v>
      </c>
      <c r="G122">
        <f t="shared" ca="1" si="3"/>
        <v>3.8784375715331407</v>
      </c>
      <c r="H122" t="str">
        <f t="shared" ca="1" si="4"/>
        <v/>
      </c>
      <c r="I122" t="str">
        <f t="shared" si="5"/>
        <v/>
      </c>
    </row>
    <row r="123" spans="1:9" x14ac:dyDescent="0.3">
      <c r="A123" s="10">
        <v>45664.728445875655</v>
      </c>
      <c r="B123" t="s">
        <v>25</v>
      </c>
      <c r="C123" t="s">
        <v>22</v>
      </c>
      <c r="D123" t="s">
        <v>60</v>
      </c>
      <c r="E123" s="10">
        <v>45666.147252142582</v>
      </c>
      <c r="F123" s="12">
        <v>296.17</v>
      </c>
      <c r="G123">
        <f t="shared" ca="1" si="3"/>
        <v>1.4188062669272767</v>
      </c>
      <c r="H123" t="str">
        <f t="shared" ca="1" si="4"/>
        <v>Excellent handling</v>
      </c>
      <c r="I123" t="str">
        <f t="shared" si="5"/>
        <v/>
      </c>
    </row>
    <row r="124" spans="1:9" x14ac:dyDescent="0.3">
      <c r="A124" s="10">
        <v>45672.223668216087</v>
      </c>
      <c r="B124" t="s">
        <v>18</v>
      </c>
      <c r="C124" t="s">
        <v>15</v>
      </c>
      <c r="D124" t="s">
        <v>64</v>
      </c>
      <c r="E124" s="10">
        <v>45673.777097105216</v>
      </c>
      <c r="F124" s="12">
        <v>227.78</v>
      </c>
      <c r="G124">
        <f t="shared" ca="1" si="3"/>
        <v>1.5534288891285541</v>
      </c>
      <c r="H124" t="str">
        <f t="shared" ca="1" si="4"/>
        <v>Excellent handling</v>
      </c>
      <c r="I124" t="str">
        <f t="shared" si="5"/>
        <v/>
      </c>
    </row>
    <row r="125" spans="1:9" x14ac:dyDescent="0.3">
      <c r="A125" s="10">
        <v>45684.236771556934</v>
      </c>
      <c r="B125" t="s">
        <v>49</v>
      </c>
      <c r="C125" t="s">
        <v>48</v>
      </c>
      <c r="D125" t="s">
        <v>63</v>
      </c>
      <c r="E125" s="10">
        <v>45687.924951940215</v>
      </c>
      <c r="F125" s="12">
        <v>303.02999999999997</v>
      </c>
      <c r="G125">
        <f t="shared" ca="1" si="3"/>
        <v>3.6881803832802689</v>
      </c>
      <c r="H125" t="str">
        <f t="shared" ca="1" si="4"/>
        <v/>
      </c>
      <c r="I125" t="str">
        <f t="shared" si="5"/>
        <v/>
      </c>
    </row>
    <row r="126" spans="1:9" x14ac:dyDescent="0.3">
      <c r="A126" s="10">
        <v>45627.662970008139</v>
      </c>
      <c r="B126" t="s">
        <v>12</v>
      </c>
      <c r="C126" t="s">
        <v>9</v>
      </c>
      <c r="D126" t="s">
        <v>62</v>
      </c>
      <c r="E126" s="10" t="s">
        <v>72</v>
      </c>
      <c r="F126" s="12">
        <v>30.56</v>
      </c>
      <c r="G126">
        <f t="shared" ca="1" si="3"/>
        <v>427.33702999186062</v>
      </c>
      <c r="H126" t="str">
        <f t="shared" ca="1" si="4"/>
        <v>Bad handling</v>
      </c>
      <c r="I126" t="str">
        <f t="shared" si="5"/>
        <v>Weekend sale</v>
      </c>
    </row>
    <row r="127" spans="1:9" x14ac:dyDescent="0.3">
      <c r="A127" s="10">
        <v>45683.095955814882</v>
      </c>
      <c r="B127" t="s">
        <v>46</v>
      </c>
      <c r="C127" t="s">
        <v>45</v>
      </c>
      <c r="D127" t="s">
        <v>64</v>
      </c>
      <c r="E127" s="10">
        <v>45685.273483018558</v>
      </c>
      <c r="F127" s="12">
        <v>556.16</v>
      </c>
      <c r="G127">
        <f t="shared" ca="1" si="3"/>
        <v>2.1775272036757087</v>
      </c>
      <c r="H127" t="str">
        <f t="shared" ca="1" si="4"/>
        <v/>
      </c>
      <c r="I127" t="str">
        <f t="shared" si="5"/>
        <v>Weekend sale</v>
      </c>
    </row>
    <row r="128" spans="1:9" x14ac:dyDescent="0.3">
      <c r="A128" s="10">
        <v>45696.902784038823</v>
      </c>
      <c r="B128" t="s">
        <v>26</v>
      </c>
      <c r="C128" t="s">
        <v>22</v>
      </c>
      <c r="D128" t="s">
        <v>65</v>
      </c>
      <c r="E128" s="10">
        <v>45699.379165990635</v>
      </c>
      <c r="F128" s="12">
        <v>172.67</v>
      </c>
      <c r="G128">
        <f t="shared" ca="1" si="3"/>
        <v>2.4763819518120727</v>
      </c>
      <c r="H128" t="str">
        <f t="shared" ca="1" si="4"/>
        <v/>
      </c>
      <c r="I128" t="str">
        <f t="shared" si="5"/>
        <v>Weekend sale</v>
      </c>
    </row>
    <row r="129" spans="1:9" x14ac:dyDescent="0.3">
      <c r="A129" s="10">
        <v>45690.513881365128</v>
      </c>
      <c r="B129" t="s">
        <v>18</v>
      </c>
      <c r="C129" t="s">
        <v>15</v>
      </c>
      <c r="D129" t="s">
        <v>64</v>
      </c>
      <c r="E129" s="10">
        <v>45690.88880339911</v>
      </c>
      <c r="F129" s="12">
        <v>622.82000000000005</v>
      </c>
      <c r="G129">
        <f t="shared" ca="1" si="3"/>
        <v>0.3749220339814201</v>
      </c>
      <c r="H129" t="str">
        <f t="shared" ca="1" si="4"/>
        <v>Excellent handling</v>
      </c>
      <c r="I129" t="str">
        <f t="shared" si="5"/>
        <v>Weekend sale</v>
      </c>
    </row>
    <row r="130" spans="1:9" x14ac:dyDescent="0.3">
      <c r="A130" s="10">
        <v>45633.723639759635</v>
      </c>
      <c r="B130" t="s">
        <v>51</v>
      </c>
      <c r="C130" t="s">
        <v>48</v>
      </c>
      <c r="D130" t="s">
        <v>69</v>
      </c>
      <c r="E130" s="10">
        <v>45638.998864762005</v>
      </c>
      <c r="F130" s="12">
        <v>611.9</v>
      </c>
      <c r="G130">
        <f t="shared" ref="G130:G193" ca="1" si="6">IF(ISTEXT(E130),TODAY(),E130)-A130</f>
        <v>5.2752250023695524</v>
      </c>
      <c r="H130" t="str">
        <f t="shared" ca="1" si="4"/>
        <v>Bad handling</v>
      </c>
      <c r="I130" t="str">
        <f t="shared" si="5"/>
        <v>Weekend sale</v>
      </c>
    </row>
    <row r="131" spans="1:9" x14ac:dyDescent="0.3">
      <c r="A131" s="10">
        <v>45686.039699452631</v>
      </c>
      <c r="B131" t="s">
        <v>12</v>
      </c>
      <c r="C131" t="s">
        <v>9</v>
      </c>
      <c r="D131" t="s">
        <v>62</v>
      </c>
      <c r="E131" s="10">
        <v>45687.473555111756</v>
      </c>
      <c r="F131" s="12">
        <v>725.75</v>
      </c>
      <c r="G131">
        <f t="shared" ca="1" si="6"/>
        <v>1.4338556591246743</v>
      </c>
      <c r="H131" t="str">
        <f t="shared" ref="H131:H194" ca="1" si="7">IF(G131*24&lt;=48,"Excellent handling",IF(G131*24&gt;=96,"Bad handling",""))</f>
        <v>Excellent handling</v>
      </c>
      <c r="I131" t="str">
        <f t="shared" ref="I131:I194" si="8">IF(OR(WEEKDAY(A131)=1,WEEKDAY(A131)=7),"Weekend sale","")</f>
        <v/>
      </c>
    </row>
    <row r="132" spans="1:9" x14ac:dyDescent="0.3">
      <c r="A132" s="10">
        <v>45643.246766549571</v>
      </c>
      <c r="B132" t="s">
        <v>23</v>
      </c>
      <c r="C132" t="s">
        <v>22</v>
      </c>
      <c r="D132" t="s">
        <v>67</v>
      </c>
      <c r="E132" s="10">
        <v>45646.059391261784</v>
      </c>
      <c r="F132" s="12">
        <v>193.82</v>
      </c>
      <c r="G132">
        <f t="shared" ca="1" si="6"/>
        <v>2.8126247122127097</v>
      </c>
      <c r="H132" t="str">
        <f t="shared" ca="1" si="7"/>
        <v/>
      </c>
      <c r="I132" t="str">
        <f t="shared" si="8"/>
        <v/>
      </c>
    </row>
    <row r="133" spans="1:9" x14ac:dyDescent="0.3">
      <c r="A133" s="10">
        <v>45669.270900182775</v>
      </c>
      <c r="B133" t="s">
        <v>36</v>
      </c>
      <c r="C133" t="s">
        <v>33</v>
      </c>
      <c r="D133" t="s">
        <v>68</v>
      </c>
      <c r="E133" s="10">
        <v>45672.211047834578</v>
      </c>
      <c r="F133" s="12">
        <v>654.35</v>
      </c>
      <c r="G133">
        <f t="shared" ca="1" si="6"/>
        <v>2.9401476518032723</v>
      </c>
      <c r="H133" t="str">
        <f t="shared" ca="1" si="7"/>
        <v/>
      </c>
      <c r="I133" t="str">
        <f t="shared" si="8"/>
        <v>Weekend sale</v>
      </c>
    </row>
    <row r="134" spans="1:9" x14ac:dyDescent="0.3">
      <c r="A134" s="10">
        <v>45642.077726698124</v>
      </c>
      <c r="B134" t="s">
        <v>28</v>
      </c>
      <c r="C134" t="s">
        <v>22</v>
      </c>
      <c r="D134" t="s">
        <v>67</v>
      </c>
      <c r="E134" s="10">
        <v>45643.333960977805</v>
      </c>
      <c r="F134" s="12">
        <v>563.66</v>
      </c>
      <c r="G134">
        <f t="shared" ca="1" si="6"/>
        <v>1.2562342796809389</v>
      </c>
      <c r="H134" t="str">
        <f t="shared" ca="1" si="7"/>
        <v>Excellent handling</v>
      </c>
      <c r="I134" t="str">
        <f t="shared" si="8"/>
        <v/>
      </c>
    </row>
    <row r="135" spans="1:9" x14ac:dyDescent="0.3">
      <c r="A135" s="10">
        <v>45639.274979913193</v>
      </c>
      <c r="B135" t="s">
        <v>55</v>
      </c>
      <c r="C135" t="s">
        <v>52</v>
      </c>
      <c r="D135" t="s">
        <v>67</v>
      </c>
      <c r="E135" s="10">
        <v>45644.586555053538</v>
      </c>
      <c r="F135" s="12">
        <v>243.18</v>
      </c>
      <c r="G135">
        <f t="shared" ca="1" si="6"/>
        <v>5.311575140345667</v>
      </c>
      <c r="H135" t="str">
        <f t="shared" ca="1" si="7"/>
        <v>Bad handling</v>
      </c>
      <c r="I135" t="str">
        <f t="shared" si="8"/>
        <v/>
      </c>
    </row>
    <row r="136" spans="1:9" x14ac:dyDescent="0.3">
      <c r="A136" s="10">
        <v>45641.247970276476</v>
      </c>
      <c r="B136" t="s">
        <v>10</v>
      </c>
      <c r="C136" t="s">
        <v>9</v>
      </c>
      <c r="D136" t="s">
        <v>61</v>
      </c>
      <c r="E136" s="10">
        <v>45643.334875897919</v>
      </c>
      <c r="F136" s="12">
        <v>194.09</v>
      </c>
      <c r="G136">
        <f t="shared" ca="1" si="6"/>
        <v>2.0869056214432931</v>
      </c>
      <c r="H136" t="str">
        <f t="shared" ca="1" si="7"/>
        <v/>
      </c>
      <c r="I136" t="str">
        <f t="shared" si="8"/>
        <v>Weekend sale</v>
      </c>
    </row>
    <row r="137" spans="1:9" x14ac:dyDescent="0.3">
      <c r="A137" s="10">
        <v>45692.616213429268</v>
      </c>
      <c r="B137" t="s">
        <v>47</v>
      </c>
      <c r="C137" t="s">
        <v>45</v>
      </c>
      <c r="D137" t="s">
        <v>60</v>
      </c>
      <c r="E137" s="10">
        <v>45696.388768222059</v>
      </c>
      <c r="F137" s="12">
        <v>273.2</v>
      </c>
      <c r="G137">
        <f t="shared" ca="1" si="6"/>
        <v>3.7725547927911975</v>
      </c>
      <c r="H137" t="str">
        <f t="shared" ca="1" si="7"/>
        <v/>
      </c>
      <c r="I137" t="str">
        <f t="shared" si="8"/>
        <v/>
      </c>
    </row>
    <row r="138" spans="1:9" x14ac:dyDescent="0.3">
      <c r="A138" s="10">
        <v>45645.304700724802</v>
      </c>
      <c r="B138" t="s">
        <v>25</v>
      </c>
      <c r="C138" t="s">
        <v>22</v>
      </c>
      <c r="D138" t="s">
        <v>60</v>
      </c>
      <c r="E138" s="10">
        <v>45648.188953544923</v>
      </c>
      <c r="F138" s="12">
        <v>735.18</v>
      </c>
      <c r="G138">
        <f t="shared" ca="1" si="6"/>
        <v>2.8842528201203095</v>
      </c>
      <c r="H138" t="str">
        <f t="shared" ca="1" si="7"/>
        <v/>
      </c>
      <c r="I138" t="str">
        <f t="shared" si="8"/>
        <v/>
      </c>
    </row>
    <row r="139" spans="1:9" x14ac:dyDescent="0.3">
      <c r="A139" s="10">
        <v>45679.165948856018</v>
      </c>
      <c r="B139" t="s">
        <v>23</v>
      </c>
      <c r="C139" t="s">
        <v>22</v>
      </c>
      <c r="D139" t="s">
        <v>67</v>
      </c>
      <c r="E139" s="10">
        <v>45679.278070932967</v>
      </c>
      <c r="F139" s="12">
        <v>186.78</v>
      </c>
      <c r="G139">
        <f t="shared" ca="1" si="6"/>
        <v>0.11212207694916287</v>
      </c>
      <c r="H139" t="str">
        <f t="shared" ca="1" si="7"/>
        <v>Excellent handling</v>
      </c>
      <c r="I139" t="str">
        <f t="shared" si="8"/>
        <v/>
      </c>
    </row>
    <row r="140" spans="1:9" x14ac:dyDescent="0.3">
      <c r="A140" s="10">
        <v>45681.052568084124</v>
      </c>
      <c r="B140" t="s">
        <v>13</v>
      </c>
      <c r="C140" t="s">
        <v>9</v>
      </c>
      <c r="D140" t="s">
        <v>65</v>
      </c>
      <c r="E140" s="10">
        <v>45684.365541312152</v>
      </c>
      <c r="F140" s="12">
        <v>450.82</v>
      </c>
      <c r="G140">
        <f t="shared" ca="1" si="6"/>
        <v>3.312973228028568</v>
      </c>
      <c r="H140" t="str">
        <f t="shared" ca="1" si="7"/>
        <v/>
      </c>
      <c r="I140" t="str">
        <f t="shared" si="8"/>
        <v/>
      </c>
    </row>
    <row r="141" spans="1:9" x14ac:dyDescent="0.3">
      <c r="A141" s="10">
        <v>45660.292290867983</v>
      </c>
      <c r="B141" t="s">
        <v>41</v>
      </c>
      <c r="C141" t="s">
        <v>37</v>
      </c>
      <c r="D141" t="s">
        <v>68</v>
      </c>
      <c r="E141" s="10">
        <v>45665.075508072507</v>
      </c>
      <c r="F141" s="12">
        <v>752.26</v>
      </c>
      <c r="G141">
        <f t="shared" ca="1" si="6"/>
        <v>4.7832172045236803</v>
      </c>
      <c r="H141" t="str">
        <f t="shared" ca="1" si="7"/>
        <v>Bad handling</v>
      </c>
      <c r="I141" t="str">
        <f t="shared" si="8"/>
        <v/>
      </c>
    </row>
    <row r="142" spans="1:9" x14ac:dyDescent="0.3">
      <c r="A142" s="10">
        <v>45660.450661390147</v>
      </c>
      <c r="B142" t="s">
        <v>20</v>
      </c>
      <c r="C142" t="s">
        <v>15</v>
      </c>
      <c r="D142" t="s">
        <v>64</v>
      </c>
      <c r="E142" s="10">
        <v>45661.680962120736</v>
      </c>
      <c r="F142" s="12">
        <v>603.02</v>
      </c>
      <c r="G142">
        <f t="shared" ca="1" si="6"/>
        <v>1.2303007305890787</v>
      </c>
      <c r="H142" t="str">
        <f t="shared" ca="1" si="7"/>
        <v>Excellent handling</v>
      </c>
      <c r="I142" t="str">
        <f t="shared" si="8"/>
        <v/>
      </c>
    </row>
    <row r="143" spans="1:9" x14ac:dyDescent="0.3">
      <c r="A143" s="10">
        <v>45662.945576626531</v>
      </c>
      <c r="B143" t="s">
        <v>24</v>
      </c>
      <c r="C143" t="s">
        <v>22</v>
      </c>
      <c r="D143" t="s">
        <v>61</v>
      </c>
      <c r="E143" s="10" t="s">
        <v>72</v>
      </c>
      <c r="F143" s="12">
        <v>420.37</v>
      </c>
      <c r="G143">
        <f t="shared" ca="1" si="6"/>
        <v>392.05442337346904</v>
      </c>
      <c r="H143" t="str">
        <f t="shared" ca="1" si="7"/>
        <v>Bad handling</v>
      </c>
      <c r="I143" t="str">
        <f t="shared" si="8"/>
        <v>Weekend sale</v>
      </c>
    </row>
    <row r="144" spans="1:9" x14ac:dyDescent="0.3">
      <c r="A144" s="10">
        <v>45694.484544949883</v>
      </c>
      <c r="B144" t="s">
        <v>11</v>
      </c>
      <c r="C144" t="s">
        <v>9</v>
      </c>
      <c r="D144" t="s">
        <v>67</v>
      </c>
      <c r="E144" s="10">
        <v>45696.644250185673</v>
      </c>
      <c r="F144" s="12">
        <v>590.51</v>
      </c>
      <c r="G144">
        <f t="shared" ca="1" si="6"/>
        <v>2.1597052357901703</v>
      </c>
      <c r="H144" t="str">
        <f t="shared" ca="1" si="7"/>
        <v/>
      </c>
      <c r="I144" t="str">
        <f t="shared" si="8"/>
        <v/>
      </c>
    </row>
    <row r="145" spans="1:9" x14ac:dyDescent="0.3">
      <c r="A145" s="10">
        <v>45629.054765311252</v>
      </c>
      <c r="B145" t="s">
        <v>18</v>
      </c>
      <c r="C145" t="s">
        <v>15</v>
      </c>
      <c r="D145" t="s">
        <v>64</v>
      </c>
      <c r="E145" s="10">
        <v>45631.595287608281</v>
      </c>
      <c r="F145" s="12">
        <v>269.51</v>
      </c>
      <c r="G145">
        <f t="shared" ca="1" si="6"/>
        <v>2.5405222970293835</v>
      </c>
      <c r="H145" t="str">
        <f t="shared" ca="1" si="7"/>
        <v/>
      </c>
      <c r="I145" t="str">
        <f t="shared" si="8"/>
        <v/>
      </c>
    </row>
    <row r="146" spans="1:9" x14ac:dyDescent="0.3">
      <c r="A146" s="10">
        <v>45677.485069871778</v>
      </c>
      <c r="B146" t="s">
        <v>21</v>
      </c>
      <c r="C146" t="s">
        <v>15</v>
      </c>
      <c r="D146" t="s">
        <v>61</v>
      </c>
      <c r="E146" s="10">
        <v>45679.16798425225</v>
      </c>
      <c r="F146" s="12">
        <v>698.4</v>
      </c>
      <c r="G146">
        <f t="shared" ca="1" si="6"/>
        <v>1.6829143804716296</v>
      </c>
      <c r="H146" t="str">
        <f t="shared" ca="1" si="7"/>
        <v>Excellent handling</v>
      </c>
      <c r="I146" t="str">
        <f t="shared" si="8"/>
        <v/>
      </c>
    </row>
    <row r="147" spans="1:9" x14ac:dyDescent="0.3">
      <c r="A147" s="10">
        <v>45663.255578023905</v>
      </c>
      <c r="B147" t="s">
        <v>35</v>
      </c>
      <c r="C147" t="s">
        <v>33</v>
      </c>
      <c r="D147" t="s">
        <v>67</v>
      </c>
      <c r="E147" s="10">
        <v>45664.725653338799</v>
      </c>
      <c r="F147" s="12">
        <v>92.4</v>
      </c>
      <c r="G147">
        <f t="shared" ca="1" si="6"/>
        <v>1.4700753148936201</v>
      </c>
      <c r="H147" t="str">
        <f t="shared" ca="1" si="7"/>
        <v>Excellent handling</v>
      </c>
      <c r="I147" t="str">
        <f t="shared" si="8"/>
        <v/>
      </c>
    </row>
    <row r="148" spans="1:9" x14ac:dyDescent="0.3">
      <c r="A148" s="10">
        <v>45633.817189451875</v>
      </c>
      <c r="B148" t="s">
        <v>34</v>
      </c>
      <c r="C148" t="s">
        <v>33</v>
      </c>
      <c r="D148" t="s">
        <v>62</v>
      </c>
      <c r="E148" s="10">
        <v>45636.013775951171</v>
      </c>
      <c r="F148" s="12">
        <v>445.41</v>
      </c>
      <c r="G148">
        <f t="shared" ca="1" si="6"/>
        <v>2.1965864992962452</v>
      </c>
      <c r="H148" t="str">
        <f t="shared" ca="1" si="7"/>
        <v/>
      </c>
      <c r="I148" t="str">
        <f t="shared" si="8"/>
        <v>Weekend sale</v>
      </c>
    </row>
    <row r="149" spans="1:9" x14ac:dyDescent="0.3">
      <c r="A149" s="10">
        <v>45675.52833006189</v>
      </c>
      <c r="B149" t="s">
        <v>38</v>
      </c>
      <c r="C149" t="s">
        <v>37</v>
      </c>
      <c r="D149" t="s">
        <v>63</v>
      </c>
      <c r="E149" s="10">
        <v>45677.039707322918</v>
      </c>
      <c r="F149" s="12">
        <v>262.48</v>
      </c>
      <c r="G149">
        <f t="shared" ca="1" si="6"/>
        <v>1.5113772610275191</v>
      </c>
      <c r="H149" t="str">
        <f t="shared" ca="1" si="7"/>
        <v>Excellent handling</v>
      </c>
      <c r="I149" t="str">
        <f t="shared" si="8"/>
        <v>Weekend sale</v>
      </c>
    </row>
    <row r="150" spans="1:9" x14ac:dyDescent="0.3">
      <c r="A150" s="10">
        <v>45667.215197106008</v>
      </c>
      <c r="B150" t="s">
        <v>55</v>
      </c>
      <c r="C150" t="s">
        <v>52</v>
      </c>
      <c r="D150" t="s">
        <v>67</v>
      </c>
      <c r="E150" s="10">
        <v>45670.342902462457</v>
      </c>
      <c r="F150" s="12">
        <v>240.33</v>
      </c>
      <c r="G150">
        <f t="shared" ca="1" si="6"/>
        <v>3.1277053564481321</v>
      </c>
      <c r="H150" t="str">
        <f t="shared" ca="1" si="7"/>
        <v/>
      </c>
      <c r="I150" t="str">
        <f t="shared" si="8"/>
        <v/>
      </c>
    </row>
    <row r="151" spans="1:9" x14ac:dyDescent="0.3">
      <c r="A151" s="10">
        <v>45692.079634224581</v>
      </c>
      <c r="B151" t="s">
        <v>55</v>
      </c>
      <c r="C151" t="s">
        <v>52</v>
      </c>
      <c r="D151" t="s">
        <v>67</v>
      </c>
      <c r="E151" s="10">
        <v>45696.094077580528</v>
      </c>
      <c r="F151" s="12">
        <v>563.63</v>
      </c>
      <c r="G151">
        <f t="shared" ca="1" si="6"/>
        <v>4.0144433559471508</v>
      </c>
      <c r="H151" t="str">
        <f t="shared" ca="1" si="7"/>
        <v>Bad handling</v>
      </c>
      <c r="I151" t="str">
        <f t="shared" si="8"/>
        <v/>
      </c>
    </row>
    <row r="152" spans="1:9" x14ac:dyDescent="0.3">
      <c r="A152" s="10">
        <v>45660.459897583096</v>
      </c>
      <c r="B152" t="s">
        <v>10</v>
      </c>
      <c r="C152" t="s">
        <v>9</v>
      </c>
      <c r="D152" t="s">
        <v>61</v>
      </c>
      <c r="E152" s="10">
        <v>45662.857476925245</v>
      </c>
      <c r="F152" s="12">
        <v>96.73</v>
      </c>
      <c r="G152">
        <f t="shared" ca="1" si="6"/>
        <v>2.3975793421486742</v>
      </c>
      <c r="H152" t="str">
        <f t="shared" ca="1" si="7"/>
        <v/>
      </c>
      <c r="I152" t="str">
        <f t="shared" si="8"/>
        <v/>
      </c>
    </row>
    <row r="153" spans="1:9" x14ac:dyDescent="0.3">
      <c r="A153" s="10">
        <v>45696.301926615437</v>
      </c>
      <c r="B153" t="s">
        <v>19</v>
      </c>
      <c r="C153" t="s">
        <v>15</v>
      </c>
      <c r="D153" t="s">
        <v>63</v>
      </c>
      <c r="E153" s="10">
        <v>45699.018909649953</v>
      </c>
      <c r="F153" s="12">
        <v>736.58</v>
      </c>
      <c r="G153">
        <f t="shared" ca="1" si="6"/>
        <v>2.7169830345155788</v>
      </c>
      <c r="H153" t="str">
        <f t="shared" ca="1" si="7"/>
        <v/>
      </c>
      <c r="I153" t="str">
        <f t="shared" si="8"/>
        <v>Weekend sale</v>
      </c>
    </row>
    <row r="154" spans="1:9" x14ac:dyDescent="0.3">
      <c r="A154" s="10">
        <v>45678.615249925359</v>
      </c>
      <c r="B154" t="s">
        <v>17</v>
      </c>
      <c r="C154" t="s">
        <v>15</v>
      </c>
      <c r="D154" t="s">
        <v>62</v>
      </c>
      <c r="E154" s="10">
        <v>45680.991543670476</v>
      </c>
      <c r="F154" s="12">
        <v>181.16</v>
      </c>
      <c r="G154">
        <f t="shared" ca="1" si="6"/>
        <v>2.3762937451174366</v>
      </c>
      <c r="H154" t="str">
        <f t="shared" ca="1" si="7"/>
        <v/>
      </c>
      <c r="I154" t="str">
        <f t="shared" si="8"/>
        <v/>
      </c>
    </row>
    <row r="155" spans="1:9" x14ac:dyDescent="0.3">
      <c r="A155" s="10">
        <v>45642.077016117037</v>
      </c>
      <c r="B155" t="s">
        <v>30</v>
      </c>
      <c r="C155" t="s">
        <v>29</v>
      </c>
      <c r="D155" t="s">
        <v>68</v>
      </c>
      <c r="E155" s="10">
        <v>45643.700438042673</v>
      </c>
      <c r="F155" s="12">
        <v>484.69</v>
      </c>
      <c r="G155">
        <f t="shared" ca="1" si="6"/>
        <v>1.6234219256366487</v>
      </c>
      <c r="H155" t="str">
        <f t="shared" ca="1" si="7"/>
        <v>Excellent handling</v>
      </c>
      <c r="I155" t="str">
        <f t="shared" si="8"/>
        <v/>
      </c>
    </row>
    <row r="156" spans="1:9" x14ac:dyDescent="0.3">
      <c r="A156" s="10">
        <v>45694.93122772628</v>
      </c>
      <c r="B156" t="s">
        <v>28</v>
      </c>
      <c r="C156" t="s">
        <v>22</v>
      </c>
      <c r="D156" t="s">
        <v>67</v>
      </c>
      <c r="E156" s="10">
        <v>45697.524622848323</v>
      </c>
      <c r="F156" s="12">
        <v>295.89999999999998</v>
      </c>
      <c r="G156">
        <f t="shared" ca="1" si="6"/>
        <v>2.5933951220431481</v>
      </c>
      <c r="H156" t="str">
        <f t="shared" ca="1" si="7"/>
        <v/>
      </c>
      <c r="I156" t="str">
        <f t="shared" si="8"/>
        <v/>
      </c>
    </row>
    <row r="157" spans="1:9" x14ac:dyDescent="0.3">
      <c r="A157" s="10">
        <v>45642.164780669744</v>
      </c>
      <c r="B157" t="s">
        <v>55</v>
      </c>
      <c r="C157" t="s">
        <v>52</v>
      </c>
      <c r="D157" t="s">
        <v>67</v>
      </c>
      <c r="E157" s="10">
        <v>45642.511752748316</v>
      </c>
      <c r="F157" s="12">
        <v>478.96</v>
      </c>
      <c r="G157">
        <f t="shared" ca="1" si="6"/>
        <v>0.34697207857243484</v>
      </c>
      <c r="H157" t="str">
        <f t="shared" ca="1" si="7"/>
        <v>Excellent handling</v>
      </c>
      <c r="I157" t="str">
        <f t="shared" si="8"/>
        <v/>
      </c>
    </row>
    <row r="158" spans="1:9" x14ac:dyDescent="0.3">
      <c r="A158" s="10">
        <v>45649.745021941613</v>
      </c>
      <c r="B158" t="s">
        <v>40</v>
      </c>
      <c r="C158" t="s">
        <v>37</v>
      </c>
      <c r="D158" t="s">
        <v>66</v>
      </c>
      <c r="E158" s="10">
        <v>45653.995150907198</v>
      </c>
      <c r="F158" s="12">
        <v>606.87</v>
      </c>
      <c r="G158">
        <f t="shared" ca="1" si="6"/>
        <v>4.2501289655847359</v>
      </c>
      <c r="H158" t="str">
        <f t="shared" ca="1" si="7"/>
        <v>Bad handling</v>
      </c>
      <c r="I158" t="str">
        <f t="shared" si="8"/>
        <v/>
      </c>
    </row>
    <row r="159" spans="1:9" x14ac:dyDescent="0.3">
      <c r="A159" s="10">
        <v>45655.444067699966</v>
      </c>
      <c r="B159" t="s">
        <v>55</v>
      </c>
      <c r="C159" t="s">
        <v>52</v>
      </c>
      <c r="D159" t="s">
        <v>67</v>
      </c>
      <c r="E159" s="10">
        <v>45658.744771134006</v>
      </c>
      <c r="F159" s="12">
        <v>609.73</v>
      </c>
      <c r="G159">
        <f t="shared" ca="1" si="6"/>
        <v>3.3007034340407699</v>
      </c>
      <c r="H159" t="str">
        <f t="shared" ca="1" si="7"/>
        <v/>
      </c>
      <c r="I159" t="str">
        <f t="shared" si="8"/>
        <v>Weekend sale</v>
      </c>
    </row>
    <row r="160" spans="1:9" x14ac:dyDescent="0.3">
      <c r="A160" s="10">
        <v>45667.082640394641</v>
      </c>
      <c r="B160" t="s">
        <v>23</v>
      </c>
      <c r="C160" t="s">
        <v>22</v>
      </c>
      <c r="D160" t="s">
        <v>67</v>
      </c>
      <c r="E160" s="10">
        <v>45668.410357727211</v>
      </c>
      <c r="F160" s="12">
        <v>498.55</v>
      </c>
      <c r="G160">
        <f t="shared" ca="1" si="6"/>
        <v>1.3277173325695912</v>
      </c>
      <c r="H160" t="str">
        <f t="shared" ca="1" si="7"/>
        <v>Excellent handling</v>
      </c>
      <c r="I160" t="str">
        <f t="shared" si="8"/>
        <v/>
      </c>
    </row>
    <row r="161" spans="1:9" x14ac:dyDescent="0.3">
      <c r="A161" s="10">
        <v>45689.093595184691</v>
      </c>
      <c r="B161" t="s">
        <v>39</v>
      </c>
      <c r="C161" t="s">
        <v>37</v>
      </c>
      <c r="D161" t="s">
        <v>65</v>
      </c>
      <c r="E161" s="10">
        <v>45693.798710084338</v>
      </c>
      <c r="F161" s="12">
        <v>520.21</v>
      </c>
      <c r="G161">
        <f t="shared" ca="1" si="6"/>
        <v>4.7051148996470147</v>
      </c>
      <c r="H161" t="str">
        <f t="shared" ca="1" si="7"/>
        <v>Bad handling</v>
      </c>
      <c r="I161" t="str">
        <f t="shared" si="8"/>
        <v>Weekend sale</v>
      </c>
    </row>
    <row r="162" spans="1:9" x14ac:dyDescent="0.3">
      <c r="A162" s="10">
        <v>45682.477007108289</v>
      </c>
      <c r="B162" t="s">
        <v>47</v>
      </c>
      <c r="C162" t="s">
        <v>45</v>
      </c>
      <c r="D162" t="s">
        <v>60</v>
      </c>
      <c r="E162" s="10">
        <v>45684.390369999077</v>
      </c>
      <c r="F162" s="12">
        <v>524.4</v>
      </c>
      <c r="G162">
        <f t="shared" ca="1" si="6"/>
        <v>1.9133628907875391</v>
      </c>
      <c r="H162" t="str">
        <f t="shared" ca="1" si="7"/>
        <v>Excellent handling</v>
      </c>
      <c r="I162" t="str">
        <f t="shared" si="8"/>
        <v>Weekend sale</v>
      </c>
    </row>
    <row r="163" spans="1:9" x14ac:dyDescent="0.3">
      <c r="A163" s="10">
        <v>45666.4790411473</v>
      </c>
      <c r="B163" t="s">
        <v>24</v>
      </c>
      <c r="C163" t="s">
        <v>22</v>
      </c>
      <c r="D163" t="s">
        <v>61</v>
      </c>
      <c r="E163" s="10">
        <v>45667.544902858775</v>
      </c>
      <c r="F163" s="12">
        <v>330.3</v>
      </c>
      <c r="G163">
        <f t="shared" ca="1" si="6"/>
        <v>1.0658617114750086</v>
      </c>
      <c r="H163" t="str">
        <f t="shared" ca="1" si="7"/>
        <v>Excellent handling</v>
      </c>
      <c r="I163" t="str">
        <f t="shared" si="8"/>
        <v/>
      </c>
    </row>
    <row r="164" spans="1:9" x14ac:dyDescent="0.3">
      <c r="A164" s="10">
        <v>45679.676940440484</v>
      </c>
      <c r="B164" t="s">
        <v>16</v>
      </c>
      <c r="C164" t="s">
        <v>15</v>
      </c>
      <c r="D164" t="s">
        <v>61</v>
      </c>
      <c r="E164" s="10">
        <v>45680.844498396262</v>
      </c>
      <c r="F164" s="12">
        <v>396.05</v>
      </c>
      <c r="G164">
        <f t="shared" ca="1" si="6"/>
        <v>1.1675579557777382</v>
      </c>
      <c r="H164" t="str">
        <f t="shared" ca="1" si="7"/>
        <v>Excellent handling</v>
      </c>
      <c r="I164" t="str">
        <f t="shared" si="8"/>
        <v/>
      </c>
    </row>
    <row r="165" spans="1:9" x14ac:dyDescent="0.3">
      <c r="A165" s="10">
        <v>45652.562667433987</v>
      </c>
      <c r="B165" t="s">
        <v>34</v>
      </c>
      <c r="C165" t="s">
        <v>33</v>
      </c>
      <c r="D165" t="s">
        <v>62</v>
      </c>
      <c r="E165" s="10">
        <v>45655.209132681623</v>
      </c>
      <c r="F165" s="12">
        <v>137.52000000000001</v>
      </c>
      <c r="G165">
        <f t="shared" ca="1" si="6"/>
        <v>2.6464652476352057</v>
      </c>
      <c r="H165" t="str">
        <f t="shared" ca="1" si="7"/>
        <v/>
      </c>
      <c r="I165" t="str">
        <f t="shared" si="8"/>
        <v/>
      </c>
    </row>
    <row r="166" spans="1:9" x14ac:dyDescent="0.3">
      <c r="A166" s="10">
        <v>45680.986558318094</v>
      </c>
      <c r="B166" t="s">
        <v>11</v>
      </c>
      <c r="C166" t="s">
        <v>9</v>
      </c>
      <c r="D166" t="s">
        <v>67</v>
      </c>
      <c r="E166" s="10">
        <v>45682.186101428393</v>
      </c>
      <c r="F166" s="12">
        <v>543.16</v>
      </c>
      <c r="G166">
        <f t="shared" ca="1" si="6"/>
        <v>1.1995431102986913</v>
      </c>
      <c r="H166" t="str">
        <f t="shared" ca="1" si="7"/>
        <v>Excellent handling</v>
      </c>
      <c r="I166" t="str">
        <f t="shared" si="8"/>
        <v/>
      </c>
    </row>
    <row r="167" spans="1:9" x14ac:dyDescent="0.3">
      <c r="A167" s="10">
        <v>45674.35806527645</v>
      </c>
      <c r="B167" t="s">
        <v>36</v>
      </c>
      <c r="C167" t="s">
        <v>33</v>
      </c>
      <c r="D167" t="s">
        <v>68</v>
      </c>
      <c r="E167" s="10">
        <v>45677.353975898739</v>
      </c>
      <c r="F167" s="12">
        <v>162.13999999999999</v>
      </c>
      <c r="G167">
        <f t="shared" ca="1" si="6"/>
        <v>2.9959106222886476</v>
      </c>
      <c r="H167" t="str">
        <f t="shared" ca="1" si="7"/>
        <v/>
      </c>
      <c r="I167" t="str">
        <f t="shared" si="8"/>
        <v/>
      </c>
    </row>
    <row r="168" spans="1:9" x14ac:dyDescent="0.3">
      <c r="A168" s="10">
        <v>45655.916020790472</v>
      </c>
      <c r="B168" t="s">
        <v>34</v>
      </c>
      <c r="C168" t="s">
        <v>33</v>
      </c>
      <c r="D168" t="s">
        <v>62</v>
      </c>
      <c r="E168" s="10">
        <v>45658.310073404224</v>
      </c>
      <c r="F168" s="12">
        <v>74.459999999999994</v>
      </c>
      <c r="G168">
        <f t="shared" ca="1" si="6"/>
        <v>2.3940526137521374</v>
      </c>
      <c r="H168" t="str">
        <f t="shared" ca="1" si="7"/>
        <v/>
      </c>
      <c r="I168" t="str">
        <f t="shared" si="8"/>
        <v>Weekend sale</v>
      </c>
    </row>
    <row r="169" spans="1:9" x14ac:dyDescent="0.3">
      <c r="A169" s="10">
        <v>45667.576570793775</v>
      </c>
      <c r="B169" t="s">
        <v>12</v>
      </c>
      <c r="C169" t="s">
        <v>9</v>
      </c>
      <c r="D169" t="s">
        <v>62</v>
      </c>
      <c r="E169" s="10">
        <v>45670.073289992441</v>
      </c>
      <c r="F169" s="12">
        <v>564.94000000000005</v>
      </c>
      <c r="G169">
        <f t="shared" ca="1" si="6"/>
        <v>2.4967191986652324</v>
      </c>
      <c r="H169" t="str">
        <f t="shared" ca="1" si="7"/>
        <v/>
      </c>
      <c r="I169" t="str">
        <f t="shared" si="8"/>
        <v/>
      </c>
    </row>
    <row r="170" spans="1:9" x14ac:dyDescent="0.3">
      <c r="A170" s="10">
        <v>45637.358888011186</v>
      </c>
      <c r="B170" t="s">
        <v>41</v>
      </c>
      <c r="C170" t="s">
        <v>37</v>
      </c>
      <c r="D170" t="s">
        <v>68</v>
      </c>
      <c r="E170" s="10">
        <v>45638.919539630318</v>
      </c>
      <c r="F170" s="12">
        <v>822.71</v>
      </c>
      <c r="G170">
        <f t="shared" ca="1" si="6"/>
        <v>1.560651619132841</v>
      </c>
      <c r="H170" t="str">
        <f t="shared" ca="1" si="7"/>
        <v>Excellent handling</v>
      </c>
      <c r="I170" t="str">
        <f t="shared" si="8"/>
        <v/>
      </c>
    </row>
    <row r="171" spans="1:9" x14ac:dyDescent="0.3">
      <c r="A171" s="10">
        <v>45635.922877991543</v>
      </c>
      <c r="B171" t="s">
        <v>24</v>
      </c>
      <c r="C171" t="s">
        <v>22</v>
      </c>
      <c r="D171" t="s">
        <v>61</v>
      </c>
      <c r="E171" s="10">
        <v>45636.930987220803</v>
      </c>
      <c r="F171" s="12">
        <v>332.84</v>
      </c>
      <c r="G171">
        <f t="shared" ca="1" si="6"/>
        <v>1.0081092292602989</v>
      </c>
      <c r="H171" t="str">
        <f t="shared" ca="1" si="7"/>
        <v>Excellent handling</v>
      </c>
      <c r="I171" t="str">
        <f t="shared" si="8"/>
        <v/>
      </c>
    </row>
    <row r="172" spans="1:9" x14ac:dyDescent="0.3">
      <c r="A172" s="10">
        <v>45673.964909178496</v>
      </c>
      <c r="B172" t="s">
        <v>14</v>
      </c>
      <c r="C172" t="s">
        <v>9</v>
      </c>
      <c r="D172" t="s">
        <v>61</v>
      </c>
      <c r="E172" s="10">
        <v>45676.634171204016</v>
      </c>
      <c r="F172" s="12">
        <v>78.09</v>
      </c>
      <c r="G172">
        <f t="shared" ca="1" si="6"/>
        <v>2.6692620255198563</v>
      </c>
      <c r="H172" t="str">
        <f t="shared" ca="1" si="7"/>
        <v/>
      </c>
      <c r="I172" t="str">
        <f t="shared" si="8"/>
        <v/>
      </c>
    </row>
    <row r="173" spans="1:9" x14ac:dyDescent="0.3">
      <c r="A173" s="10">
        <v>45641.652774163282</v>
      </c>
      <c r="B173" t="s">
        <v>30</v>
      </c>
      <c r="C173" t="s">
        <v>29</v>
      </c>
      <c r="D173" t="s">
        <v>68</v>
      </c>
      <c r="E173" s="10">
        <v>45644.804664296935</v>
      </c>
      <c r="F173" s="12">
        <v>268.52999999999997</v>
      </c>
      <c r="G173">
        <f t="shared" ca="1" si="6"/>
        <v>3.1518901336530689</v>
      </c>
      <c r="H173" t="str">
        <f t="shared" ca="1" si="7"/>
        <v/>
      </c>
      <c r="I173" t="str">
        <f t="shared" si="8"/>
        <v>Weekend sale</v>
      </c>
    </row>
    <row r="174" spans="1:9" x14ac:dyDescent="0.3">
      <c r="A174" s="10">
        <v>45691.594647228114</v>
      </c>
      <c r="B174" t="s">
        <v>31</v>
      </c>
      <c r="C174" t="s">
        <v>29</v>
      </c>
      <c r="D174" t="s">
        <v>61</v>
      </c>
      <c r="E174" s="10">
        <v>45695.757842173334</v>
      </c>
      <c r="F174" s="12">
        <v>700.71</v>
      </c>
      <c r="G174">
        <f t="shared" ca="1" si="6"/>
        <v>4.1631949452203116</v>
      </c>
      <c r="H174" t="str">
        <f t="shared" ca="1" si="7"/>
        <v>Bad handling</v>
      </c>
      <c r="I174" t="str">
        <f t="shared" si="8"/>
        <v/>
      </c>
    </row>
    <row r="175" spans="1:9" x14ac:dyDescent="0.3">
      <c r="A175" s="10">
        <v>45634.272182802255</v>
      </c>
      <c r="B175" t="s">
        <v>54</v>
      </c>
      <c r="C175" t="s">
        <v>52</v>
      </c>
      <c r="D175" t="s">
        <v>66</v>
      </c>
      <c r="E175" s="10">
        <v>45635.71728659435</v>
      </c>
      <c r="F175" s="12">
        <v>401.6</v>
      </c>
      <c r="G175">
        <f t="shared" ca="1" si="6"/>
        <v>1.445103792095324</v>
      </c>
      <c r="H175" t="str">
        <f t="shared" ca="1" si="7"/>
        <v>Excellent handling</v>
      </c>
      <c r="I175" t="str">
        <f t="shared" si="8"/>
        <v>Weekend sale</v>
      </c>
    </row>
    <row r="176" spans="1:9" x14ac:dyDescent="0.3">
      <c r="A176" s="10">
        <v>45641.254362542597</v>
      </c>
      <c r="B176" t="s">
        <v>20</v>
      </c>
      <c r="C176" t="s">
        <v>15</v>
      </c>
      <c r="D176" t="s">
        <v>64</v>
      </c>
      <c r="E176" s="10">
        <v>45643.054836654686</v>
      </c>
      <c r="F176" s="12">
        <v>524.15</v>
      </c>
      <c r="G176">
        <f t="shared" ca="1" si="6"/>
        <v>1.8004741120894323</v>
      </c>
      <c r="H176" t="str">
        <f t="shared" ca="1" si="7"/>
        <v>Excellent handling</v>
      </c>
      <c r="I176" t="str">
        <f t="shared" si="8"/>
        <v>Weekend sale</v>
      </c>
    </row>
    <row r="177" spans="1:9" x14ac:dyDescent="0.3">
      <c r="A177" s="10">
        <v>45642.735149909109</v>
      </c>
      <c r="B177" t="s">
        <v>24</v>
      </c>
      <c r="C177" t="s">
        <v>22</v>
      </c>
      <c r="D177" t="s">
        <v>61</v>
      </c>
      <c r="E177" s="10">
        <v>45648.434422465805</v>
      </c>
      <c r="F177" s="12">
        <v>556.07000000000005</v>
      </c>
      <c r="G177">
        <f t="shared" ca="1" si="6"/>
        <v>5.6992725566960871</v>
      </c>
      <c r="H177" t="str">
        <f t="shared" ca="1" si="7"/>
        <v>Bad handling</v>
      </c>
      <c r="I177" t="str">
        <f t="shared" si="8"/>
        <v/>
      </c>
    </row>
    <row r="178" spans="1:9" x14ac:dyDescent="0.3">
      <c r="A178" s="10">
        <v>45647.863341900265</v>
      </c>
      <c r="B178" t="s">
        <v>12</v>
      </c>
      <c r="C178" t="s">
        <v>9</v>
      </c>
      <c r="D178" t="s">
        <v>62</v>
      </c>
      <c r="E178" s="10" t="s">
        <v>73</v>
      </c>
      <c r="F178" s="12">
        <v>29.98</v>
      </c>
      <c r="G178">
        <f t="shared" ca="1" si="6"/>
        <v>407.13665809973463</v>
      </c>
      <c r="H178" t="str">
        <f t="shared" ca="1" si="7"/>
        <v>Bad handling</v>
      </c>
      <c r="I178" t="str">
        <f t="shared" si="8"/>
        <v>Weekend sale</v>
      </c>
    </row>
    <row r="179" spans="1:9" x14ac:dyDescent="0.3">
      <c r="A179" s="10">
        <v>45686.672060042081</v>
      </c>
      <c r="B179" t="s">
        <v>35</v>
      </c>
      <c r="C179" t="s">
        <v>33</v>
      </c>
      <c r="D179" t="s">
        <v>67</v>
      </c>
      <c r="E179" s="10">
        <v>45689.950120033864</v>
      </c>
      <c r="F179" s="12">
        <v>409.24</v>
      </c>
      <c r="G179">
        <f t="shared" ca="1" si="6"/>
        <v>3.2780599917823565</v>
      </c>
      <c r="H179" t="str">
        <f t="shared" ca="1" si="7"/>
        <v/>
      </c>
      <c r="I179" t="str">
        <f t="shared" si="8"/>
        <v/>
      </c>
    </row>
    <row r="180" spans="1:9" x14ac:dyDescent="0.3">
      <c r="A180" s="10">
        <v>45633.435099669812</v>
      </c>
      <c r="B180" t="s">
        <v>34</v>
      </c>
      <c r="C180" t="s">
        <v>33</v>
      </c>
      <c r="D180" t="s">
        <v>62</v>
      </c>
      <c r="E180" s="10">
        <v>45634.674118869691</v>
      </c>
      <c r="F180" s="12">
        <v>296.83</v>
      </c>
      <c r="G180">
        <f t="shared" ca="1" si="6"/>
        <v>1.2390191998783848</v>
      </c>
      <c r="H180" t="str">
        <f t="shared" ca="1" si="7"/>
        <v>Excellent handling</v>
      </c>
      <c r="I180" t="str">
        <f t="shared" si="8"/>
        <v>Weekend sale</v>
      </c>
    </row>
    <row r="181" spans="1:9" x14ac:dyDescent="0.3">
      <c r="A181" s="10">
        <v>45688.231021942127</v>
      </c>
      <c r="B181" t="s">
        <v>41</v>
      </c>
      <c r="C181" t="s">
        <v>37</v>
      </c>
      <c r="D181" t="s">
        <v>68</v>
      </c>
      <c r="E181" s="10">
        <v>45689.994779511755</v>
      </c>
      <c r="F181" s="12">
        <v>591.58000000000004</v>
      </c>
      <c r="G181">
        <f t="shared" ca="1" si="6"/>
        <v>1.7637575696280692</v>
      </c>
      <c r="H181" t="str">
        <f t="shared" ca="1" si="7"/>
        <v>Excellent handling</v>
      </c>
      <c r="I181" t="str">
        <f t="shared" si="8"/>
        <v/>
      </c>
    </row>
    <row r="182" spans="1:9" x14ac:dyDescent="0.3">
      <c r="A182" s="10">
        <v>45689.188449204928</v>
      </c>
      <c r="B182" t="s">
        <v>55</v>
      </c>
      <c r="C182" t="s">
        <v>52</v>
      </c>
      <c r="D182" t="s">
        <v>67</v>
      </c>
      <c r="E182" s="10">
        <v>45691.822455350928</v>
      </c>
      <c r="F182" s="12">
        <v>142.94</v>
      </c>
      <c r="G182">
        <f t="shared" ca="1" si="6"/>
        <v>2.6340061459995923</v>
      </c>
      <c r="H182" t="str">
        <f t="shared" ca="1" si="7"/>
        <v/>
      </c>
      <c r="I182" t="str">
        <f t="shared" si="8"/>
        <v>Weekend sale</v>
      </c>
    </row>
    <row r="183" spans="1:9" x14ac:dyDescent="0.3">
      <c r="A183" s="10">
        <v>45687.361840074984</v>
      </c>
      <c r="B183" t="s">
        <v>13</v>
      </c>
      <c r="C183" t="s">
        <v>9</v>
      </c>
      <c r="D183" t="s">
        <v>65</v>
      </c>
      <c r="E183" s="10">
        <v>45688.218978258032</v>
      </c>
      <c r="F183" s="12">
        <v>808.68</v>
      </c>
      <c r="G183">
        <f t="shared" ca="1" si="6"/>
        <v>0.85713818304793676</v>
      </c>
      <c r="H183" t="str">
        <f t="shared" ca="1" si="7"/>
        <v>Excellent handling</v>
      </c>
      <c r="I183" t="str">
        <f t="shared" si="8"/>
        <v/>
      </c>
    </row>
    <row r="184" spans="1:9" x14ac:dyDescent="0.3">
      <c r="A184" s="10">
        <v>45649.917930757198</v>
      </c>
      <c r="B184" t="s">
        <v>19</v>
      </c>
      <c r="C184" t="s">
        <v>15</v>
      </c>
      <c r="D184" t="s">
        <v>63</v>
      </c>
      <c r="E184" s="10">
        <v>45652.447281668858</v>
      </c>
      <c r="F184" s="12">
        <v>599.42999999999995</v>
      </c>
      <c r="G184">
        <f t="shared" ca="1" si="6"/>
        <v>2.5293509116600035</v>
      </c>
      <c r="H184" t="str">
        <f t="shared" ca="1" si="7"/>
        <v/>
      </c>
      <c r="I184" t="str">
        <f t="shared" si="8"/>
        <v/>
      </c>
    </row>
    <row r="185" spans="1:9" x14ac:dyDescent="0.3">
      <c r="A185" s="10">
        <v>45641.472735342046</v>
      </c>
      <c r="B185" t="s">
        <v>32</v>
      </c>
      <c r="C185" t="s">
        <v>29</v>
      </c>
      <c r="D185" t="s">
        <v>68</v>
      </c>
      <c r="E185" s="10" t="s">
        <v>74</v>
      </c>
      <c r="F185" s="12">
        <v>232.3</v>
      </c>
      <c r="G185">
        <f t="shared" ca="1" si="6"/>
        <v>413.52726465795422</v>
      </c>
      <c r="H185" t="str">
        <f t="shared" ca="1" si="7"/>
        <v>Bad handling</v>
      </c>
      <c r="I185" t="str">
        <f t="shared" si="8"/>
        <v>Weekend sale</v>
      </c>
    </row>
    <row r="186" spans="1:9" x14ac:dyDescent="0.3">
      <c r="A186" s="10">
        <v>45662.484121700785</v>
      </c>
      <c r="B186" t="s">
        <v>26</v>
      </c>
      <c r="C186" t="s">
        <v>22</v>
      </c>
      <c r="D186" t="s">
        <v>65</v>
      </c>
      <c r="E186" s="10">
        <v>45663.138987102946</v>
      </c>
      <c r="F186" s="12">
        <v>177.64</v>
      </c>
      <c r="G186">
        <f t="shared" ca="1" si="6"/>
        <v>0.65486540216079447</v>
      </c>
      <c r="H186" t="str">
        <f t="shared" ca="1" si="7"/>
        <v>Excellent handling</v>
      </c>
      <c r="I186" t="str">
        <f t="shared" si="8"/>
        <v>Weekend sale</v>
      </c>
    </row>
    <row r="187" spans="1:9" x14ac:dyDescent="0.3">
      <c r="A187" s="10">
        <v>45638.122429015144</v>
      </c>
      <c r="B187" t="s">
        <v>32</v>
      </c>
      <c r="C187" t="s">
        <v>29</v>
      </c>
      <c r="D187" t="s">
        <v>68</v>
      </c>
      <c r="E187" s="10">
        <v>45639.365885651911</v>
      </c>
      <c r="F187" s="12">
        <v>842.47</v>
      </c>
      <c r="G187">
        <f t="shared" ca="1" si="6"/>
        <v>1.2434566367664956</v>
      </c>
      <c r="H187" t="str">
        <f t="shared" ca="1" si="7"/>
        <v>Excellent handling</v>
      </c>
      <c r="I187" t="str">
        <f t="shared" si="8"/>
        <v/>
      </c>
    </row>
    <row r="188" spans="1:9" x14ac:dyDescent="0.3">
      <c r="A188" s="10">
        <v>45643.183665772623</v>
      </c>
      <c r="B188" t="s">
        <v>50</v>
      </c>
      <c r="C188" t="s">
        <v>48</v>
      </c>
      <c r="D188" t="s">
        <v>64</v>
      </c>
      <c r="E188" s="10">
        <v>45646.32221910185</v>
      </c>
      <c r="F188" s="12">
        <v>793.33</v>
      </c>
      <c r="G188">
        <f t="shared" ca="1" si="6"/>
        <v>3.1385533292268519</v>
      </c>
      <c r="H188" t="str">
        <f t="shared" ca="1" si="7"/>
        <v/>
      </c>
      <c r="I188" t="str">
        <f t="shared" si="8"/>
        <v/>
      </c>
    </row>
    <row r="189" spans="1:9" x14ac:dyDescent="0.3">
      <c r="A189" s="10">
        <v>45648.553700582699</v>
      </c>
      <c r="B189" t="s">
        <v>44</v>
      </c>
      <c r="C189" t="s">
        <v>42</v>
      </c>
      <c r="D189" t="s">
        <v>67</v>
      </c>
      <c r="E189" s="10">
        <v>45651.53123833135</v>
      </c>
      <c r="F189" s="12">
        <v>695.75</v>
      </c>
      <c r="G189">
        <f t="shared" ca="1" si="6"/>
        <v>2.9775377486512298</v>
      </c>
      <c r="H189" t="str">
        <f t="shared" ca="1" si="7"/>
        <v/>
      </c>
      <c r="I189" t="str">
        <f t="shared" si="8"/>
        <v>Weekend sale</v>
      </c>
    </row>
    <row r="190" spans="1:9" x14ac:dyDescent="0.3">
      <c r="A190" s="10">
        <v>45651.000341910178</v>
      </c>
      <c r="B190" t="s">
        <v>24</v>
      </c>
      <c r="C190" t="s">
        <v>22</v>
      </c>
      <c r="D190" t="s">
        <v>61</v>
      </c>
      <c r="E190" s="10">
        <v>45656.8311197894</v>
      </c>
      <c r="F190" s="12">
        <v>280.19</v>
      </c>
      <c r="G190">
        <f t="shared" ca="1" si="6"/>
        <v>5.8307778792222962</v>
      </c>
      <c r="H190" t="str">
        <f t="shared" ca="1" si="7"/>
        <v>Bad handling</v>
      </c>
      <c r="I190" t="str">
        <f t="shared" si="8"/>
        <v/>
      </c>
    </row>
    <row r="191" spans="1:9" x14ac:dyDescent="0.3">
      <c r="A191" s="10">
        <v>45677.565622793998</v>
      </c>
      <c r="B191" t="s">
        <v>50</v>
      </c>
      <c r="C191" t="s">
        <v>48</v>
      </c>
      <c r="D191" t="s">
        <v>64</v>
      </c>
      <c r="E191" s="10" t="s">
        <v>72</v>
      </c>
      <c r="F191" s="12">
        <v>173.07</v>
      </c>
      <c r="G191">
        <f t="shared" ca="1" si="6"/>
        <v>377.43437720600195</v>
      </c>
      <c r="H191" t="str">
        <f t="shared" ca="1" si="7"/>
        <v>Bad handling</v>
      </c>
      <c r="I191" t="str">
        <f t="shared" si="8"/>
        <v/>
      </c>
    </row>
    <row r="192" spans="1:9" x14ac:dyDescent="0.3">
      <c r="A192" s="10">
        <v>45668.822539175148</v>
      </c>
      <c r="B192" t="s">
        <v>36</v>
      </c>
      <c r="C192" t="s">
        <v>33</v>
      </c>
      <c r="D192" t="s">
        <v>68</v>
      </c>
      <c r="E192" s="10">
        <v>45670.439632939626</v>
      </c>
      <c r="F192" s="12">
        <v>806.02</v>
      </c>
      <c r="G192">
        <f t="shared" ca="1" si="6"/>
        <v>1.6170937644783407</v>
      </c>
      <c r="H192" t="str">
        <f t="shared" ca="1" si="7"/>
        <v>Excellent handling</v>
      </c>
      <c r="I192" t="str">
        <f t="shared" si="8"/>
        <v>Weekend sale</v>
      </c>
    </row>
    <row r="193" spans="1:9" x14ac:dyDescent="0.3">
      <c r="A193" s="10">
        <v>45632.58632481825</v>
      </c>
      <c r="B193" t="s">
        <v>28</v>
      </c>
      <c r="C193" t="s">
        <v>22</v>
      </c>
      <c r="D193" t="s">
        <v>67</v>
      </c>
      <c r="E193" s="10">
        <v>45633.780519683911</v>
      </c>
      <c r="F193" s="12">
        <v>292.14999999999998</v>
      </c>
      <c r="G193">
        <f t="shared" ca="1" si="6"/>
        <v>1.1941948656603927</v>
      </c>
      <c r="H193" t="str">
        <f t="shared" ca="1" si="7"/>
        <v>Excellent handling</v>
      </c>
      <c r="I193" t="str">
        <f t="shared" si="8"/>
        <v/>
      </c>
    </row>
    <row r="194" spans="1:9" x14ac:dyDescent="0.3">
      <c r="A194" s="10">
        <v>45644.999376179738</v>
      </c>
      <c r="B194" t="s">
        <v>31</v>
      </c>
      <c r="C194" t="s">
        <v>29</v>
      </c>
      <c r="D194" t="s">
        <v>61</v>
      </c>
      <c r="E194" s="10">
        <v>45645.503870214372</v>
      </c>
      <c r="F194" s="12">
        <v>453.52</v>
      </c>
      <c r="G194">
        <f t="shared" ref="G194:G257" ca="1" si="9">IF(ISTEXT(E194),TODAY(),E194)-A194</f>
        <v>0.50449403463426279</v>
      </c>
      <c r="H194" t="str">
        <f t="shared" ca="1" si="7"/>
        <v>Excellent handling</v>
      </c>
      <c r="I194" t="str">
        <f t="shared" si="8"/>
        <v/>
      </c>
    </row>
    <row r="195" spans="1:9" x14ac:dyDescent="0.3">
      <c r="A195" s="10">
        <v>45641.820693074878</v>
      </c>
      <c r="B195" t="s">
        <v>46</v>
      </c>
      <c r="C195" t="s">
        <v>45</v>
      </c>
      <c r="D195" t="s">
        <v>64</v>
      </c>
      <c r="E195" s="10">
        <v>45644.364366413647</v>
      </c>
      <c r="F195" s="12">
        <v>630.54999999999995</v>
      </c>
      <c r="G195">
        <f t="shared" ca="1" si="9"/>
        <v>2.5436733387687127</v>
      </c>
      <c r="H195" t="str">
        <f t="shared" ref="H195:H258" ca="1" si="10">IF(G195*24&lt;=48,"Excellent handling",IF(G195*24&gt;=96,"Bad handling",""))</f>
        <v/>
      </c>
      <c r="I195" t="str">
        <f t="shared" ref="I195:I258" si="11">IF(OR(WEEKDAY(A195)=1,WEEKDAY(A195)=7),"Weekend sale","")</f>
        <v>Weekend sale</v>
      </c>
    </row>
    <row r="196" spans="1:9" x14ac:dyDescent="0.3">
      <c r="A196" s="10">
        <v>45677.8572847041</v>
      </c>
      <c r="B196" t="s">
        <v>13</v>
      </c>
      <c r="C196" t="s">
        <v>9</v>
      </c>
      <c r="D196" t="s">
        <v>65</v>
      </c>
      <c r="E196" s="10">
        <v>45680.371538382526</v>
      </c>
      <c r="F196" s="12">
        <v>496.22</v>
      </c>
      <c r="G196">
        <f t="shared" ca="1" si="9"/>
        <v>2.5142536784260301</v>
      </c>
      <c r="H196" t="str">
        <f t="shared" ca="1" si="10"/>
        <v/>
      </c>
      <c r="I196" t="str">
        <f t="shared" si="11"/>
        <v/>
      </c>
    </row>
    <row r="197" spans="1:9" x14ac:dyDescent="0.3">
      <c r="A197" s="10">
        <v>45638.026708679048</v>
      </c>
      <c r="B197" t="s">
        <v>10</v>
      </c>
      <c r="C197" t="s">
        <v>9</v>
      </c>
      <c r="D197" t="s">
        <v>61</v>
      </c>
      <c r="E197" s="10">
        <v>45639.510811275417</v>
      </c>
      <c r="F197" s="12">
        <v>159.03</v>
      </c>
      <c r="G197">
        <f t="shared" ca="1" si="9"/>
        <v>1.4841025963687571</v>
      </c>
      <c r="H197" t="str">
        <f t="shared" ca="1" si="10"/>
        <v>Excellent handling</v>
      </c>
      <c r="I197" t="str">
        <f t="shared" si="11"/>
        <v/>
      </c>
    </row>
    <row r="198" spans="1:9" x14ac:dyDescent="0.3">
      <c r="A198" s="10">
        <v>45650.287250950212</v>
      </c>
      <c r="B198" t="s">
        <v>51</v>
      </c>
      <c r="C198" t="s">
        <v>48</v>
      </c>
      <c r="D198" t="s">
        <v>69</v>
      </c>
      <c r="E198" s="10">
        <v>45652.272243322761</v>
      </c>
      <c r="F198" s="12">
        <v>500.31</v>
      </c>
      <c r="G198">
        <f t="shared" ca="1" si="9"/>
        <v>1.9849923725487315</v>
      </c>
      <c r="H198" t="str">
        <f t="shared" ca="1" si="10"/>
        <v>Excellent handling</v>
      </c>
      <c r="I198" t="str">
        <f t="shared" si="11"/>
        <v/>
      </c>
    </row>
    <row r="199" spans="1:9" x14ac:dyDescent="0.3">
      <c r="A199" s="10">
        <v>45634.453043230213</v>
      </c>
      <c r="B199" t="s">
        <v>24</v>
      </c>
      <c r="C199" t="s">
        <v>22</v>
      </c>
      <c r="D199" t="s">
        <v>61</v>
      </c>
      <c r="E199" s="10">
        <v>45635.28039016774</v>
      </c>
      <c r="F199" s="12">
        <v>526.54999999999995</v>
      </c>
      <c r="G199">
        <f t="shared" ca="1" si="9"/>
        <v>0.82734693752718158</v>
      </c>
      <c r="H199" t="str">
        <f t="shared" ca="1" si="10"/>
        <v>Excellent handling</v>
      </c>
      <c r="I199" t="str">
        <f t="shared" si="11"/>
        <v>Weekend sale</v>
      </c>
    </row>
    <row r="200" spans="1:9" x14ac:dyDescent="0.3">
      <c r="A200" s="10">
        <v>45690.861655876826</v>
      </c>
      <c r="B200" t="s">
        <v>12</v>
      </c>
      <c r="C200" t="s">
        <v>9</v>
      </c>
      <c r="D200" t="s">
        <v>62</v>
      </c>
      <c r="E200" s="10">
        <v>45693.353222100064</v>
      </c>
      <c r="F200" s="12">
        <v>65.02</v>
      </c>
      <c r="G200">
        <f t="shared" ca="1" si="9"/>
        <v>2.4915662232378963</v>
      </c>
      <c r="H200" t="str">
        <f t="shared" ca="1" si="10"/>
        <v/>
      </c>
      <c r="I200" t="str">
        <f t="shared" si="11"/>
        <v>Weekend sale</v>
      </c>
    </row>
    <row r="201" spans="1:9" x14ac:dyDescent="0.3">
      <c r="A201" s="10">
        <v>45690.146694954783</v>
      </c>
      <c r="B201" t="s">
        <v>12</v>
      </c>
      <c r="C201" t="s">
        <v>9</v>
      </c>
      <c r="D201" t="s">
        <v>62</v>
      </c>
      <c r="E201" s="10">
        <v>45692.195297023485</v>
      </c>
      <c r="F201" s="12">
        <v>662.91</v>
      </c>
      <c r="G201">
        <f t="shared" ca="1" si="9"/>
        <v>2.0486020687021664</v>
      </c>
      <c r="H201" t="str">
        <f t="shared" ca="1" si="10"/>
        <v/>
      </c>
      <c r="I201" t="str">
        <f t="shared" si="11"/>
        <v>Weekend sale</v>
      </c>
    </row>
    <row r="202" spans="1:9" x14ac:dyDescent="0.3">
      <c r="A202" s="10">
        <v>45680.344342302888</v>
      </c>
      <c r="B202" t="s">
        <v>51</v>
      </c>
      <c r="C202" t="s">
        <v>48</v>
      </c>
      <c r="D202" t="s">
        <v>69</v>
      </c>
      <c r="E202" s="10">
        <v>45681.216478008188</v>
      </c>
      <c r="F202" s="12">
        <v>197.18</v>
      </c>
      <c r="G202">
        <f t="shared" ca="1" si="9"/>
        <v>0.87213570530002471</v>
      </c>
      <c r="H202" t="str">
        <f t="shared" ca="1" si="10"/>
        <v>Excellent handling</v>
      </c>
      <c r="I202" t="str">
        <f t="shared" si="11"/>
        <v/>
      </c>
    </row>
    <row r="203" spans="1:9" x14ac:dyDescent="0.3">
      <c r="A203" s="10">
        <v>45687.546162824001</v>
      </c>
      <c r="B203" t="s">
        <v>14</v>
      </c>
      <c r="C203" t="s">
        <v>9</v>
      </c>
      <c r="D203" t="s">
        <v>61</v>
      </c>
      <c r="E203" s="10">
        <v>45688.069733493248</v>
      </c>
      <c r="F203" s="12">
        <v>539.16999999999996</v>
      </c>
      <c r="G203">
        <f t="shared" ca="1" si="9"/>
        <v>0.52357066924741957</v>
      </c>
      <c r="H203" t="str">
        <f t="shared" ca="1" si="10"/>
        <v>Excellent handling</v>
      </c>
      <c r="I203" t="str">
        <f t="shared" si="11"/>
        <v/>
      </c>
    </row>
    <row r="204" spans="1:9" x14ac:dyDescent="0.3">
      <c r="A204" s="10">
        <v>45691.697420507655</v>
      </c>
      <c r="B204" t="s">
        <v>46</v>
      </c>
      <c r="C204" t="s">
        <v>45</v>
      </c>
      <c r="D204" t="s">
        <v>64</v>
      </c>
      <c r="E204" s="10">
        <v>45694.640414281945</v>
      </c>
      <c r="F204" s="12">
        <v>160.66</v>
      </c>
      <c r="G204">
        <f t="shared" ca="1" si="9"/>
        <v>2.9429937742897891</v>
      </c>
      <c r="H204" t="str">
        <f t="shared" ca="1" si="10"/>
        <v/>
      </c>
      <c r="I204" t="str">
        <f t="shared" si="11"/>
        <v/>
      </c>
    </row>
    <row r="205" spans="1:9" x14ac:dyDescent="0.3">
      <c r="A205" s="10">
        <v>45628.255212665397</v>
      </c>
      <c r="B205" t="s">
        <v>26</v>
      </c>
      <c r="C205" t="s">
        <v>22</v>
      </c>
      <c r="D205" t="s">
        <v>65</v>
      </c>
      <c r="E205" s="10">
        <v>45631.079567027627</v>
      </c>
      <c r="F205" s="12">
        <v>674.47</v>
      </c>
      <c r="G205">
        <f t="shared" ca="1" si="9"/>
        <v>2.8243543622302241</v>
      </c>
      <c r="H205" t="str">
        <f t="shared" ca="1" si="10"/>
        <v/>
      </c>
      <c r="I205" t="str">
        <f t="shared" si="11"/>
        <v/>
      </c>
    </row>
    <row r="206" spans="1:9" x14ac:dyDescent="0.3">
      <c r="A206" s="10">
        <v>45674.727907568638</v>
      </c>
      <c r="B206" t="s">
        <v>16</v>
      </c>
      <c r="C206" t="s">
        <v>15</v>
      </c>
      <c r="D206" t="s">
        <v>61</v>
      </c>
      <c r="E206" s="10">
        <v>45677.531244082136</v>
      </c>
      <c r="F206" s="12">
        <v>714.57</v>
      </c>
      <c r="G206">
        <f t="shared" ca="1" si="9"/>
        <v>2.8033365134979249</v>
      </c>
      <c r="H206" t="str">
        <f t="shared" ca="1" si="10"/>
        <v/>
      </c>
      <c r="I206" t="str">
        <f t="shared" si="11"/>
        <v/>
      </c>
    </row>
    <row r="207" spans="1:9" x14ac:dyDescent="0.3">
      <c r="A207" s="10">
        <v>45683.340175204721</v>
      </c>
      <c r="B207" t="s">
        <v>34</v>
      </c>
      <c r="C207" t="s">
        <v>33</v>
      </c>
      <c r="D207" t="s">
        <v>62</v>
      </c>
      <c r="E207" s="10">
        <v>45684.70717527558</v>
      </c>
      <c r="F207" s="12">
        <v>460.58</v>
      </c>
      <c r="G207">
        <f t="shared" ca="1" si="9"/>
        <v>1.3670000708589214</v>
      </c>
      <c r="H207" t="str">
        <f t="shared" ca="1" si="10"/>
        <v>Excellent handling</v>
      </c>
      <c r="I207" t="str">
        <f t="shared" si="11"/>
        <v>Weekend sale</v>
      </c>
    </row>
    <row r="208" spans="1:9" x14ac:dyDescent="0.3">
      <c r="A208" s="10">
        <v>45662.835387361774</v>
      </c>
      <c r="B208" t="s">
        <v>10</v>
      </c>
      <c r="C208" t="s">
        <v>9</v>
      </c>
      <c r="D208" t="s">
        <v>61</v>
      </c>
      <c r="E208" s="10">
        <v>45667.447477312315</v>
      </c>
      <c r="F208" s="12">
        <v>230.65</v>
      </c>
      <c r="G208">
        <f t="shared" ca="1" si="9"/>
        <v>4.6120899505403941</v>
      </c>
      <c r="H208" t="str">
        <f t="shared" ca="1" si="10"/>
        <v>Bad handling</v>
      </c>
      <c r="I208" t="str">
        <f t="shared" si="11"/>
        <v>Weekend sale</v>
      </c>
    </row>
    <row r="209" spans="1:9" x14ac:dyDescent="0.3">
      <c r="A209" s="10">
        <v>45685.644153126843</v>
      </c>
      <c r="B209" t="s">
        <v>20</v>
      </c>
      <c r="C209" t="s">
        <v>15</v>
      </c>
      <c r="D209" t="s">
        <v>64</v>
      </c>
      <c r="E209" s="10">
        <v>45686.770685318828</v>
      </c>
      <c r="F209" s="12">
        <v>732.37</v>
      </c>
      <c r="G209">
        <f t="shared" ca="1" si="9"/>
        <v>1.1265321919854614</v>
      </c>
      <c r="H209" t="str">
        <f t="shared" ca="1" si="10"/>
        <v>Excellent handling</v>
      </c>
      <c r="I209" t="str">
        <f t="shared" si="11"/>
        <v/>
      </c>
    </row>
    <row r="210" spans="1:9" x14ac:dyDescent="0.3">
      <c r="A210" s="10">
        <v>45637.725069449029</v>
      </c>
      <c r="B210" t="s">
        <v>32</v>
      </c>
      <c r="C210" t="s">
        <v>29</v>
      </c>
      <c r="D210" t="s">
        <v>68</v>
      </c>
      <c r="E210" s="10">
        <v>45640.429016645387</v>
      </c>
      <c r="F210" s="12">
        <v>132.30000000000001</v>
      </c>
      <c r="G210">
        <f t="shared" ca="1" si="9"/>
        <v>2.7039471963580581</v>
      </c>
      <c r="H210" t="str">
        <f t="shared" ca="1" si="10"/>
        <v/>
      </c>
      <c r="I210" t="str">
        <f t="shared" si="11"/>
        <v/>
      </c>
    </row>
    <row r="211" spans="1:9" x14ac:dyDescent="0.3">
      <c r="A211" s="10">
        <v>45689.098216765429</v>
      </c>
      <c r="B211" t="s">
        <v>38</v>
      </c>
      <c r="C211" t="s">
        <v>37</v>
      </c>
      <c r="D211" t="s">
        <v>63</v>
      </c>
      <c r="E211" s="10">
        <v>45691.339272753619</v>
      </c>
      <c r="F211" s="12">
        <v>290.07</v>
      </c>
      <c r="G211">
        <f t="shared" ca="1" si="9"/>
        <v>2.2410559881900554</v>
      </c>
      <c r="H211" t="str">
        <f t="shared" ca="1" si="10"/>
        <v/>
      </c>
      <c r="I211" t="str">
        <f t="shared" si="11"/>
        <v>Weekend sale</v>
      </c>
    </row>
    <row r="212" spans="1:9" x14ac:dyDescent="0.3">
      <c r="A212" s="10">
        <v>45669.255716241118</v>
      </c>
      <c r="B212" t="s">
        <v>24</v>
      </c>
      <c r="C212" t="s">
        <v>22</v>
      </c>
      <c r="D212" t="s">
        <v>61</v>
      </c>
      <c r="E212" s="10">
        <v>45669.701249312966</v>
      </c>
      <c r="F212" s="12">
        <v>785.91</v>
      </c>
      <c r="G212">
        <f t="shared" ca="1" si="9"/>
        <v>0.44553307184833102</v>
      </c>
      <c r="H212" t="str">
        <f t="shared" ca="1" si="10"/>
        <v>Excellent handling</v>
      </c>
      <c r="I212" t="str">
        <f t="shared" si="11"/>
        <v>Weekend sale</v>
      </c>
    </row>
    <row r="213" spans="1:9" x14ac:dyDescent="0.3">
      <c r="A213" s="10">
        <v>45695.618079638341</v>
      </c>
      <c r="B213" t="s">
        <v>53</v>
      </c>
      <c r="C213" t="s">
        <v>52</v>
      </c>
      <c r="D213" t="s">
        <v>66</v>
      </c>
      <c r="E213" s="10">
        <v>45699.81853697764</v>
      </c>
      <c r="F213" s="12">
        <v>211.84</v>
      </c>
      <c r="G213">
        <f t="shared" ca="1" si="9"/>
        <v>4.2004573392987368</v>
      </c>
      <c r="H213" t="str">
        <f t="shared" ca="1" si="10"/>
        <v>Bad handling</v>
      </c>
      <c r="I213" t="str">
        <f t="shared" si="11"/>
        <v/>
      </c>
    </row>
    <row r="214" spans="1:9" x14ac:dyDescent="0.3">
      <c r="A214" s="10">
        <v>45693.352952028887</v>
      </c>
      <c r="B214" t="s">
        <v>44</v>
      </c>
      <c r="C214" t="s">
        <v>42</v>
      </c>
      <c r="D214" t="s">
        <v>67</v>
      </c>
      <c r="E214" s="10">
        <v>45694.668415172076</v>
      </c>
      <c r="F214" s="12">
        <v>614.41999999999996</v>
      </c>
      <c r="G214">
        <f t="shared" ca="1" si="9"/>
        <v>1.3154631431898451</v>
      </c>
      <c r="H214" t="str">
        <f t="shared" ca="1" si="10"/>
        <v>Excellent handling</v>
      </c>
      <c r="I214" t="str">
        <f t="shared" si="11"/>
        <v/>
      </c>
    </row>
    <row r="215" spans="1:9" x14ac:dyDescent="0.3">
      <c r="A215" s="10">
        <v>45689.427443364089</v>
      </c>
      <c r="B215" t="s">
        <v>31</v>
      </c>
      <c r="C215" t="s">
        <v>29</v>
      </c>
      <c r="D215" t="s">
        <v>61</v>
      </c>
      <c r="E215" s="10">
        <v>45691.760995145822</v>
      </c>
      <c r="F215" s="12">
        <v>518.21</v>
      </c>
      <c r="G215">
        <f t="shared" ca="1" si="9"/>
        <v>2.3335517817322398</v>
      </c>
      <c r="H215" t="str">
        <f t="shared" ca="1" si="10"/>
        <v/>
      </c>
      <c r="I215" t="str">
        <f t="shared" si="11"/>
        <v>Weekend sale</v>
      </c>
    </row>
    <row r="216" spans="1:9" x14ac:dyDescent="0.3">
      <c r="A216" s="10">
        <v>45641.952333935384</v>
      </c>
      <c r="B216" t="s">
        <v>24</v>
      </c>
      <c r="C216" t="s">
        <v>22</v>
      </c>
      <c r="D216" t="s">
        <v>61</v>
      </c>
      <c r="E216" s="10">
        <v>45644.898350344287</v>
      </c>
      <c r="F216" s="12">
        <v>31.29</v>
      </c>
      <c r="G216">
        <f t="shared" ca="1" si="9"/>
        <v>2.9460164089032332</v>
      </c>
      <c r="H216" t="str">
        <f t="shared" ca="1" si="10"/>
        <v/>
      </c>
      <c r="I216" t="str">
        <f t="shared" si="11"/>
        <v>Weekend sale</v>
      </c>
    </row>
    <row r="217" spans="1:9" x14ac:dyDescent="0.3">
      <c r="A217" s="10">
        <v>45676.171025566953</v>
      </c>
      <c r="B217" t="s">
        <v>23</v>
      </c>
      <c r="C217" t="s">
        <v>22</v>
      </c>
      <c r="D217" t="s">
        <v>67</v>
      </c>
      <c r="E217" s="10" t="s">
        <v>72</v>
      </c>
      <c r="F217" s="12">
        <v>477</v>
      </c>
      <c r="G217">
        <f t="shared" ca="1" si="9"/>
        <v>378.82897443304682</v>
      </c>
      <c r="H217" t="str">
        <f t="shared" ca="1" si="10"/>
        <v>Bad handling</v>
      </c>
      <c r="I217" t="str">
        <f t="shared" si="11"/>
        <v>Weekend sale</v>
      </c>
    </row>
    <row r="218" spans="1:9" x14ac:dyDescent="0.3">
      <c r="A218" s="10">
        <v>45627.636077108407</v>
      </c>
      <c r="B218" t="s">
        <v>18</v>
      </c>
      <c r="C218" t="s">
        <v>15</v>
      </c>
      <c r="D218" t="s">
        <v>64</v>
      </c>
      <c r="E218" s="10">
        <v>45632.948670855323</v>
      </c>
      <c r="F218" s="12">
        <v>309.66000000000003</v>
      </c>
      <c r="G218">
        <f t="shared" ca="1" si="9"/>
        <v>5.3125937469158089</v>
      </c>
      <c r="H218" t="str">
        <f t="shared" ca="1" si="10"/>
        <v>Bad handling</v>
      </c>
      <c r="I218" t="str">
        <f t="shared" si="11"/>
        <v>Weekend sale</v>
      </c>
    </row>
    <row r="219" spans="1:9" x14ac:dyDescent="0.3">
      <c r="A219" s="10">
        <v>45650.820417923547</v>
      </c>
      <c r="B219" t="s">
        <v>16</v>
      </c>
      <c r="C219" t="s">
        <v>15</v>
      </c>
      <c r="D219" t="s">
        <v>61</v>
      </c>
      <c r="E219" s="10" t="s">
        <v>74</v>
      </c>
      <c r="F219" s="12">
        <v>114.13</v>
      </c>
      <c r="G219">
        <f t="shared" ca="1" si="9"/>
        <v>404.17958207645279</v>
      </c>
      <c r="H219" t="str">
        <f t="shared" ca="1" si="10"/>
        <v>Bad handling</v>
      </c>
      <c r="I219" t="str">
        <f t="shared" si="11"/>
        <v/>
      </c>
    </row>
    <row r="220" spans="1:9" x14ac:dyDescent="0.3">
      <c r="A220" s="10">
        <v>45657.049087709514</v>
      </c>
      <c r="B220" t="s">
        <v>21</v>
      </c>
      <c r="C220" t="s">
        <v>15</v>
      </c>
      <c r="D220" t="s">
        <v>61</v>
      </c>
      <c r="E220" s="10">
        <v>45658.575564785409</v>
      </c>
      <c r="F220" s="12">
        <v>502.77</v>
      </c>
      <c r="G220">
        <f t="shared" ca="1" si="9"/>
        <v>1.5264770758949453</v>
      </c>
      <c r="H220" t="str">
        <f t="shared" ca="1" si="10"/>
        <v>Excellent handling</v>
      </c>
      <c r="I220" t="str">
        <f t="shared" si="11"/>
        <v/>
      </c>
    </row>
    <row r="221" spans="1:9" x14ac:dyDescent="0.3">
      <c r="A221" s="10">
        <v>45644.310180983251</v>
      </c>
      <c r="B221" t="s">
        <v>53</v>
      </c>
      <c r="C221" t="s">
        <v>52</v>
      </c>
      <c r="D221" t="s">
        <v>66</v>
      </c>
      <c r="E221" s="10">
        <v>45649.816158206129</v>
      </c>
      <c r="F221" s="12">
        <v>274.77</v>
      </c>
      <c r="G221">
        <f t="shared" ca="1" si="9"/>
        <v>5.5059772228778456</v>
      </c>
      <c r="H221" t="str">
        <f t="shared" ca="1" si="10"/>
        <v>Bad handling</v>
      </c>
      <c r="I221" t="str">
        <f t="shared" si="11"/>
        <v/>
      </c>
    </row>
    <row r="222" spans="1:9" x14ac:dyDescent="0.3">
      <c r="A222" s="10">
        <v>45629.638399225878</v>
      </c>
      <c r="B222" t="s">
        <v>35</v>
      </c>
      <c r="C222" t="s">
        <v>33</v>
      </c>
      <c r="D222" t="s">
        <v>67</v>
      </c>
      <c r="E222" s="10">
        <v>45633.586341284587</v>
      </c>
      <c r="F222" s="12">
        <v>55.74</v>
      </c>
      <c r="G222">
        <f t="shared" ca="1" si="9"/>
        <v>3.947942058708577</v>
      </c>
      <c r="H222" t="str">
        <f t="shared" ca="1" si="10"/>
        <v/>
      </c>
      <c r="I222" t="str">
        <f t="shared" si="11"/>
        <v/>
      </c>
    </row>
    <row r="223" spans="1:9" x14ac:dyDescent="0.3">
      <c r="A223" s="10">
        <v>45638.961329563877</v>
      </c>
      <c r="B223" t="s">
        <v>12</v>
      </c>
      <c r="C223" t="s">
        <v>9</v>
      </c>
      <c r="D223" t="s">
        <v>62</v>
      </c>
      <c r="E223" s="10">
        <v>45640.901341824916</v>
      </c>
      <c r="F223" s="12">
        <v>664.89</v>
      </c>
      <c r="G223">
        <f t="shared" ca="1" si="9"/>
        <v>1.9400122610386461</v>
      </c>
      <c r="H223" t="str">
        <f t="shared" ca="1" si="10"/>
        <v>Excellent handling</v>
      </c>
      <c r="I223" t="str">
        <f t="shared" si="11"/>
        <v/>
      </c>
    </row>
    <row r="224" spans="1:9" x14ac:dyDescent="0.3">
      <c r="A224" s="10">
        <v>45662.314090888576</v>
      </c>
      <c r="B224" t="s">
        <v>54</v>
      </c>
      <c r="C224" t="s">
        <v>52</v>
      </c>
      <c r="D224" t="s">
        <v>66</v>
      </c>
      <c r="E224" s="10">
        <v>45665.441580875216</v>
      </c>
      <c r="F224" s="12">
        <v>469.95</v>
      </c>
      <c r="G224">
        <f t="shared" ca="1" si="9"/>
        <v>3.1274899866402848</v>
      </c>
      <c r="H224" t="str">
        <f t="shared" ca="1" si="10"/>
        <v/>
      </c>
      <c r="I224" t="str">
        <f t="shared" si="11"/>
        <v>Weekend sale</v>
      </c>
    </row>
    <row r="225" spans="1:9" x14ac:dyDescent="0.3">
      <c r="A225" s="10">
        <v>45679.504139462639</v>
      </c>
      <c r="B225" t="s">
        <v>36</v>
      </c>
      <c r="C225" t="s">
        <v>33</v>
      </c>
      <c r="D225" t="s">
        <v>68</v>
      </c>
      <c r="E225" s="10">
        <v>45681.980497269877</v>
      </c>
      <c r="F225" s="12">
        <v>782.37</v>
      </c>
      <c r="G225">
        <f t="shared" ca="1" si="9"/>
        <v>2.476357807237946</v>
      </c>
      <c r="H225" t="str">
        <f t="shared" ca="1" si="10"/>
        <v/>
      </c>
      <c r="I225" t="str">
        <f t="shared" si="11"/>
        <v/>
      </c>
    </row>
    <row r="226" spans="1:9" x14ac:dyDescent="0.3">
      <c r="A226" s="10">
        <v>45680.124511832881</v>
      </c>
      <c r="B226" t="s">
        <v>26</v>
      </c>
      <c r="C226" t="s">
        <v>22</v>
      </c>
      <c r="D226" t="s">
        <v>65</v>
      </c>
      <c r="E226" s="10">
        <v>45682.553374180439</v>
      </c>
      <c r="F226" s="12">
        <v>356.95</v>
      </c>
      <c r="G226">
        <f t="shared" ca="1" si="9"/>
        <v>2.4288623475586064</v>
      </c>
      <c r="H226" t="str">
        <f t="shared" ca="1" si="10"/>
        <v/>
      </c>
      <c r="I226" t="str">
        <f t="shared" si="11"/>
        <v/>
      </c>
    </row>
    <row r="227" spans="1:9" x14ac:dyDescent="0.3">
      <c r="A227" s="10">
        <v>45637.285625117751</v>
      </c>
      <c r="B227" t="s">
        <v>36</v>
      </c>
      <c r="C227" t="s">
        <v>33</v>
      </c>
      <c r="D227" t="s">
        <v>68</v>
      </c>
      <c r="E227" s="10">
        <v>45642.339930293878</v>
      </c>
      <c r="F227" s="12">
        <v>552.48</v>
      </c>
      <c r="G227">
        <f t="shared" ca="1" si="9"/>
        <v>5.0543051761269453</v>
      </c>
      <c r="H227" t="str">
        <f t="shared" ca="1" si="10"/>
        <v>Bad handling</v>
      </c>
      <c r="I227" t="str">
        <f t="shared" si="11"/>
        <v/>
      </c>
    </row>
    <row r="228" spans="1:9" x14ac:dyDescent="0.3">
      <c r="A228" s="10">
        <v>45684.39417367112</v>
      </c>
      <c r="B228" t="s">
        <v>23</v>
      </c>
      <c r="C228" t="s">
        <v>22</v>
      </c>
      <c r="D228" t="s">
        <v>67</v>
      </c>
      <c r="E228" s="10">
        <v>45686.546213590496</v>
      </c>
      <c r="F228" s="12">
        <v>519.13</v>
      </c>
      <c r="G228">
        <f t="shared" ca="1" si="9"/>
        <v>2.1520399193759658</v>
      </c>
      <c r="H228" t="str">
        <f t="shared" ca="1" si="10"/>
        <v/>
      </c>
      <c r="I228" t="str">
        <f t="shared" si="11"/>
        <v/>
      </c>
    </row>
    <row r="229" spans="1:9" x14ac:dyDescent="0.3">
      <c r="A229" s="10">
        <v>45637.753902348144</v>
      </c>
      <c r="B229" t="s">
        <v>56</v>
      </c>
      <c r="C229" t="s">
        <v>52</v>
      </c>
      <c r="D229" t="s">
        <v>67</v>
      </c>
      <c r="E229" s="10">
        <v>45638.041734919425</v>
      </c>
      <c r="F229" s="12">
        <v>105.54</v>
      </c>
      <c r="G229">
        <f t="shared" ca="1" si="9"/>
        <v>0.28783257128088735</v>
      </c>
      <c r="H229" t="str">
        <f t="shared" ca="1" si="10"/>
        <v>Excellent handling</v>
      </c>
      <c r="I229" t="str">
        <f t="shared" si="11"/>
        <v/>
      </c>
    </row>
    <row r="230" spans="1:9" x14ac:dyDescent="0.3">
      <c r="A230" s="10">
        <v>45670.498282464672</v>
      </c>
      <c r="B230" t="s">
        <v>50</v>
      </c>
      <c r="C230" t="s">
        <v>48</v>
      </c>
      <c r="D230" t="s">
        <v>64</v>
      </c>
      <c r="E230" s="10" t="s">
        <v>73</v>
      </c>
      <c r="F230" s="12">
        <v>363.65</v>
      </c>
      <c r="G230">
        <f t="shared" ca="1" si="9"/>
        <v>384.50171753532777</v>
      </c>
      <c r="H230" t="str">
        <f t="shared" ca="1" si="10"/>
        <v>Bad handling</v>
      </c>
      <c r="I230" t="str">
        <f t="shared" si="11"/>
        <v/>
      </c>
    </row>
    <row r="231" spans="1:9" x14ac:dyDescent="0.3">
      <c r="A231" s="10">
        <v>45679.75744845147</v>
      </c>
      <c r="B231" t="s">
        <v>12</v>
      </c>
      <c r="C231" t="s">
        <v>9</v>
      </c>
      <c r="D231" t="s">
        <v>62</v>
      </c>
      <c r="E231" s="10">
        <v>45682.138333584997</v>
      </c>
      <c r="F231" s="12">
        <v>826.94</v>
      </c>
      <c r="G231">
        <f t="shared" ca="1" si="9"/>
        <v>2.3808851335270447</v>
      </c>
      <c r="H231" t="str">
        <f t="shared" ca="1" si="10"/>
        <v/>
      </c>
      <c r="I231" t="str">
        <f t="shared" si="11"/>
        <v/>
      </c>
    </row>
    <row r="232" spans="1:9" x14ac:dyDescent="0.3">
      <c r="A232" s="10">
        <v>45646.049293240685</v>
      </c>
      <c r="B232" t="s">
        <v>38</v>
      </c>
      <c r="C232" t="s">
        <v>37</v>
      </c>
      <c r="D232" t="s">
        <v>63</v>
      </c>
      <c r="E232" s="10">
        <v>45650.560332475972</v>
      </c>
      <c r="F232" s="12">
        <v>540.49</v>
      </c>
      <c r="G232">
        <f t="shared" ca="1" si="9"/>
        <v>4.5110392352871713</v>
      </c>
      <c r="H232" t="str">
        <f t="shared" ca="1" si="10"/>
        <v>Bad handling</v>
      </c>
      <c r="I232" t="str">
        <f t="shared" si="11"/>
        <v/>
      </c>
    </row>
    <row r="233" spans="1:9" x14ac:dyDescent="0.3">
      <c r="A233" s="10">
        <v>45669.062385183672</v>
      </c>
      <c r="B233" t="s">
        <v>12</v>
      </c>
      <c r="C233" t="s">
        <v>9</v>
      </c>
      <c r="D233" t="s">
        <v>62</v>
      </c>
      <c r="E233" s="10">
        <v>45670.651063794794</v>
      </c>
      <c r="F233" s="12">
        <v>712.7</v>
      </c>
      <c r="G233">
        <f t="shared" ca="1" si="9"/>
        <v>1.5886786111223046</v>
      </c>
      <c r="H233" t="str">
        <f t="shared" ca="1" si="10"/>
        <v>Excellent handling</v>
      </c>
      <c r="I233" t="str">
        <f t="shared" si="11"/>
        <v>Weekend sale</v>
      </c>
    </row>
    <row r="234" spans="1:9" x14ac:dyDescent="0.3">
      <c r="A234" s="10">
        <v>45678.993263134973</v>
      </c>
      <c r="B234" t="s">
        <v>14</v>
      </c>
      <c r="C234" t="s">
        <v>9</v>
      </c>
      <c r="D234" t="s">
        <v>61</v>
      </c>
      <c r="E234" s="10">
        <v>45680.871237103012</v>
      </c>
      <c r="F234" s="12">
        <v>652.5</v>
      </c>
      <c r="G234">
        <f t="shared" ca="1" si="9"/>
        <v>1.8779739680394414</v>
      </c>
      <c r="H234" t="str">
        <f t="shared" ca="1" si="10"/>
        <v>Excellent handling</v>
      </c>
      <c r="I234" t="str">
        <f t="shared" si="11"/>
        <v/>
      </c>
    </row>
    <row r="235" spans="1:9" x14ac:dyDescent="0.3">
      <c r="A235" s="10">
        <v>45647.069224600156</v>
      </c>
      <c r="B235" t="s">
        <v>11</v>
      </c>
      <c r="C235" t="s">
        <v>9</v>
      </c>
      <c r="D235" t="s">
        <v>67</v>
      </c>
      <c r="E235" s="10">
        <v>45649.577017200289</v>
      </c>
      <c r="F235" s="12">
        <v>750.59</v>
      </c>
      <c r="G235">
        <f t="shared" ca="1" si="9"/>
        <v>2.5077926001322339</v>
      </c>
      <c r="H235" t="str">
        <f t="shared" ca="1" si="10"/>
        <v/>
      </c>
      <c r="I235" t="str">
        <f t="shared" si="11"/>
        <v>Weekend sale</v>
      </c>
    </row>
    <row r="236" spans="1:9" x14ac:dyDescent="0.3">
      <c r="A236" s="10">
        <v>45678.263897135876</v>
      </c>
      <c r="B236" t="s">
        <v>47</v>
      </c>
      <c r="C236" t="s">
        <v>45</v>
      </c>
      <c r="D236" t="s">
        <v>60</v>
      </c>
      <c r="E236" s="10">
        <v>45681.774424673524</v>
      </c>
      <c r="F236" s="12">
        <v>243.4</v>
      </c>
      <c r="G236">
        <f t="shared" ca="1" si="9"/>
        <v>3.5105275376481586</v>
      </c>
      <c r="H236" t="str">
        <f t="shared" ca="1" si="10"/>
        <v/>
      </c>
      <c r="I236" t="str">
        <f t="shared" si="11"/>
        <v/>
      </c>
    </row>
    <row r="237" spans="1:9" x14ac:dyDescent="0.3">
      <c r="A237" s="10">
        <v>45643.712155997739</v>
      </c>
      <c r="B237" t="s">
        <v>34</v>
      </c>
      <c r="C237" t="s">
        <v>33</v>
      </c>
      <c r="D237" t="s">
        <v>62</v>
      </c>
      <c r="E237" s="10">
        <v>45644.993316487678</v>
      </c>
      <c r="F237" s="12">
        <v>26.53</v>
      </c>
      <c r="G237">
        <f t="shared" ca="1" si="9"/>
        <v>1.2811604899397935</v>
      </c>
      <c r="H237" t="str">
        <f t="shared" ca="1" si="10"/>
        <v>Excellent handling</v>
      </c>
      <c r="I237" t="str">
        <f t="shared" si="11"/>
        <v/>
      </c>
    </row>
    <row r="238" spans="1:9" x14ac:dyDescent="0.3">
      <c r="A238" s="10">
        <v>45653.47975490259</v>
      </c>
      <c r="B238" t="s">
        <v>46</v>
      </c>
      <c r="C238" t="s">
        <v>45</v>
      </c>
      <c r="D238" t="s">
        <v>64</v>
      </c>
      <c r="E238" s="10">
        <v>45657.897258379475</v>
      </c>
      <c r="F238" s="12">
        <v>378.89</v>
      </c>
      <c r="G238">
        <f t="shared" ca="1" si="9"/>
        <v>4.417503476885031</v>
      </c>
      <c r="H238" t="str">
        <f t="shared" ca="1" si="10"/>
        <v>Bad handling</v>
      </c>
      <c r="I238" t="str">
        <f t="shared" si="11"/>
        <v/>
      </c>
    </row>
    <row r="239" spans="1:9" x14ac:dyDescent="0.3">
      <c r="A239" s="10">
        <v>45657.989644438829</v>
      </c>
      <c r="B239" t="s">
        <v>16</v>
      </c>
      <c r="C239" t="s">
        <v>15</v>
      </c>
      <c r="D239" t="s">
        <v>61</v>
      </c>
      <c r="E239" s="10">
        <v>45659.546029675388</v>
      </c>
      <c r="F239" s="12">
        <v>544.67999999999995</v>
      </c>
      <c r="G239">
        <f t="shared" ca="1" si="9"/>
        <v>1.5563852365594357</v>
      </c>
      <c r="H239" t="str">
        <f t="shared" ca="1" si="10"/>
        <v>Excellent handling</v>
      </c>
      <c r="I239" t="str">
        <f t="shared" si="11"/>
        <v/>
      </c>
    </row>
    <row r="240" spans="1:9" x14ac:dyDescent="0.3">
      <c r="A240" s="10">
        <v>45635.804646687997</v>
      </c>
      <c r="B240" t="s">
        <v>30</v>
      </c>
      <c r="C240" t="s">
        <v>29</v>
      </c>
      <c r="D240" t="s">
        <v>68</v>
      </c>
      <c r="E240" s="10">
        <v>45636.8780651462</v>
      </c>
      <c r="F240" s="12">
        <v>707.89</v>
      </c>
      <c r="G240">
        <f t="shared" ca="1" si="9"/>
        <v>1.0734184582033777</v>
      </c>
      <c r="H240" t="str">
        <f t="shared" ca="1" si="10"/>
        <v>Excellent handling</v>
      </c>
      <c r="I240" t="str">
        <f t="shared" si="11"/>
        <v/>
      </c>
    </row>
    <row r="241" spans="1:9" x14ac:dyDescent="0.3">
      <c r="A241" s="10">
        <v>45653.762543232602</v>
      </c>
      <c r="B241" t="s">
        <v>53</v>
      </c>
      <c r="C241" t="s">
        <v>52</v>
      </c>
      <c r="D241" t="s">
        <v>66</v>
      </c>
      <c r="E241" s="10" t="s">
        <v>73</v>
      </c>
      <c r="F241" s="12">
        <v>471.15</v>
      </c>
      <c r="G241">
        <f t="shared" ca="1" si="9"/>
        <v>401.23745676739782</v>
      </c>
      <c r="H241" t="str">
        <f t="shared" ca="1" si="10"/>
        <v>Bad handling</v>
      </c>
      <c r="I241" t="str">
        <f t="shared" si="11"/>
        <v/>
      </c>
    </row>
    <row r="242" spans="1:9" x14ac:dyDescent="0.3">
      <c r="A242" s="10">
        <v>45667.716932922165</v>
      </c>
      <c r="B242" t="s">
        <v>23</v>
      </c>
      <c r="C242" t="s">
        <v>22</v>
      </c>
      <c r="D242" t="s">
        <v>67</v>
      </c>
      <c r="E242" s="10">
        <v>45670.104210167774</v>
      </c>
      <c r="F242" s="12">
        <v>280</v>
      </c>
      <c r="G242">
        <f t="shared" ca="1" si="9"/>
        <v>2.3872772456088569</v>
      </c>
      <c r="H242" t="str">
        <f t="shared" ca="1" si="10"/>
        <v/>
      </c>
      <c r="I242" t="str">
        <f t="shared" si="11"/>
        <v/>
      </c>
    </row>
    <row r="243" spans="1:9" x14ac:dyDescent="0.3">
      <c r="A243" s="10">
        <v>45629.870289015285</v>
      </c>
      <c r="B243" t="s">
        <v>49</v>
      </c>
      <c r="C243" t="s">
        <v>48</v>
      </c>
      <c r="D243" t="s">
        <v>63</v>
      </c>
      <c r="E243" s="10">
        <v>45631.699425786152</v>
      </c>
      <c r="F243" s="12">
        <v>669.86</v>
      </c>
      <c r="G243">
        <f t="shared" ca="1" si="9"/>
        <v>1.829136770866171</v>
      </c>
      <c r="H243" t="str">
        <f t="shared" ca="1" si="10"/>
        <v>Excellent handling</v>
      </c>
      <c r="I243" t="str">
        <f t="shared" si="11"/>
        <v/>
      </c>
    </row>
    <row r="244" spans="1:9" x14ac:dyDescent="0.3">
      <c r="A244" s="10">
        <v>45689.267860431035</v>
      </c>
      <c r="B244" t="s">
        <v>51</v>
      </c>
      <c r="C244" t="s">
        <v>48</v>
      </c>
      <c r="D244" t="s">
        <v>69</v>
      </c>
      <c r="E244" s="10">
        <v>45691.799455374858</v>
      </c>
      <c r="F244" s="12">
        <v>660.46</v>
      </c>
      <c r="G244">
        <f t="shared" ca="1" si="9"/>
        <v>2.5315949438227108</v>
      </c>
      <c r="H244" t="str">
        <f t="shared" ca="1" si="10"/>
        <v/>
      </c>
      <c r="I244" t="str">
        <f t="shared" si="11"/>
        <v>Weekend sale</v>
      </c>
    </row>
    <row r="245" spans="1:9" x14ac:dyDescent="0.3">
      <c r="A245" s="10">
        <v>45692.893905798395</v>
      </c>
      <c r="B245" t="s">
        <v>16</v>
      </c>
      <c r="C245" t="s">
        <v>15</v>
      </c>
      <c r="D245" t="s">
        <v>61</v>
      </c>
      <c r="E245" s="10">
        <v>45695.377756138172</v>
      </c>
      <c r="F245" s="12">
        <v>65.7</v>
      </c>
      <c r="G245">
        <f t="shared" ca="1" si="9"/>
        <v>2.4838503397768363</v>
      </c>
      <c r="H245" t="str">
        <f t="shared" ca="1" si="10"/>
        <v/>
      </c>
      <c r="I245" t="str">
        <f t="shared" si="11"/>
        <v/>
      </c>
    </row>
    <row r="246" spans="1:9" x14ac:dyDescent="0.3">
      <c r="A246" s="10">
        <v>45628.698909415638</v>
      </c>
      <c r="B246" t="s">
        <v>10</v>
      </c>
      <c r="C246" t="s">
        <v>9</v>
      </c>
      <c r="D246" t="s">
        <v>61</v>
      </c>
      <c r="E246" s="10">
        <v>45631.922949985637</v>
      </c>
      <c r="F246" s="12">
        <v>395.84</v>
      </c>
      <c r="G246">
        <f t="shared" ca="1" si="9"/>
        <v>3.2240405699994881</v>
      </c>
      <c r="H246" t="str">
        <f t="shared" ca="1" si="10"/>
        <v/>
      </c>
      <c r="I246" t="str">
        <f t="shared" si="11"/>
        <v/>
      </c>
    </row>
    <row r="247" spans="1:9" x14ac:dyDescent="0.3">
      <c r="A247" s="10">
        <v>45647.075877334428</v>
      </c>
      <c r="B247" t="s">
        <v>40</v>
      </c>
      <c r="C247" t="s">
        <v>37</v>
      </c>
      <c r="D247" t="s">
        <v>66</v>
      </c>
      <c r="E247" s="10">
        <v>45648.713368794626</v>
      </c>
      <c r="F247" s="12">
        <v>663.67</v>
      </c>
      <c r="G247">
        <f t="shared" ca="1" si="9"/>
        <v>1.6374914601983619</v>
      </c>
      <c r="H247" t="str">
        <f t="shared" ca="1" si="10"/>
        <v>Excellent handling</v>
      </c>
      <c r="I247" t="str">
        <f t="shared" si="11"/>
        <v>Weekend sale</v>
      </c>
    </row>
    <row r="248" spans="1:9" x14ac:dyDescent="0.3">
      <c r="A248" s="10">
        <v>45630.200070703344</v>
      </c>
      <c r="B248" t="s">
        <v>21</v>
      </c>
      <c r="C248" t="s">
        <v>15</v>
      </c>
      <c r="D248" t="s">
        <v>61</v>
      </c>
      <c r="E248" s="10" t="s">
        <v>74</v>
      </c>
      <c r="F248" s="12">
        <v>821.12</v>
      </c>
      <c r="G248">
        <f t="shared" ca="1" si="9"/>
        <v>424.79992929665605</v>
      </c>
      <c r="H248" t="str">
        <f t="shared" ca="1" si="10"/>
        <v>Bad handling</v>
      </c>
      <c r="I248" t="str">
        <f t="shared" si="11"/>
        <v/>
      </c>
    </row>
    <row r="249" spans="1:9" x14ac:dyDescent="0.3">
      <c r="A249" s="10">
        <v>45678.187999259993</v>
      </c>
      <c r="B249" t="s">
        <v>23</v>
      </c>
      <c r="C249" t="s">
        <v>22</v>
      </c>
      <c r="D249" t="s">
        <v>67</v>
      </c>
      <c r="E249" s="10">
        <v>45678.412065537406</v>
      </c>
      <c r="F249" s="12">
        <v>444.28</v>
      </c>
      <c r="G249">
        <f t="shared" ca="1" si="9"/>
        <v>0.2240662774129305</v>
      </c>
      <c r="H249" t="str">
        <f t="shared" ca="1" si="10"/>
        <v>Excellent handling</v>
      </c>
      <c r="I249" t="str">
        <f t="shared" si="11"/>
        <v/>
      </c>
    </row>
    <row r="250" spans="1:9" x14ac:dyDescent="0.3">
      <c r="A250" s="10">
        <v>45695.911747645063</v>
      </c>
      <c r="B250" t="s">
        <v>38</v>
      </c>
      <c r="C250" t="s">
        <v>37</v>
      </c>
      <c r="D250" t="s">
        <v>63</v>
      </c>
      <c r="E250" s="10">
        <v>45698.875444912468</v>
      </c>
      <c r="F250" s="12">
        <v>112.8</v>
      </c>
      <c r="G250">
        <f t="shared" ca="1" si="9"/>
        <v>2.9636972674052231</v>
      </c>
      <c r="H250" t="str">
        <f t="shared" ca="1" si="10"/>
        <v/>
      </c>
      <c r="I250" t="str">
        <f t="shared" si="11"/>
        <v/>
      </c>
    </row>
    <row r="251" spans="1:9" x14ac:dyDescent="0.3">
      <c r="A251" s="10">
        <v>45667.60758050673</v>
      </c>
      <c r="B251" t="s">
        <v>20</v>
      </c>
      <c r="C251" t="s">
        <v>15</v>
      </c>
      <c r="D251" t="s">
        <v>64</v>
      </c>
      <c r="E251" s="10">
        <v>45670.038046060472</v>
      </c>
      <c r="F251" s="12">
        <v>30</v>
      </c>
      <c r="G251">
        <f t="shared" ca="1" si="9"/>
        <v>2.4304655537416693</v>
      </c>
      <c r="H251" t="str">
        <f t="shared" ca="1" si="10"/>
        <v/>
      </c>
      <c r="I251" t="str">
        <f t="shared" si="11"/>
        <v/>
      </c>
    </row>
    <row r="252" spans="1:9" x14ac:dyDescent="0.3">
      <c r="A252" s="10">
        <v>45653.070275347956</v>
      </c>
      <c r="B252" t="s">
        <v>32</v>
      </c>
      <c r="C252" t="s">
        <v>29</v>
      </c>
      <c r="D252" t="s">
        <v>68</v>
      </c>
      <c r="E252" s="10">
        <v>45653.80019356413</v>
      </c>
      <c r="F252" s="12">
        <v>818.38</v>
      </c>
      <c r="G252">
        <f t="shared" ca="1" si="9"/>
        <v>0.72991821617324604</v>
      </c>
      <c r="H252" t="str">
        <f t="shared" ca="1" si="10"/>
        <v>Excellent handling</v>
      </c>
      <c r="I252" t="str">
        <f t="shared" si="11"/>
        <v/>
      </c>
    </row>
    <row r="253" spans="1:9" x14ac:dyDescent="0.3">
      <c r="A253" s="10">
        <v>45662.91400269595</v>
      </c>
      <c r="B253" t="s">
        <v>24</v>
      </c>
      <c r="C253" t="s">
        <v>22</v>
      </c>
      <c r="D253" t="s">
        <v>61</v>
      </c>
      <c r="E253" s="10">
        <v>45667.631062253407</v>
      </c>
      <c r="F253" s="12">
        <v>576.14</v>
      </c>
      <c r="G253">
        <f t="shared" ca="1" si="9"/>
        <v>4.7170595574571053</v>
      </c>
      <c r="H253" t="str">
        <f t="shared" ca="1" si="10"/>
        <v>Bad handling</v>
      </c>
      <c r="I253" t="str">
        <f t="shared" si="11"/>
        <v>Weekend sale</v>
      </c>
    </row>
    <row r="254" spans="1:9" x14ac:dyDescent="0.3">
      <c r="A254" s="10">
        <v>45680.834493010967</v>
      </c>
      <c r="B254" t="s">
        <v>24</v>
      </c>
      <c r="C254" t="s">
        <v>22</v>
      </c>
      <c r="D254" t="s">
        <v>61</v>
      </c>
      <c r="E254" s="10">
        <v>45682.363582866034</v>
      </c>
      <c r="F254" s="12">
        <v>716.83</v>
      </c>
      <c r="G254">
        <f t="shared" ca="1" si="9"/>
        <v>1.5290898550665588</v>
      </c>
      <c r="H254" t="str">
        <f t="shared" ca="1" si="10"/>
        <v>Excellent handling</v>
      </c>
      <c r="I254" t="str">
        <f t="shared" si="11"/>
        <v/>
      </c>
    </row>
    <row r="255" spans="1:9" x14ac:dyDescent="0.3">
      <c r="A255" s="10">
        <v>45677.198579849435</v>
      </c>
      <c r="B255" t="s">
        <v>17</v>
      </c>
      <c r="C255" t="s">
        <v>15</v>
      </c>
      <c r="D255" t="s">
        <v>62</v>
      </c>
      <c r="E255" s="10">
        <v>45677.281829128988</v>
      </c>
      <c r="F255" s="12">
        <v>241.28</v>
      </c>
      <c r="G255">
        <f t="shared" ca="1" si="9"/>
        <v>8.3249279552546795E-2</v>
      </c>
      <c r="H255" t="str">
        <f t="shared" ca="1" si="10"/>
        <v>Excellent handling</v>
      </c>
      <c r="I255" t="str">
        <f t="shared" si="11"/>
        <v/>
      </c>
    </row>
    <row r="256" spans="1:9" x14ac:dyDescent="0.3">
      <c r="A256" s="10">
        <v>45637.711818366588</v>
      </c>
      <c r="B256" t="s">
        <v>24</v>
      </c>
      <c r="C256" t="s">
        <v>22</v>
      </c>
      <c r="D256" t="s">
        <v>61</v>
      </c>
      <c r="E256" s="10">
        <v>45643.169446205451</v>
      </c>
      <c r="F256" s="12">
        <v>183.66</v>
      </c>
      <c r="G256">
        <f t="shared" ca="1" si="9"/>
        <v>5.4576278388631181</v>
      </c>
      <c r="H256" t="str">
        <f t="shared" ca="1" si="10"/>
        <v>Bad handling</v>
      </c>
      <c r="I256" t="str">
        <f t="shared" si="11"/>
        <v/>
      </c>
    </row>
    <row r="257" spans="1:9" x14ac:dyDescent="0.3">
      <c r="A257" s="10">
        <v>45628.002592621917</v>
      </c>
      <c r="B257" t="s">
        <v>39</v>
      </c>
      <c r="C257" t="s">
        <v>37</v>
      </c>
      <c r="D257" t="s">
        <v>65</v>
      </c>
      <c r="E257" s="10">
        <v>45629.493203204765</v>
      </c>
      <c r="F257" s="12">
        <v>686.14</v>
      </c>
      <c r="G257">
        <f t="shared" ca="1" si="9"/>
        <v>1.4906105828486034</v>
      </c>
      <c r="H257" t="str">
        <f t="shared" ca="1" si="10"/>
        <v>Excellent handling</v>
      </c>
      <c r="I257" t="str">
        <f t="shared" si="11"/>
        <v/>
      </c>
    </row>
    <row r="258" spans="1:9" x14ac:dyDescent="0.3">
      <c r="A258" s="10">
        <v>45628.38645425409</v>
      </c>
      <c r="B258" t="s">
        <v>19</v>
      </c>
      <c r="C258" t="s">
        <v>15</v>
      </c>
      <c r="D258" t="s">
        <v>63</v>
      </c>
      <c r="E258" s="10">
        <v>45630.131264127122</v>
      </c>
      <c r="F258" s="12">
        <v>48.66</v>
      </c>
      <c r="G258">
        <f t="shared" ref="G258:G321" ca="1" si="12">IF(ISTEXT(E258),TODAY(),E258)-A258</f>
        <v>1.7448098730310448</v>
      </c>
      <c r="H258" t="str">
        <f t="shared" ca="1" si="10"/>
        <v>Excellent handling</v>
      </c>
      <c r="I258" t="str">
        <f t="shared" si="11"/>
        <v/>
      </c>
    </row>
    <row r="259" spans="1:9" x14ac:dyDescent="0.3">
      <c r="A259" s="10">
        <v>45646.764421134147</v>
      </c>
      <c r="B259" t="s">
        <v>32</v>
      </c>
      <c r="C259" t="s">
        <v>29</v>
      </c>
      <c r="D259" t="s">
        <v>68</v>
      </c>
      <c r="E259" s="10">
        <v>45651.839063269115</v>
      </c>
      <c r="F259" s="12">
        <v>361.5</v>
      </c>
      <c r="G259">
        <f t="shared" ca="1" si="12"/>
        <v>5.0746421349685988</v>
      </c>
      <c r="H259" t="str">
        <f t="shared" ref="H259:H322" ca="1" si="13">IF(G259*24&lt;=48,"Excellent handling",IF(G259*24&gt;=96,"Bad handling",""))</f>
        <v>Bad handling</v>
      </c>
      <c r="I259" t="str">
        <f t="shared" ref="I259:I322" si="14">IF(OR(WEEKDAY(A259)=1,WEEKDAY(A259)=7),"Weekend sale","")</f>
        <v/>
      </c>
    </row>
    <row r="260" spans="1:9" x14ac:dyDescent="0.3">
      <c r="A260" s="10">
        <v>45667.918401661896</v>
      </c>
      <c r="B260" t="s">
        <v>55</v>
      </c>
      <c r="C260" t="s">
        <v>52</v>
      </c>
      <c r="D260" t="s">
        <v>67</v>
      </c>
      <c r="E260" s="10">
        <v>45668.651525505156</v>
      </c>
      <c r="F260" s="12">
        <v>50.22</v>
      </c>
      <c r="G260">
        <f t="shared" ca="1" si="12"/>
        <v>0.73312384325981839</v>
      </c>
      <c r="H260" t="str">
        <f t="shared" ca="1" si="13"/>
        <v>Excellent handling</v>
      </c>
      <c r="I260" t="str">
        <f t="shared" si="14"/>
        <v/>
      </c>
    </row>
    <row r="261" spans="1:9" x14ac:dyDescent="0.3">
      <c r="A261" s="10">
        <v>45695.05576678479</v>
      </c>
      <c r="B261" t="s">
        <v>30</v>
      </c>
      <c r="C261" t="s">
        <v>29</v>
      </c>
      <c r="D261" t="s">
        <v>68</v>
      </c>
      <c r="E261" s="10">
        <v>45696.914931399675</v>
      </c>
      <c r="F261" s="12">
        <v>376.39</v>
      </c>
      <c r="G261">
        <f t="shared" ca="1" si="12"/>
        <v>1.8591646148852305</v>
      </c>
      <c r="H261" t="str">
        <f t="shared" ca="1" si="13"/>
        <v>Excellent handling</v>
      </c>
      <c r="I261" t="str">
        <f t="shared" si="14"/>
        <v/>
      </c>
    </row>
    <row r="262" spans="1:9" x14ac:dyDescent="0.3">
      <c r="A262" s="10">
        <v>45665.771232263469</v>
      </c>
      <c r="B262" t="s">
        <v>38</v>
      </c>
      <c r="C262" t="s">
        <v>37</v>
      </c>
      <c r="D262" t="s">
        <v>63</v>
      </c>
      <c r="E262" s="10">
        <v>45668.957402188891</v>
      </c>
      <c r="F262" s="12">
        <v>90.52</v>
      </c>
      <c r="G262">
        <f t="shared" ca="1" si="12"/>
        <v>3.1861699254222913</v>
      </c>
      <c r="H262" t="str">
        <f t="shared" ca="1" si="13"/>
        <v/>
      </c>
      <c r="I262" t="str">
        <f t="shared" si="14"/>
        <v/>
      </c>
    </row>
    <row r="263" spans="1:9" x14ac:dyDescent="0.3">
      <c r="A263" s="10">
        <v>45638.706921537902</v>
      </c>
      <c r="B263" t="s">
        <v>44</v>
      </c>
      <c r="C263" t="s">
        <v>42</v>
      </c>
      <c r="D263" t="s">
        <v>67</v>
      </c>
      <c r="E263" s="10">
        <v>45640.86499301844</v>
      </c>
      <c r="F263" s="12">
        <v>174.02</v>
      </c>
      <c r="G263">
        <f t="shared" ca="1" si="12"/>
        <v>2.1580714805386378</v>
      </c>
      <c r="H263" t="str">
        <f t="shared" ca="1" si="13"/>
        <v/>
      </c>
      <c r="I263" t="str">
        <f t="shared" si="14"/>
        <v/>
      </c>
    </row>
    <row r="264" spans="1:9" x14ac:dyDescent="0.3">
      <c r="A264" s="10">
        <v>45683.414702443464</v>
      </c>
      <c r="B264" t="s">
        <v>26</v>
      </c>
      <c r="C264" t="s">
        <v>22</v>
      </c>
      <c r="D264" t="s">
        <v>65</v>
      </c>
      <c r="E264" s="10">
        <v>45685.095118734018</v>
      </c>
      <c r="F264" s="12">
        <v>613.55999999999995</v>
      </c>
      <c r="G264">
        <f t="shared" ca="1" si="12"/>
        <v>1.6804162905536941</v>
      </c>
      <c r="H264" t="str">
        <f t="shared" ca="1" si="13"/>
        <v>Excellent handling</v>
      </c>
      <c r="I264" t="str">
        <f t="shared" si="14"/>
        <v>Weekend sale</v>
      </c>
    </row>
    <row r="265" spans="1:9" x14ac:dyDescent="0.3">
      <c r="A265" s="10">
        <v>45671.454434978121</v>
      </c>
      <c r="B265" t="s">
        <v>12</v>
      </c>
      <c r="C265" t="s">
        <v>9</v>
      </c>
      <c r="D265" t="s">
        <v>62</v>
      </c>
      <c r="E265" s="10">
        <v>45673.478239337506</v>
      </c>
      <c r="F265" s="12">
        <v>441.29</v>
      </c>
      <c r="G265">
        <f t="shared" ca="1" si="12"/>
        <v>2.0238043593853945</v>
      </c>
      <c r="H265" t="str">
        <f t="shared" ca="1" si="13"/>
        <v/>
      </c>
      <c r="I265" t="str">
        <f t="shared" si="14"/>
        <v/>
      </c>
    </row>
    <row r="266" spans="1:9" x14ac:dyDescent="0.3">
      <c r="A266" s="10">
        <v>45651.941750906139</v>
      </c>
      <c r="B266" t="s">
        <v>43</v>
      </c>
      <c r="C266" t="s">
        <v>42</v>
      </c>
      <c r="D266" t="s">
        <v>62</v>
      </c>
      <c r="E266" s="10">
        <v>45653.071178944243</v>
      </c>
      <c r="F266" s="12">
        <v>721.1</v>
      </c>
      <c r="G266">
        <f t="shared" ca="1" si="12"/>
        <v>1.1294280381043791</v>
      </c>
      <c r="H266" t="str">
        <f t="shared" ca="1" si="13"/>
        <v>Excellent handling</v>
      </c>
      <c r="I266" t="str">
        <f t="shared" si="14"/>
        <v/>
      </c>
    </row>
    <row r="267" spans="1:9" x14ac:dyDescent="0.3">
      <c r="A267" s="10">
        <v>45678.042258367474</v>
      </c>
      <c r="B267" t="s">
        <v>36</v>
      </c>
      <c r="C267" t="s">
        <v>33</v>
      </c>
      <c r="D267" t="s">
        <v>68</v>
      </c>
      <c r="E267" s="10">
        <v>45683.354781669594</v>
      </c>
      <c r="F267" s="12">
        <v>213.67</v>
      </c>
      <c r="G267">
        <f t="shared" ca="1" si="12"/>
        <v>5.3125233021200984</v>
      </c>
      <c r="H267" t="str">
        <f t="shared" ca="1" si="13"/>
        <v>Bad handling</v>
      </c>
      <c r="I267" t="str">
        <f t="shared" si="14"/>
        <v/>
      </c>
    </row>
    <row r="268" spans="1:9" x14ac:dyDescent="0.3">
      <c r="A268" s="10">
        <v>45654.027421088605</v>
      </c>
      <c r="B268" t="s">
        <v>46</v>
      </c>
      <c r="C268" t="s">
        <v>45</v>
      </c>
      <c r="D268" t="s">
        <v>64</v>
      </c>
      <c r="E268" s="10">
        <v>45658.806093811872</v>
      </c>
      <c r="F268" s="12">
        <v>474.83</v>
      </c>
      <c r="G268">
        <f t="shared" ca="1" si="12"/>
        <v>4.7786727232669364</v>
      </c>
      <c r="H268" t="str">
        <f t="shared" ca="1" si="13"/>
        <v>Bad handling</v>
      </c>
      <c r="I268" t="str">
        <f t="shared" si="14"/>
        <v>Weekend sale</v>
      </c>
    </row>
    <row r="269" spans="1:9" x14ac:dyDescent="0.3">
      <c r="A269" s="10">
        <v>45694.75854586585</v>
      </c>
      <c r="B269" t="s">
        <v>24</v>
      </c>
      <c r="C269" t="s">
        <v>22</v>
      </c>
      <c r="D269" t="s">
        <v>61</v>
      </c>
      <c r="E269" s="10">
        <v>45697.218815812033</v>
      </c>
      <c r="F269" s="12">
        <v>106.47</v>
      </c>
      <c r="G269">
        <f t="shared" ca="1" si="12"/>
        <v>2.4602699461829616</v>
      </c>
      <c r="H269" t="str">
        <f t="shared" ca="1" si="13"/>
        <v/>
      </c>
      <c r="I269" t="str">
        <f t="shared" si="14"/>
        <v/>
      </c>
    </row>
    <row r="270" spans="1:9" x14ac:dyDescent="0.3">
      <c r="A270" s="10">
        <v>45641.995002283635</v>
      </c>
      <c r="B270" t="s">
        <v>41</v>
      </c>
      <c r="C270" t="s">
        <v>37</v>
      </c>
      <c r="D270" t="s">
        <v>68</v>
      </c>
      <c r="E270" s="10">
        <v>45644.628621594049</v>
      </c>
      <c r="F270" s="12">
        <v>666.82</v>
      </c>
      <c r="G270">
        <f t="shared" ca="1" si="12"/>
        <v>2.6336193104143604</v>
      </c>
      <c r="H270" t="str">
        <f t="shared" ca="1" si="13"/>
        <v/>
      </c>
      <c r="I270" t="str">
        <f t="shared" si="14"/>
        <v>Weekend sale</v>
      </c>
    </row>
    <row r="271" spans="1:9" x14ac:dyDescent="0.3">
      <c r="A271" s="10">
        <v>45681.940885196971</v>
      </c>
      <c r="B271" t="s">
        <v>51</v>
      </c>
      <c r="C271" t="s">
        <v>48</v>
      </c>
      <c r="D271" t="s">
        <v>69</v>
      </c>
      <c r="E271" s="10">
        <v>45685.916297883276</v>
      </c>
      <c r="F271" s="12">
        <v>823.63</v>
      </c>
      <c r="G271">
        <f t="shared" ca="1" si="12"/>
        <v>3.9754126863044803</v>
      </c>
      <c r="H271" t="str">
        <f t="shared" ca="1" si="13"/>
        <v/>
      </c>
      <c r="I271" t="str">
        <f t="shared" si="14"/>
        <v/>
      </c>
    </row>
    <row r="272" spans="1:9" x14ac:dyDescent="0.3">
      <c r="A272" s="10">
        <v>45669.892660375008</v>
      </c>
      <c r="B272" t="s">
        <v>31</v>
      </c>
      <c r="C272" t="s">
        <v>29</v>
      </c>
      <c r="D272" t="s">
        <v>61</v>
      </c>
      <c r="E272" s="10">
        <v>45671.25659549376</v>
      </c>
      <c r="F272" s="12">
        <v>55.75</v>
      </c>
      <c r="G272">
        <f t="shared" ca="1" si="12"/>
        <v>1.3639351187521243</v>
      </c>
      <c r="H272" t="str">
        <f t="shared" ca="1" si="13"/>
        <v>Excellent handling</v>
      </c>
      <c r="I272" t="str">
        <f t="shared" si="14"/>
        <v>Weekend sale</v>
      </c>
    </row>
    <row r="273" spans="1:9" x14ac:dyDescent="0.3">
      <c r="A273" s="10">
        <v>45671.0033394438</v>
      </c>
      <c r="B273" t="s">
        <v>25</v>
      </c>
      <c r="C273" t="s">
        <v>22</v>
      </c>
      <c r="D273" t="s">
        <v>60</v>
      </c>
      <c r="E273" s="10">
        <v>45675.904359601634</v>
      </c>
      <c r="F273" s="12">
        <v>737.01</v>
      </c>
      <c r="G273">
        <f t="shared" ca="1" si="12"/>
        <v>4.9010201578348642</v>
      </c>
      <c r="H273" t="str">
        <f t="shared" ca="1" si="13"/>
        <v>Bad handling</v>
      </c>
      <c r="I273" t="str">
        <f t="shared" si="14"/>
        <v/>
      </c>
    </row>
    <row r="274" spans="1:9" x14ac:dyDescent="0.3">
      <c r="A274" s="10">
        <v>45652.488129699086</v>
      </c>
      <c r="B274" t="s">
        <v>16</v>
      </c>
      <c r="C274" t="s">
        <v>15</v>
      </c>
      <c r="D274" t="s">
        <v>61</v>
      </c>
      <c r="E274" s="10">
        <v>45655.436197980496</v>
      </c>
      <c r="F274" s="12">
        <v>501.15</v>
      </c>
      <c r="G274">
        <f t="shared" ca="1" si="12"/>
        <v>2.9480682814100874</v>
      </c>
      <c r="H274" t="str">
        <f t="shared" ca="1" si="13"/>
        <v/>
      </c>
      <c r="I274" t="str">
        <f t="shared" si="14"/>
        <v/>
      </c>
    </row>
    <row r="275" spans="1:9" x14ac:dyDescent="0.3">
      <c r="A275" s="10">
        <v>45666.98037783202</v>
      </c>
      <c r="B275" t="s">
        <v>26</v>
      </c>
      <c r="C275" t="s">
        <v>22</v>
      </c>
      <c r="D275" t="s">
        <v>65</v>
      </c>
      <c r="E275" s="10">
        <v>45669.28465155408</v>
      </c>
      <c r="F275" s="12">
        <v>185.75</v>
      </c>
      <c r="G275">
        <f t="shared" ca="1" si="12"/>
        <v>2.3042737220603158</v>
      </c>
      <c r="H275" t="str">
        <f t="shared" ca="1" si="13"/>
        <v/>
      </c>
      <c r="I275" t="str">
        <f t="shared" si="14"/>
        <v/>
      </c>
    </row>
    <row r="276" spans="1:9" x14ac:dyDescent="0.3">
      <c r="A276" s="10">
        <v>45654.46389259219</v>
      </c>
      <c r="B276" t="s">
        <v>41</v>
      </c>
      <c r="C276" t="s">
        <v>37</v>
      </c>
      <c r="D276" t="s">
        <v>68</v>
      </c>
      <c r="E276" s="10">
        <v>45655.665014781815</v>
      </c>
      <c r="F276" s="12">
        <v>56.08</v>
      </c>
      <c r="G276">
        <f t="shared" ca="1" si="12"/>
        <v>1.2011221896245843</v>
      </c>
      <c r="H276" t="str">
        <f t="shared" ca="1" si="13"/>
        <v>Excellent handling</v>
      </c>
      <c r="I276" t="str">
        <f t="shared" si="14"/>
        <v>Weekend sale</v>
      </c>
    </row>
    <row r="277" spans="1:9" x14ac:dyDescent="0.3">
      <c r="A277" s="10">
        <v>45649.20040633771</v>
      </c>
      <c r="B277" t="s">
        <v>35</v>
      </c>
      <c r="C277" t="s">
        <v>33</v>
      </c>
      <c r="D277" t="s">
        <v>67</v>
      </c>
      <c r="E277" s="10">
        <v>45651.311619718414</v>
      </c>
      <c r="F277" s="12">
        <v>390.01</v>
      </c>
      <c r="G277">
        <f t="shared" ca="1" si="12"/>
        <v>2.1112133807037026</v>
      </c>
      <c r="H277" t="str">
        <f t="shared" ca="1" si="13"/>
        <v/>
      </c>
      <c r="I277" t="str">
        <f t="shared" si="14"/>
        <v/>
      </c>
    </row>
    <row r="278" spans="1:9" x14ac:dyDescent="0.3">
      <c r="A278" s="10">
        <v>45679.894848009018</v>
      </c>
      <c r="B278" t="s">
        <v>31</v>
      </c>
      <c r="C278" t="s">
        <v>29</v>
      </c>
      <c r="D278" t="s">
        <v>61</v>
      </c>
      <c r="E278" s="10">
        <v>45682.785283618534</v>
      </c>
      <c r="F278" s="12">
        <v>752.14</v>
      </c>
      <c r="G278">
        <f t="shared" ca="1" si="12"/>
        <v>2.8904356095154071</v>
      </c>
      <c r="H278" t="str">
        <f t="shared" ca="1" si="13"/>
        <v/>
      </c>
      <c r="I278" t="str">
        <f t="shared" si="14"/>
        <v/>
      </c>
    </row>
    <row r="279" spans="1:9" x14ac:dyDescent="0.3">
      <c r="A279" s="10">
        <v>45642.044677746861</v>
      </c>
      <c r="B279" t="s">
        <v>23</v>
      </c>
      <c r="C279" t="s">
        <v>22</v>
      </c>
      <c r="D279" t="s">
        <v>67</v>
      </c>
      <c r="E279" s="10">
        <v>45644.267477793881</v>
      </c>
      <c r="F279" s="12">
        <v>823.14</v>
      </c>
      <c r="G279">
        <f t="shared" ca="1" si="12"/>
        <v>2.2228000470204279</v>
      </c>
      <c r="H279" t="str">
        <f t="shared" ca="1" si="13"/>
        <v/>
      </c>
      <c r="I279" t="str">
        <f t="shared" si="14"/>
        <v/>
      </c>
    </row>
    <row r="280" spans="1:9" x14ac:dyDescent="0.3">
      <c r="A280" s="10">
        <v>45631.693442769414</v>
      </c>
      <c r="B280" t="s">
        <v>13</v>
      </c>
      <c r="C280" t="s">
        <v>9</v>
      </c>
      <c r="D280" t="s">
        <v>65</v>
      </c>
      <c r="E280" s="10">
        <v>45635.538928176662</v>
      </c>
      <c r="F280" s="12">
        <v>253.66</v>
      </c>
      <c r="G280">
        <f t="shared" ca="1" si="12"/>
        <v>3.8454854072479066</v>
      </c>
      <c r="H280" t="str">
        <f t="shared" ca="1" si="13"/>
        <v/>
      </c>
      <c r="I280" t="str">
        <f t="shared" si="14"/>
        <v/>
      </c>
    </row>
    <row r="281" spans="1:9" x14ac:dyDescent="0.3">
      <c r="A281" s="10">
        <v>45655.450335157257</v>
      </c>
      <c r="B281" t="s">
        <v>41</v>
      </c>
      <c r="C281" t="s">
        <v>37</v>
      </c>
      <c r="D281" t="s">
        <v>68</v>
      </c>
      <c r="E281" s="10">
        <v>45656.513415168236</v>
      </c>
      <c r="F281" s="12">
        <v>73.58</v>
      </c>
      <c r="G281">
        <f t="shared" ca="1" si="12"/>
        <v>1.0630800109793199</v>
      </c>
      <c r="H281" t="str">
        <f t="shared" ca="1" si="13"/>
        <v>Excellent handling</v>
      </c>
      <c r="I281" t="str">
        <f t="shared" si="14"/>
        <v>Weekend sale</v>
      </c>
    </row>
    <row r="282" spans="1:9" x14ac:dyDescent="0.3">
      <c r="A282" s="10">
        <v>45689.807158841235</v>
      </c>
      <c r="B282" t="s">
        <v>34</v>
      </c>
      <c r="C282" t="s">
        <v>33</v>
      </c>
      <c r="D282" t="s">
        <v>62</v>
      </c>
      <c r="E282" s="10">
        <v>45692.347553388063</v>
      </c>
      <c r="F282" s="12">
        <v>776.65</v>
      </c>
      <c r="G282">
        <f t="shared" ca="1" si="12"/>
        <v>2.5403945468278835</v>
      </c>
      <c r="H282" t="str">
        <f t="shared" ca="1" si="13"/>
        <v/>
      </c>
      <c r="I282" t="str">
        <f t="shared" si="14"/>
        <v>Weekend sale</v>
      </c>
    </row>
    <row r="283" spans="1:9" x14ac:dyDescent="0.3">
      <c r="A283" s="10">
        <v>45665.970311337063</v>
      </c>
      <c r="B283" t="s">
        <v>14</v>
      </c>
      <c r="C283" t="s">
        <v>9</v>
      </c>
      <c r="D283" t="s">
        <v>61</v>
      </c>
      <c r="E283" s="10">
        <v>45669.425832105451</v>
      </c>
      <c r="F283" s="12">
        <v>759.94</v>
      </c>
      <c r="G283">
        <f t="shared" ca="1" si="12"/>
        <v>3.4555207683879416</v>
      </c>
      <c r="H283" t="str">
        <f t="shared" ca="1" si="13"/>
        <v/>
      </c>
      <c r="I283" t="str">
        <f t="shared" si="14"/>
        <v/>
      </c>
    </row>
    <row r="284" spans="1:9" x14ac:dyDescent="0.3">
      <c r="A284" s="10">
        <v>45649.822959458412</v>
      </c>
      <c r="B284" t="s">
        <v>17</v>
      </c>
      <c r="C284" t="s">
        <v>15</v>
      </c>
      <c r="D284" t="s">
        <v>62</v>
      </c>
      <c r="E284" s="10" t="s">
        <v>74</v>
      </c>
      <c r="F284" s="12">
        <v>509.15</v>
      </c>
      <c r="G284">
        <f t="shared" ca="1" si="12"/>
        <v>405.17704054158821</v>
      </c>
      <c r="H284" t="str">
        <f t="shared" ca="1" si="13"/>
        <v>Bad handling</v>
      </c>
      <c r="I284" t="str">
        <f t="shared" si="14"/>
        <v/>
      </c>
    </row>
    <row r="285" spans="1:9" x14ac:dyDescent="0.3">
      <c r="A285" s="10">
        <v>45650.70773442107</v>
      </c>
      <c r="B285" t="s">
        <v>46</v>
      </c>
      <c r="C285" t="s">
        <v>45</v>
      </c>
      <c r="D285" t="s">
        <v>64</v>
      </c>
      <c r="E285" s="10">
        <v>45652.212328201858</v>
      </c>
      <c r="F285" s="12">
        <v>340.17</v>
      </c>
      <c r="G285">
        <f t="shared" ca="1" si="12"/>
        <v>1.5045937807881273</v>
      </c>
      <c r="H285" t="str">
        <f t="shared" ca="1" si="13"/>
        <v>Excellent handling</v>
      </c>
      <c r="I285" t="str">
        <f t="shared" si="14"/>
        <v/>
      </c>
    </row>
    <row r="286" spans="1:9" x14ac:dyDescent="0.3">
      <c r="A286" s="10">
        <v>45660.721838722849</v>
      </c>
      <c r="B286" t="s">
        <v>39</v>
      </c>
      <c r="C286" t="s">
        <v>37</v>
      </c>
      <c r="D286" t="s">
        <v>65</v>
      </c>
      <c r="E286" s="10">
        <v>45666.3225611362</v>
      </c>
      <c r="F286" s="12">
        <v>28.39</v>
      </c>
      <c r="G286">
        <f t="shared" ca="1" si="12"/>
        <v>5.6007224133500131</v>
      </c>
      <c r="H286" t="str">
        <f t="shared" ca="1" si="13"/>
        <v>Bad handling</v>
      </c>
      <c r="I286" t="str">
        <f t="shared" si="14"/>
        <v/>
      </c>
    </row>
    <row r="287" spans="1:9" x14ac:dyDescent="0.3">
      <c r="A287" s="10">
        <v>45675.963803531267</v>
      </c>
      <c r="B287" t="s">
        <v>53</v>
      </c>
      <c r="C287" t="s">
        <v>52</v>
      </c>
      <c r="D287" t="s">
        <v>66</v>
      </c>
      <c r="E287" s="10">
        <v>45677.917219750947</v>
      </c>
      <c r="F287" s="12">
        <v>580.12</v>
      </c>
      <c r="G287">
        <f t="shared" ca="1" si="12"/>
        <v>1.9534162196796387</v>
      </c>
      <c r="H287" t="str">
        <f t="shared" ca="1" si="13"/>
        <v>Excellent handling</v>
      </c>
      <c r="I287" t="str">
        <f t="shared" si="14"/>
        <v>Weekend sale</v>
      </c>
    </row>
    <row r="288" spans="1:9" x14ac:dyDescent="0.3">
      <c r="A288" s="10">
        <v>45685.050654903207</v>
      </c>
      <c r="B288" t="s">
        <v>39</v>
      </c>
      <c r="C288" t="s">
        <v>37</v>
      </c>
      <c r="D288" t="s">
        <v>65</v>
      </c>
      <c r="E288" s="10">
        <v>45686.862309591008</v>
      </c>
      <c r="F288" s="12">
        <v>573.54999999999995</v>
      </c>
      <c r="G288">
        <f t="shared" ca="1" si="12"/>
        <v>1.8116546878009103</v>
      </c>
      <c r="H288" t="str">
        <f t="shared" ca="1" si="13"/>
        <v>Excellent handling</v>
      </c>
      <c r="I288" t="str">
        <f t="shared" si="14"/>
        <v/>
      </c>
    </row>
    <row r="289" spans="1:9" x14ac:dyDescent="0.3">
      <c r="A289" s="10">
        <v>45686.204020163204</v>
      </c>
      <c r="B289" t="s">
        <v>56</v>
      </c>
      <c r="C289" t="s">
        <v>52</v>
      </c>
      <c r="D289" t="s">
        <v>67</v>
      </c>
      <c r="E289" s="10">
        <v>45688.500866933551</v>
      </c>
      <c r="F289" s="12">
        <v>257.57</v>
      </c>
      <c r="G289">
        <f t="shared" ca="1" si="12"/>
        <v>2.2968467703467468</v>
      </c>
      <c r="H289" t="str">
        <f t="shared" ca="1" si="13"/>
        <v/>
      </c>
      <c r="I289" t="str">
        <f t="shared" si="14"/>
        <v/>
      </c>
    </row>
    <row r="290" spans="1:9" x14ac:dyDescent="0.3">
      <c r="A290" s="10">
        <v>45690.95512680689</v>
      </c>
      <c r="B290" t="s">
        <v>55</v>
      </c>
      <c r="C290" t="s">
        <v>52</v>
      </c>
      <c r="D290" t="s">
        <v>67</v>
      </c>
      <c r="E290" s="10">
        <v>45694.727095995302</v>
      </c>
      <c r="F290" s="12">
        <v>328.58</v>
      </c>
      <c r="G290">
        <f t="shared" ca="1" si="12"/>
        <v>3.7719691884121858</v>
      </c>
      <c r="H290" t="str">
        <f t="shared" ca="1" si="13"/>
        <v/>
      </c>
      <c r="I290" t="str">
        <f t="shared" si="14"/>
        <v>Weekend sale</v>
      </c>
    </row>
    <row r="291" spans="1:9" x14ac:dyDescent="0.3">
      <c r="A291" s="10">
        <v>45693.471608052321</v>
      </c>
      <c r="B291" t="s">
        <v>34</v>
      </c>
      <c r="C291" t="s">
        <v>33</v>
      </c>
      <c r="D291" t="s">
        <v>62</v>
      </c>
      <c r="E291" s="10">
        <v>45693.512738138183</v>
      </c>
      <c r="F291" s="12">
        <v>513.41999999999996</v>
      </c>
      <c r="G291">
        <f t="shared" ca="1" si="12"/>
        <v>4.113008586136857E-2</v>
      </c>
      <c r="H291" t="str">
        <f t="shared" ca="1" si="13"/>
        <v>Excellent handling</v>
      </c>
      <c r="I291" t="str">
        <f t="shared" si="14"/>
        <v/>
      </c>
    </row>
    <row r="292" spans="1:9" x14ac:dyDescent="0.3">
      <c r="A292" s="10">
        <v>45680.33542311249</v>
      </c>
      <c r="B292" t="s">
        <v>38</v>
      </c>
      <c r="C292" t="s">
        <v>37</v>
      </c>
      <c r="D292" t="s">
        <v>63</v>
      </c>
      <c r="E292" s="10">
        <v>45681.911989362612</v>
      </c>
      <c r="F292" s="12">
        <v>790.49</v>
      </c>
      <c r="G292">
        <f t="shared" ca="1" si="12"/>
        <v>1.5765662501216866</v>
      </c>
      <c r="H292" t="str">
        <f t="shared" ca="1" si="13"/>
        <v>Excellent handling</v>
      </c>
      <c r="I292" t="str">
        <f t="shared" si="14"/>
        <v/>
      </c>
    </row>
    <row r="293" spans="1:9" x14ac:dyDescent="0.3">
      <c r="A293" s="10">
        <v>45654.882037466363</v>
      </c>
      <c r="B293" t="s">
        <v>43</v>
      </c>
      <c r="C293" t="s">
        <v>42</v>
      </c>
      <c r="D293" t="s">
        <v>62</v>
      </c>
      <c r="E293" s="10">
        <v>45656.758193744194</v>
      </c>
      <c r="F293" s="12">
        <v>179.54</v>
      </c>
      <c r="G293">
        <f t="shared" ca="1" si="12"/>
        <v>1.8761562778308871</v>
      </c>
      <c r="H293" t="str">
        <f t="shared" ca="1" si="13"/>
        <v>Excellent handling</v>
      </c>
      <c r="I293" t="str">
        <f t="shared" si="14"/>
        <v>Weekend sale</v>
      </c>
    </row>
    <row r="294" spans="1:9" x14ac:dyDescent="0.3">
      <c r="A294" s="10">
        <v>45696.544276102992</v>
      </c>
      <c r="B294" t="s">
        <v>11</v>
      </c>
      <c r="C294" t="s">
        <v>9</v>
      </c>
      <c r="D294" t="s">
        <v>67</v>
      </c>
      <c r="E294" s="10">
        <v>45699.007106951634</v>
      </c>
      <c r="F294" s="12">
        <v>325.76</v>
      </c>
      <c r="G294">
        <f t="shared" ca="1" si="12"/>
        <v>2.4628308486426249</v>
      </c>
      <c r="H294" t="str">
        <f t="shared" ca="1" si="13"/>
        <v/>
      </c>
      <c r="I294" t="str">
        <f t="shared" si="14"/>
        <v>Weekend sale</v>
      </c>
    </row>
    <row r="295" spans="1:9" x14ac:dyDescent="0.3">
      <c r="A295" s="10">
        <v>45670.17022094701</v>
      </c>
      <c r="B295" t="s">
        <v>43</v>
      </c>
      <c r="C295" t="s">
        <v>42</v>
      </c>
      <c r="D295" t="s">
        <v>62</v>
      </c>
      <c r="E295" s="10" t="s">
        <v>73</v>
      </c>
      <c r="F295" s="12">
        <v>63.1</v>
      </c>
      <c r="G295">
        <f t="shared" ca="1" si="12"/>
        <v>384.82977905299049</v>
      </c>
      <c r="H295" t="str">
        <f t="shared" ca="1" si="13"/>
        <v>Bad handling</v>
      </c>
      <c r="I295" t="str">
        <f t="shared" si="14"/>
        <v/>
      </c>
    </row>
    <row r="296" spans="1:9" x14ac:dyDescent="0.3">
      <c r="A296" s="10">
        <v>45685.250743896402</v>
      </c>
      <c r="B296" t="s">
        <v>32</v>
      </c>
      <c r="C296" t="s">
        <v>29</v>
      </c>
      <c r="D296" t="s">
        <v>68</v>
      </c>
      <c r="E296" s="10">
        <v>45687.220421311496</v>
      </c>
      <c r="F296" s="12">
        <v>451.88</v>
      </c>
      <c r="G296">
        <f t="shared" ca="1" si="12"/>
        <v>1.9696774150943384</v>
      </c>
      <c r="H296" t="str">
        <f t="shared" ca="1" si="13"/>
        <v>Excellent handling</v>
      </c>
      <c r="I296" t="str">
        <f t="shared" si="14"/>
        <v/>
      </c>
    </row>
    <row r="297" spans="1:9" x14ac:dyDescent="0.3">
      <c r="A297" s="10">
        <v>45695.620768453358</v>
      </c>
      <c r="B297" t="s">
        <v>31</v>
      </c>
      <c r="C297" t="s">
        <v>29</v>
      </c>
      <c r="D297" t="s">
        <v>61</v>
      </c>
      <c r="E297" s="10">
        <v>45700.789657694535</v>
      </c>
      <c r="F297" s="12">
        <v>675.24</v>
      </c>
      <c r="G297">
        <f t="shared" ca="1" si="12"/>
        <v>5.1688892411766574</v>
      </c>
      <c r="H297" t="str">
        <f t="shared" ca="1" si="13"/>
        <v>Bad handling</v>
      </c>
      <c r="I297" t="str">
        <f t="shared" si="14"/>
        <v/>
      </c>
    </row>
    <row r="298" spans="1:9" x14ac:dyDescent="0.3">
      <c r="A298" s="10">
        <v>45655.411124261496</v>
      </c>
      <c r="B298" t="s">
        <v>40</v>
      </c>
      <c r="C298" t="s">
        <v>37</v>
      </c>
      <c r="D298" t="s">
        <v>66</v>
      </c>
      <c r="E298" s="10">
        <v>45658.592055016845</v>
      </c>
      <c r="F298" s="12">
        <v>767.13</v>
      </c>
      <c r="G298">
        <f t="shared" ca="1" si="12"/>
        <v>3.1809307553485269</v>
      </c>
      <c r="H298" t="str">
        <f t="shared" ca="1" si="13"/>
        <v/>
      </c>
      <c r="I298" t="str">
        <f t="shared" si="14"/>
        <v>Weekend sale</v>
      </c>
    </row>
    <row r="299" spans="1:9" x14ac:dyDescent="0.3">
      <c r="A299" s="10">
        <v>45678.042278530331</v>
      </c>
      <c r="B299" t="s">
        <v>26</v>
      </c>
      <c r="C299" t="s">
        <v>22</v>
      </c>
      <c r="D299" t="s">
        <v>65</v>
      </c>
      <c r="E299" s="10">
        <v>45680.966968891829</v>
      </c>
      <c r="F299" s="12">
        <v>506.35</v>
      </c>
      <c r="G299">
        <f t="shared" ca="1" si="12"/>
        <v>2.9246903614985058</v>
      </c>
      <c r="H299" t="str">
        <f t="shared" ca="1" si="13"/>
        <v/>
      </c>
      <c r="I299" t="str">
        <f t="shared" si="14"/>
        <v/>
      </c>
    </row>
    <row r="300" spans="1:9" x14ac:dyDescent="0.3">
      <c r="A300" s="10">
        <v>45633.199559377928</v>
      </c>
      <c r="B300" t="s">
        <v>50</v>
      </c>
      <c r="C300" t="s">
        <v>48</v>
      </c>
      <c r="D300" t="s">
        <v>64</v>
      </c>
      <c r="E300" s="10">
        <v>45635.749601405267</v>
      </c>
      <c r="F300" s="12">
        <v>630.33000000000004</v>
      </c>
      <c r="G300">
        <f t="shared" ca="1" si="12"/>
        <v>2.5500420273383497</v>
      </c>
      <c r="H300" t="str">
        <f t="shared" ca="1" si="13"/>
        <v/>
      </c>
      <c r="I300" t="str">
        <f t="shared" si="14"/>
        <v>Weekend sale</v>
      </c>
    </row>
    <row r="301" spans="1:9" x14ac:dyDescent="0.3">
      <c r="A301" s="10">
        <v>45689.907175873093</v>
      </c>
      <c r="B301" t="s">
        <v>38</v>
      </c>
      <c r="C301" t="s">
        <v>37</v>
      </c>
      <c r="D301" t="s">
        <v>63</v>
      </c>
      <c r="E301" s="10">
        <v>45691.988993720559</v>
      </c>
      <c r="F301" s="12">
        <v>145.75</v>
      </c>
      <c r="G301">
        <f t="shared" ca="1" si="12"/>
        <v>2.0818178474655724</v>
      </c>
      <c r="H301" t="str">
        <f t="shared" ca="1" si="13"/>
        <v/>
      </c>
      <c r="I301" t="str">
        <f t="shared" si="14"/>
        <v>Weekend sale</v>
      </c>
    </row>
    <row r="302" spans="1:9" x14ac:dyDescent="0.3">
      <c r="A302" s="10">
        <v>45631.847084453242</v>
      </c>
      <c r="B302" t="s">
        <v>46</v>
      </c>
      <c r="C302" t="s">
        <v>45</v>
      </c>
      <c r="D302" t="s">
        <v>64</v>
      </c>
      <c r="E302" s="10">
        <v>45635.557864035261</v>
      </c>
      <c r="F302" s="12">
        <v>359.71</v>
      </c>
      <c r="G302">
        <f t="shared" ca="1" si="12"/>
        <v>3.7107795820193132</v>
      </c>
      <c r="H302" t="str">
        <f t="shared" ca="1" si="13"/>
        <v/>
      </c>
      <c r="I302" t="str">
        <f t="shared" si="14"/>
        <v/>
      </c>
    </row>
    <row r="303" spans="1:9" x14ac:dyDescent="0.3">
      <c r="A303" s="10">
        <v>45664.141635104294</v>
      </c>
      <c r="B303" t="s">
        <v>23</v>
      </c>
      <c r="C303" t="s">
        <v>22</v>
      </c>
      <c r="D303" t="s">
        <v>67</v>
      </c>
      <c r="E303" s="10">
        <v>45667.356823017988</v>
      </c>
      <c r="F303" s="12">
        <v>445.55</v>
      </c>
      <c r="G303">
        <f t="shared" ca="1" si="12"/>
        <v>3.2151879136945354</v>
      </c>
      <c r="H303" t="str">
        <f t="shared" ca="1" si="13"/>
        <v/>
      </c>
      <c r="I303" t="str">
        <f t="shared" si="14"/>
        <v/>
      </c>
    </row>
    <row r="304" spans="1:9" x14ac:dyDescent="0.3">
      <c r="A304" s="10">
        <v>45677.336950170233</v>
      </c>
      <c r="B304" t="s">
        <v>12</v>
      </c>
      <c r="C304" t="s">
        <v>9</v>
      </c>
      <c r="D304" t="s">
        <v>62</v>
      </c>
      <c r="E304" s="10" t="s">
        <v>74</v>
      </c>
      <c r="F304" s="12">
        <v>592.48</v>
      </c>
      <c r="G304">
        <f t="shared" ca="1" si="12"/>
        <v>377.66304982976726</v>
      </c>
      <c r="H304" t="str">
        <f t="shared" ca="1" si="13"/>
        <v>Bad handling</v>
      </c>
      <c r="I304" t="str">
        <f t="shared" si="14"/>
        <v/>
      </c>
    </row>
    <row r="305" spans="1:9" x14ac:dyDescent="0.3">
      <c r="A305" s="10">
        <v>45667.205391638818</v>
      </c>
      <c r="B305" t="s">
        <v>11</v>
      </c>
      <c r="C305" t="s">
        <v>9</v>
      </c>
      <c r="D305" t="s">
        <v>67</v>
      </c>
      <c r="E305" s="10">
        <v>45669.815050832418</v>
      </c>
      <c r="F305" s="12">
        <v>822.55</v>
      </c>
      <c r="G305">
        <f t="shared" ca="1" si="12"/>
        <v>2.6096591936002369</v>
      </c>
      <c r="H305" t="str">
        <f t="shared" ca="1" si="13"/>
        <v/>
      </c>
      <c r="I305" t="str">
        <f t="shared" si="14"/>
        <v/>
      </c>
    </row>
    <row r="306" spans="1:9" x14ac:dyDescent="0.3">
      <c r="A306" s="10">
        <v>45678.936484329104</v>
      </c>
      <c r="B306" t="s">
        <v>31</v>
      </c>
      <c r="C306" t="s">
        <v>29</v>
      </c>
      <c r="D306" t="s">
        <v>61</v>
      </c>
      <c r="E306" s="10">
        <v>45679.417628038944</v>
      </c>
      <c r="F306" s="12">
        <v>48.19</v>
      </c>
      <c r="G306">
        <f t="shared" ca="1" si="12"/>
        <v>0.48114370983967092</v>
      </c>
      <c r="H306" t="str">
        <f t="shared" ca="1" si="13"/>
        <v>Excellent handling</v>
      </c>
      <c r="I306" t="str">
        <f t="shared" si="14"/>
        <v/>
      </c>
    </row>
    <row r="307" spans="1:9" x14ac:dyDescent="0.3">
      <c r="A307" s="10">
        <v>45683.593102942679</v>
      </c>
      <c r="B307" t="s">
        <v>21</v>
      </c>
      <c r="C307" t="s">
        <v>15</v>
      </c>
      <c r="D307" t="s">
        <v>61</v>
      </c>
      <c r="E307" s="10">
        <v>45687.205354224963</v>
      </c>
      <c r="F307" s="12">
        <v>773.46</v>
      </c>
      <c r="G307">
        <f t="shared" ca="1" si="12"/>
        <v>3.6122512822839781</v>
      </c>
      <c r="H307" t="str">
        <f t="shared" ca="1" si="13"/>
        <v/>
      </c>
      <c r="I307" t="str">
        <f t="shared" si="14"/>
        <v>Weekend sale</v>
      </c>
    </row>
    <row r="308" spans="1:9" x14ac:dyDescent="0.3">
      <c r="A308" s="10">
        <v>45679.938667747323</v>
      </c>
      <c r="B308" t="s">
        <v>50</v>
      </c>
      <c r="C308" t="s">
        <v>48</v>
      </c>
      <c r="D308" t="s">
        <v>64</v>
      </c>
      <c r="E308" s="10">
        <v>45681.261126390527</v>
      </c>
      <c r="F308" s="12">
        <v>486.74</v>
      </c>
      <c r="G308">
        <f t="shared" ca="1" si="12"/>
        <v>1.3224586432042997</v>
      </c>
      <c r="H308" t="str">
        <f t="shared" ca="1" si="13"/>
        <v>Excellent handling</v>
      </c>
      <c r="I308" t="str">
        <f t="shared" si="14"/>
        <v/>
      </c>
    </row>
    <row r="309" spans="1:9" x14ac:dyDescent="0.3">
      <c r="A309" s="10">
        <v>45672.335499074426</v>
      </c>
      <c r="B309" t="s">
        <v>23</v>
      </c>
      <c r="C309" t="s">
        <v>22</v>
      </c>
      <c r="D309" t="s">
        <v>67</v>
      </c>
      <c r="E309" s="10">
        <v>45674.743522945508</v>
      </c>
      <c r="F309" s="12">
        <v>826.09</v>
      </c>
      <c r="G309">
        <f t="shared" ca="1" si="12"/>
        <v>2.4080238710812409</v>
      </c>
      <c r="H309" t="str">
        <f t="shared" ca="1" si="13"/>
        <v/>
      </c>
      <c r="I309" t="str">
        <f t="shared" si="14"/>
        <v/>
      </c>
    </row>
    <row r="310" spans="1:9" x14ac:dyDescent="0.3">
      <c r="A310" s="10">
        <v>45668.714074821532</v>
      </c>
      <c r="B310" t="s">
        <v>32</v>
      </c>
      <c r="C310" t="s">
        <v>29</v>
      </c>
      <c r="D310" t="s">
        <v>68</v>
      </c>
      <c r="E310" s="10">
        <v>45671.626611178152</v>
      </c>
      <c r="F310" s="12">
        <v>726.08</v>
      </c>
      <c r="G310">
        <f t="shared" ca="1" si="12"/>
        <v>2.9125363566199667</v>
      </c>
      <c r="H310" t="str">
        <f t="shared" ca="1" si="13"/>
        <v/>
      </c>
      <c r="I310" t="str">
        <f t="shared" si="14"/>
        <v>Weekend sale</v>
      </c>
    </row>
    <row r="311" spans="1:9" x14ac:dyDescent="0.3">
      <c r="A311" s="10">
        <v>45651.812258625287</v>
      </c>
      <c r="B311" t="s">
        <v>30</v>
      </c>
      <c r="C311" t="s">
        <v>29</v>
      </c>
      <c r="D311" t="s">
        <v>68</v>
      </c>
      <c r="E311" s="10" t="s">
        <v>74</v>
      </c>
      <c r="F311" s="12">
        <v>508.56</v>
      </c>
      <c r="G311">
        <f t="shared" ca="1" si="12"/>
        <v>403.18774137471337</v>
      </c>
      <c r="H311" t="str">
        <f t="shared" ca="1" si="13"/>
        <v>Bad handling</v>
      </c>
      <c r="I311" t="str">
        <f t="shared" si="14"/>
        <v/>
      </c>
    </row>
    <row r="312" spans="1:9" x14ac:dyDescent="0.3">
      <c r="A312" s="10">
        <v>45691.348351201814</v>
      </c>
      <c r="B312" t="s">
        <v>51</v>
      </c>
      <c r="C312" t="s">
        <v>48</v>
      </c>
      <c r="D312" t="s">
        <v>69</v>
      </c>
      <c r="E312" s="10">
        <v>45696.221746442439</v>
      </c>
      <c r="F312" s="12">
        <v>74.540000000000006</v>
      </c>
      <c r="G312">
        <f t="shared" ca="1" si="12"/>
        <v>4.8733952406255412</v>
      </c>
      <c r="H312" t="str">
        <f t="shared" ca="1" si="13"/>
        <v>Bad handling</v>
      </c>
      <c r="I312" t="str">
        <f t="shared" si="14"/>
        <v/>
      </c>
    </row>
    <row r="313" spans="1:9" x14ac:dyDescent="0.3">
      <c r="A313" s="10">
        <v>45674.863496643331</v>
      </c>
      <c r="B313" t="s">
        <v>11</v>
      </c>
      <c r="C313" t="s">
        <v>9</v>
      </c>
      <c r="D313" t="s">
        <v>67</v>
      </c>
      <c r="E313" s="10">
        <v>45678.832296533139</v>
      </c>
      <c r="F313" s="12">
        <v>770.29</v>
      </c>
      <c r="G313">
        <f t="shared" ca="1" si="12"/>
        <v>3.9687998898079968</v>
      </c>
      <c r="H313" t="str">
        <f t="shared" ca="1" si="13"/>
        <v/>
      </c>
      <c r="I313" t="str">
        <f t="shared" si="14"/>
        <v/>
      </c>
    </row>
    <row r="314" spans="1:9" x14ac:dyDescent="0.3">
      <c r="A314" s="10">
        <v>45689.415658620121</v>
      </c>
      <c r="B314" t="s">
        <v>11</v>
      </c>
      <c r="C314" t="s">
        <v>9</v>
      </c>
      <c r="D314" t="s">
        <v>67</v>
      </c>
      <c r="E314" s="10">
        <v>45691.489172051093</v>
      </c>
      <c r="F314" s="12">
        <v>511.4</v>
      </c>
      <c r="G314">
        <f t="shared" ca="1" si="12"/>
        <v>2.0735134309725254</v>
      </c>
      <c r="H314" t="str">
        <f t="shared" ca="1" si="13"/>
        <v/>
      </c>
      <c r="I314" t="str">
        <f t="shared" si="14"/>
        <v>Weekend sale</v>
      </c>
    </row>
    <row r="315" spans="1:9" x14ac:dyDescent="0.3">
      <c r="A315" s="10">
        <v>45681.551549873082</v>
      </c>
      <c r="B315" t="s">
        <v>19</v>
      </c>
      <c r="C315" t="s">
        <v>15</v>
      </c>
      <c r="D315" t="s">
        <v>63</v>
      </c>
      <c r="E315" s="10">
        <v>45684.814064370497</v>
      </c>
      <c r="F315" s="12">
        <v>339.55</v>
      </c>
      <c r="G315">
        <f t="shared" ca="1" si="12"/>
        <v>3.2625144974153955</v>
      </c>
      <c r="H315" t="str">
        <f t="shared" ca="1" si="13"/>
        <v/>
      </c>
      <c r="I315" t="str">
        <f t="shared" si="14"/>
        <v/>
      </c>
    </row>
    <row r="316" spans="1:9" x14ac:dyDescent="0.3">
      <c r="A316" s="10">
        <v>45627.967748810588</v>
      </c>
      <c r="B316" t="s">
        <v>28</v>
      </c>
      <c r="C316" t="s">
        <v>22</v>
      </c>
      <c r="D316" t="s">
        <v>67</v>
      </c>
      <c r="E316" s="10">
        <v>45633.243669317446</v>
      </c>
      <c r="F316" s="12">
        <v>786.63</v>
      </c>
      <c r="G316">
        <f t="shared" ca="1" si="12"/>
        <v>5.2759205068578012</v>
      </c>
      <c r="H316" t="str">
        <f t="shared" ca="1" si="13"/>
        <v>Bad handling</v>
      </c>
      <c r="I316" t="str">
        <f t="shared" si="14"/>
        <v>Weekend sale</v>
      </c>
    </row>
    <row r="317" spans="1:9" x14ac:dyDescent="0.3">
      <c r="A317" s="10">
        <v>45664.523557944929</v>
      </c>
      <c r="B317" t="s">
        <v>24</v>
      </c>
      <c r="C317" t="s">
        <v>22</v>
      </c>
      <c r="D317" t="s">
        <v>61</v>
      </c>
      <c r="E317" s="10">
        <v>45665.715264268234</v>
      </c>
      <c r="F317" s="12">
        <v>590.41</v>
      </c>
      <c r="G317">
        <f t="shared" ca="1" si="12"/>
        <v>1.1917063233049703</v>
      </c>
      <c r="H317" t="str">
        <f t="shared" ca="1" si="13"/>
        <v>Excellent handling</v>
      </c>
      <c r="I317" t="str">
        <f t="shared" si="14"/>
        <v/>
      </c>
    </row>
    <row r="318" spans="1:9" x14ac:dyDescent="0.3">
      <c r="A318" s="10">
        <v>45631.642260646651</v>
      </c>
      <c r="B318" t="s">
        <v>50</v>
      </c>
      <c r="C318" t="s">
        <v>48</v>
      </c>
      <c r="D318" t="s">
        <v>64</v>
      </c>
      <c r="E318" s="10">
        <v>45635.49300428111</v>
      </c>
      <c r="F318" s="12">
        <v>383.41</v>
      </c>
      <c r="G318">
        <f t="shared" ca="1" si="12"/>
        <v>3.8507436344589223</v>
      </c>
      <c r="H318" t="str">
        <f t="shared" ca="1" si="13"/>
        <v/>
      </c>
      <c r="I318" t="str">
        <f t="shared" si="14"/>
        <v/>
      </c>
    </row>
    <row r="319" spans="1:9" x14ac:dyDescent="0.3">
      <c r="A319" s="10">
        <v>45630.194155966718</v>
      </c>
      <c r="B319" t="s">
        <v>54</v>
      </c>
      <c r="C319" t="s">
        <v>52</v>
      </c>
      <c r="D319" t="s">
        <v>66</v>
      </c>
      <c r="E319" s="10">
        <v>45631.596654683017</v>
      </c>
      <c r="F319" s="12">
        <v>362.8</v>
      </c>
      <c r="G319">
        <f t="shared" ca="1" si="12"/>
        <v>1.4024987162993057</v>
      </c>
      <c r="H319" t="str">
        <f t="shared" ca="1" si="13"/>
        <v>Excellent handling</v>
      </c>
      <c r="I319" t="str">
        <f t="shared" si="14"/>
        <v/>
      </c>
    </row>
    <row r="320" spans="1:9" x14ac:dyDescent="0.3">
      <c r="A320" s="10">
        <v>45660.509241620559</v>
      </c>
      <c r="B320" t="s">
        <v>35</v>
      </c>
      <c r="C320" t="s">
        <v>33</v>
      </c>
      <c r="D320" t="s">
        <v>67</v>
      </c>
      <c r="E320" s="10" t="s">
        <v>72</v>
      </c>
      <c r="F320" s="12">
        <v>51.81</v>
      </c>
      <c r="G320">
        <f t="shared" ca="1" si="12"/>
        <v>394.4907583794411</v>
      </c>
      <c r="H320" t="str">
        <f t="shared" ca="1" si="13"/>
        <v>Bad handling</v>
      </c>
      <c r="I320" t="str">
        <f t="shared" si="14"/>
        <v/>
      </c>
    </row>
    <row r="321" spans="1:9" x14ac:dyDescent="0.3">
      <c r="A321" s="10">
        <v>45630.256311563717</v>
      </c>
      <c r="B321" t="s">
        <v>35</v>
      </c>
      <c r="C321" t="s">
        <v>33</v>
      </c>
      <c r="D321" t="s">
        <v>67</v>
      </c>
      <c r="E321" s="10">
        <v>45633.228245034312</v>
      </c>
      <c r="F321" s="12">
        <v>827.94</v>
      </c>
      <c r="G321">
        <f t="shared" ca="1" si="12"/>
        <v>2.9719334705951042</v>
      </c>
      <c r="H321" t="str">
        <f t="shared" ca="1" si="13"/>
        <v/>
      </c>
      <c r="I321" t="str">
        <f t="shared" si="14"/>
        <v/>
      </c>
    </row>
    <row r="322" spans="1:9" x14ac:dyDescent="0.3">
      <c r="A322" s="10">
        <v>45634.19426182015</v>
      </c>
      <c r="B322" t="s">
        <v>25</v>
      </c>
      <c r="C322" t="s">
        <v>22</v>
      </c>
      <c r="D322" t="s">
        <v>60</v>
      </c>
      <c r="E322" s="10">
        <v>45639.391188575282</v>
      </c>
      <c r="F322" s="12">
        <v>100.33</v>
      </c>
      <c r="G322">
        <f t="shared" ref="G322:G385" ca="1" si="15">IF(ISTEXT(E322),TODAY(),E322)-A322</f>
        <v>5.1969267551321536</v>
      </c>
      <c r="H322" t="str">
        <f t="shared" ca="1" si="13"/>
        <v>Bad handling</v>
      </c>
      <c r="I322" t="str">
        <f t="shared" si="14"/>
        <v>Weekend sale</v>
      </c>
    </row>
    <row r="323" spans="1:9" x14ac:dyDescent="0.3">
      <c r="A323" s="10">
        <v>45694.270144380847</v>
      </c>
      <c r="B323" t="s">
        <v>39</v>
      </c>
      <c r="C323" t="s">
        <v>37</v>
      </c>
      <c r="D323" t="s">
        <v>65</v>
      </c>
      <c r="E323" s="10">
        <v>45695.878553239105</v>
      </c>
      <c r="F323" s="12">
        <v>492.08</v>
      </c>
      <c r="G323">
        <f t="shared" ca="1" si="15"/>
        <v>1.6084088582574623</v>
      </c>
      <c r="H323" t="str">
        <f t="shared" ref="H323:H386" ca="1" si="16">IF(G323*24&lt;=48,"Excellent handling",IF(G323*24&gt;=96,"Bad handling",""))</f>
        <v>Excellent handling</v>
      </c>
      <c r="I323" t="str">
        <f t="shared" ref="I323:I386" si="17">IF(OR(WEEKDAY(A323)=1,WEEKDAY(A323)=7),"Weekend sale","")</f>
        <v/>
      </c>
    </row>
    <row r="324" spans="1:9" x14ac:dyDescent="0.3">
      <c r="A324" s="10">
        <v>45639.699359262835</v>
      </c>
      <c r="B324" t="s">
        <v>32</v>
      </c>
      <c r="C324" t="s">
        <v>29</v>
      </c>
      <c r="D324" t="s">
        <v>68</v>
      </c>
      <c r="E324" s="10">
        <v>45641.895984326315</v>
      </c>
      <c r="F324" s="12">
        <v>575.61</v>
      </c>
      <c r="G324">
        <f t="shared" ca="1" si="15"/>
        <v>2.196625063479587</v>
      </c>
      <c r="H324" t="str">
        <f t="shared" ca="1" si="16"/>
        <v/>
      </c>
      <c r="I324" t="str">
        <f t="shared" si="17"/>
        <v/>
      </c>
    </row>
    <row r="325" spans="1:9" x14ac:dyDescent="0.3">
      <c r="A325" s="10">
        <v>45631.930400898636</v>
      </c>
      <c r="B325" t="s">
        <v>28</v>
      </c>
      <c r="C325" t="s">
        <v>22</v>
      </c>
      <c r="D325" t="s">
        <v>67</v>
      </c>
      <c r="E325" s="10">
        <v>45632.960384937658</v>
      </c>
      <c r="F325" s="12">
        <v>430.66</v>
      </c>
      <c r="G325">
        <f t="shared" ca="1" si="15"/>
        <v>1.0299840390216559</v>
      </c>
      <c r="H325" t="str">
        <f t="shared" ca="1" si="16"/>
        <v>Excellent handling</v>
      </c>
      <c r="I325" t="str">
        <f t="shared" si="17"/>
        <v/>
      </c>
    </row>
    <row r="326" spans="1:9" x14ac:dyDescent="0.3">
      <c r="A326" s="10">
        <v>45630.654073112004</v>
      </c>
      <c r="B326" t="s">
        <v>49</v>
      </c>
      <c r="C326" t="s">
        <v>48</v>
      </c>
      <c r="D326" t="s">
        <v>63</v>
      </c>
      <c r="E326" s="10">
        <v>45632.175917541113</v>
      </c>
      <c r="F326" s="12">
        <v>61.83</v>
      </c>
      <c r="G326">
        <f t="shared" ca="1" si="15"/>
        <v>1.5218444291094784</v>
      </c>
      <c r="H326" t="str">
        <f t="shared" ca="1" si="16"/>
        <v>Excellent handling</v>
      </c>
      <c r="I326" t="str">
        <f t="shared" si="17"/>
        <v/>
      </c>
    </row>
    <row r="327" spans="1:9" x14ac:dyDescent="0.3">
      <c r="A327" s="10">
        <v>45649.945252376288</v>
      </c>
      <c r="B327" t="s">
        <v>14</v>
      </c>
      <c r="C327" t="s">
        <v>9</v>
      </c>
      <c r="D327" t="s">
        <v>61</v>
      </c>
      <c r="E327" s="10">
        <v>45651.787333977751</v>
      </c>
      <c r="F327" s="12">
        <v>729.92</v>
      </c>
      <c r="G327">
        <f t="shared" ca="1" si="15"/>
        <v>1.8420816014622687</v>
      </c>
      <c r="H327" t="str">
        <f t="shared" ca="1" si="16"/>
        <v>Excellent handling</v>
      </c>
      <c r="I327" t="str">
        <f t="shared" si="17"/>
        <v/>
      </c>
    </row>
    <row r="328" spans="1:9" x14ac:dyDescent="0.3">
      <c r="A328" s="10">
        <v>45679.039825062675</v>
      </c>
      <c r="B328" t="s">
        <v>47</v>
      </c>
      <c r="C328" t="s">
        <v>45</v>
      </c>
      <c r="D328" t="s">
        <v>60</v>
      </c>
      <c r="E328" s="10">
        <v>45681.155599444915</v>
      </c>
      <c r="F328" s="12">
        <v>238.96</v>
      </c>
      <c r="G328">
        <f t="shared" ca="1" si="15"/>
        <v>2.1157743822404882</v>
      </c>
      <c r="H328" t="str">
        <f t="shared" ca="1" si="16"/>
        <v/>
      </c>
      <c r="I328" t="str">
        <f t="shared" si="17"/>
        <v/>
      </c>
    </row>
    <row r="329" spans="1:9" x14ac:dyDescent="0.3">
      <c r="A329" s="10">
        <v>45644.560621488301</v>
      </c>
      <c r="B329" t="s">
        <v>54</v>
      </c>
      <c r="C329" t="s">
        <v>52</v>
      </c>
      <c r="D329" t="s">
        <v>66</v>
      </c>
      <c r="E329" s="10">
        <v>45648.342832456212</v>
      </c>
      <c r="F329" s="12">
        <v>589.54999999999995</v>
      </c>
      <c r="G329">
        <f t="shared" ca="1" si="15"/>
        <v>3.7822109679109417</v>
      </c>
      <c r="H329" t="str">
        <f t="shared" ca="1" si="16"/>
        <v/>
      </c>
      <c r="I329" t="str">
        <f t="shared" si="17"/>
        <v/>
      </c>
    </row>
    <row r="330" spans="1:9" x14ac:dyDescent="0.3">
      <c r="A330" s="10">
        <v>45648.921579226801</v>
      </c>
      <c r="B330" t="s">
        <v>19</v>
      </c>
      <c r="C330" t="s">
        <v>15</v>
      </c>
      <c r="D330" t="s">
        <v>63</v>
      </c>
      <c r="E330" s="10">
        <v>45651.589341855266</v>
      </c>
      <c r="F330" s="12">
        <v>306.35000000000002</v>
      </c>
      <c r="G330">
        <f t="shared" ca="1" si="15"/>
        <v>2.6677626284654252</v>
      </c>
      <c r="H330" t="str">
        <f t="shared" ca="1" si="16"/>
        <v/>
      </c>
      <c r="I330" t="str">
        <f t="shared" si="17"/>
        <v>Weekend sale</v>
      </c>
    </row>
    <row r="331" spans="1:9" x14ac:dyDescent="0.3">
      <c r="A331" s="10">
        <v>45647.375159235184</v>
      </c>
      <c r="B331" t="s">
        <v>25</v>
      </c>
      <c r="C331" t="s">
        <v>22</v>
      </c>
      <c r="D331" t="s">
        <v>60</v>
      </c>
      <c r="E331" s="10" t="s">
        <v>74</v>
      </c>
      <c r="F331" s="12">
        <v>601.63</v>
      </c>
      <c r="G331">
        <f t="shared" ca="1" si="15"/>
        <v>407.62484076481633</v>
      </c>
      <c r="H331" t="str">
        <f t="shared" ca="1" si="16"/>
        <v>Bad handling</v>
      </c>
      <c r="I331" t="str">
        <f t="shared" si="17"/>
        <v>Weekend sale</v>
      </c>
    </row>
    <row r="332" spans="1:9" x14ac:dyDescent="0.3">
      <c r="A332" s="10">
        <v>45646.859851524037</v>
      </c>
      <c r="B332" t="s">
        <v>49</v>
      </c>
      <c r="C332" t="s">
        <v>48</v>
      </c>
      <c r="D332" t="s">
        <v>63</v>
      </c>
      <c r="E332" s="10">
        <v>45647.459014871056</v>
      </c>
      <c r="F332" s="12">
        <v>168.57</v>
      </c>
      <c r="G332">
        <f t="shared" ca="1" si="15"/>
        <v>0.59916334701847518</v>
      </c>
      <c r="H332" t="str">
        <f t="shared" ca="1" si="16"/>
        <v>Excellent handling</v>
      </c>
      <c r="I332" t="str">
        <f t="shared" si="17"/>
        <v/>
      </c>
    </row>
    <row r="333" spans="1:9" x14ac:dyDescent="0.3">
      <c r="A333" s="10">
        <v>45627.130299945158</v>
      </c>
      <c r="B333" t="s">
        <v>49</v>
      </c>
      <c r="C333" t="s">
        <v>48</v>
      </c>
      <c r="D333" t="s">
        <v>63</v>
      </c>
      <c r="E333" s="10">
        <v>45629.958882932515</v>
      </c>
      <c r="F333" s="12">
        <v>282.76</v>
      </c>
      <c r="G333">
        <f t="shared" ca="1" si="15"/>
        <v>2.8285829873566399</v>
      </c>
      <c r="H333" t="str">
        <f t="shared" ca="1" si="16"/>
        <v/>
      </c>
      <c r="I333" t="str">
        <f t="shared" si="17"/>
        <v>Weekend sale</v>
      </c>
    </row>
    <row r="334" spans="1:9" x14ac:dyDescent="0.3">
      <c r="A334" s="10">
        <v>45653.942081966015</v>
      </c>
      <c r="B334" t="s">
        <v>43</v>
      </c>
      <c r="C334" t="s">
        <v>42</v>
      </c>
      <c r="D334" t="s">
        <v>62</v>
      </c>
      <c r="E334" s="10">
        <v>45655.546691444186</v>
      </c>
      <c r="F334" s="12">
        <v>222.13</v>
      </c>
      <c r="G334">
        <f t="shared" ca="1" si="15"/>
        <v>1.6046094781704596</v>
      </c>
      <c r="H334" t="str">
        <f t="shared" ca="1" si="16"/>
        <v>Excellent handling</v>
      </c>
      <c r="I334" t="str">
        <f t="shared" si="17"/>
        <v/>
      </c>
    </row>
    <row r="335" spans="1:9" x14ac:dyDescent="0.3">
      <c r="A335" s="10">
        <v>45674.616608921366</v>
      </c>
      <c r="B335" t="s">
        <v>36</v>
      </c>
      <c r="C335" t="s">
        <v>33</v>
      </c>
      <c r="D335" t="s">
        <v>68</v>
      </c>
      <c r="E335" s="10">
        <v>45676.467646800833</v>
      </c>
      <c r="F335" s="12">
        <v>419.77</v>
      </c>
      <c r="G335">
        <f t="shared" ca="1" si="15"/>
        <v>1.8510378794671851</v>
      </c>
      <c r="H335" t="str">
        <f t="shared" ca="1" si="16"/>
        <v>Excellent handling</v>
      </c>
      <c r="I335" t="str">
        <f t="shared" si="17"/>
        <v/>
      </c>
    </row>
    <row r="336" spans="1:9" x14ac:dyDescent="0.3">
      <c r="A336" s="10">
        <v>45669.07666415436</v>
      </c>
      <c r="B336" t="s">
        <v>46</v>
      </c>
      <c r="C336" t="s">
        <v>45</v>
      </c>
      <c r="D336" t="s">
        <v>64</v>
      </c>
      <c r="E336" s="10">
        <v>45670.425797519427</v>
      </c>
      <c r="F336" s="12">
        <v>729.47</v>
      </c>
      <c r="G336">
        <f t="shared" ca="1" si="15"/>
        <v>1.3491333650672459</v>
      </c>
      <c r="H336" t="str">
        <f t="shared" ca="1" si="16"/>
        <v>Excellent handling</v>
      </c>
      <c r="I336" t="str">
        <f t="shared" si="17"/>
        <v>Weekend sale</v>
      </c>
    </row>
    <row r="337" spans="1:9" x14ac:dyDescent="0.3">
      <c r="A337" s="10">
        <v>45668.314184237424</v>
      </c>
      <c r="B337" t="s">
        <v>55</v>
      </c>
      <c r="C337" t="s">
        <v>52</v>
      </c>
      <c r="D337" t="s">
        <v>67</v>
      </c>
      <c r="E337" s="10">
        <v>45669.675093403501</v>
      </c>
      <c r="F337" s="12">
        <v>163.22999999999999</v>
      </c>
      <c r="G337">
        <f t="shared" ca="1" si="15"/>
        <v>1.3609091660764534</v>
      </c>
      <c r="H337" t="str">
        <f t="shared" ca="1" si="16"/>
        <v>Excellent handling</v>
      </c>
      <c r="I337" t="str">
        <f t="shared" si="17"/>
        <v>Weekend sale</v>
      </c>
    </row>
    <row r="338" spans="1:9" x14ac:dyDescent="0.3">
      <c r="A338" s="10">
        <v>45683.405594105192</v>
      </c>
      <c r="B338" t="s">
        <v>12</v>
      </c>
      <c r="C338" t="s">
        <v>9</v>
      </c>
      <c r="D338" t="s">
        <v>62</v>
      </c>
      <c r="E338" s="10">
        <v>45685.949107001237</v>
      </c>
      <c r="F338" s="12">
        <v>120.24</v>
      </c>
      <c r="G338">
        <f t="shared" ca="1" si="15"/>
        <v>2.5435128960452857</v>
      </c>
      <c r="H338" t="str">
        <f t="shared" ca="1" si="16"/>
        <v/>
      </c>
      <c r="I338" t="str">
        <f t="shared" si="17"/>
        <v>Weekend sale</v>
      </c>
    </row>
    <row r="339" spans="1:9" x14ac:dyDescent="0.3">
      <c r="A339" s="10">
        <v>45635.004616172831</v>
      </c>
      <c r="B339" t="s">
        <v>35</v>
      </c>
      <c r="C339" t="s">
        <v>33</v>
      </c>
      <c r="D339" t="s">
        <v>67</v>
      </c>
      <c r="E339" s="10" t="s">
        <v>73</v>
      </c>
      <c r="F339" s="12">
        <v>113.17</v>
      </c>
      <c r="G339">
        <f t="shared" ca="1" si="15"/>
        <v>419.99538382716855</v>
      </c>
      <c r="H339" t="str">
        <f t="shared" ca="1" si="16"/>
        <v>Bad handling</v>
      </c>
      <c r="I339" t="str">
        <f t="shared" si="17"/>
        <v/>
      </c>
    </row>
    <row r="340" spans="1:9" x14ac:dyDescent="0.3">
      <c r="A340" s="10">
        <v>45638.487207358114</v>
      </c>
      <c r="B340" t="s">
        <v>19</v>
      </c>
      <c r="C340" t="s">
        <v>15</v>
      </c>
      <c r="D340" t="s">
        <v>63</v>
      </c>
      <c r="E340" s="10">
        <v>45639.637333899533</v>
      </c>
      <c r="F340" s="12">
        <v>215.57</v>
      </c>
      <c r="G340">
        <f t="shared" ca="1" si="15"/>
        <v>1.1501265414190129</v>
      </c>
      <c r="H340" t="str">
        <f t="shared" ca="1" si="16"/>
        <v>Excellent handling</v>
      </c>
      <c r="I340" t="str">
        <f t="shared" si="17"/>
        <v/>
      </c>
    </row>
    <row r="341" spans="1:9" x14ac:dyDescent="0.3">
      <c r="A341" s="10">
        <v>45638.016840033961</v>
      </c>
      <c r="B341" t="s">
        <v>39</v>
      </c>
      <c r="C341" t="s">
        <v>37</v>
      </c>
      <c r="D341" t="s">
        <v>65</v>
      </c>
      <c r="E341" s="10">
        <v>45640.898681105944</v>
      </c>
      <c r="F341" s="12">
        <v>731.05</v>
      </c>
      <c r="G341">
        <f t="shared" ca="1" si="15"/>
        <v>2.8818410719832173</v>
      </c>
      <c r="H341" t="str">
        <f t="shared" ca="1" si="16"/>
        <v/>
      </c>
      <c r="I341" t="str">
        <f t="shared" si="17"/>
        <v/>
      </c>
    </row>
    <row r="342" spans="1:9" x14ac:dyDescent="0.3">
      <c r="A342" s="10">
        <v>45679.004809832804</v>
      </c>
      <c r="B342" t="s">
        <v>24</v>
      </c>
      <c r="C342" t="s">
        <v>22</v>
      </c>
      <c r="D342" t="s">
        <v>61</v>
      </c>
      <c r="E342" s="10">
        <v>45681.275815468958</v>
      </c>
      <c r="F342" s="12">
        <v>688.64</v>
      </c>
      <c r="G342">
        <f t="shared" ca="1" si="15"/>
        <v>2.2710056361538591</v>
      </c>
      <c r="H342" t="str">
        <f t="shared" ca="1" si="16"/>
        <v/>
      </c>
      <c r="I342" t="str">
        <f t="shared" si="17"/>
        <v/>
      </c>
    </row>
    <row r="343" spans="1:9" x14ac:dyDescent="0.3">
      <c r="A343" s="10">
        <v>45683.881573691433</v>
      </c>
      <c r="B343" t="s">
        <v>25</v>
      </c>
      <c r="C343" t="s">
        <v>22</v>
      </c>
      <c r="D343" t="s">
        <v>60</v>
      </c>
      <c r="E343" s="10">
        <v>45686.409716062954</v>
      </c>
      <c r="F343" s="12">
        <v>544.09</v>
      </c>
      <c r="G343">
        <f t="shared" ca="1" si="15"/>
        <v>2.5281423715205165</v>
      </c>
      <c r="H343" t="str">
        <f t="shared" ca="1" si="16"/>
        <v/>
      </c>
      <c r="I343" t="str">
        <f t="shared" si="17"/>
        <v>Weekend sale</v>
      </c>
    </row>
    <row r="344" spans="1:9" x14ac:dyDescent="0.3">
      <c r="A344" s="10">
        <v>45649.493444131411</v>
      </c>
      <c r="B344" t="s">
        <v>47</v>
      </c>
      <c r="C344" t="s">
        <v>45</v>
      </c>
      <c r="D344" t="s">
        <v>60</v>
      </c>
      <c r="E344" s="10">
        <v>45649.745055884247</v>
      </c>
      <c r="F344" s="12">
        <v>158.71</v>
      </c>
      <c r="G344">
        <f t="shared" ca="1" si="15"/>
        <v>0.25161175283574266</v>
      </c>
      <c r="H344" t="str">
        <f t="shared" ca="1" si="16"/>
        <v>Excellent handling</v>
      </c>
      <c r="I344" t="str">
        <f t="shared" si="17"/>
        <v/>
      </c>
    </row>
    <row r="345" spans="1:9" x14ac:dyDescent="0.3">
      <c r="A345" s="10">
        <v>45643.134712607643</v>
      </c>
      <c r="B345" t="s">
        <v>47</v>
      </c>
      <c r="C345" t="s">
        <v>45</v>
      </c>
      <c r="D345" t="s">
        <v>60</v>
      </c>
      <c r="E345" s="10" t="s">
        <v>74</v>
      </c>
      <c r="F345" s="12">
        <v>496.75</v>
      </c>
      <c r="G345">
        <f t="shared" ca="1" si="15"/>
        <v>411.86528739235655</v>
      </c>
      <c r="H345" t="str">
        <f t="shared" ca="1" si="16"/>
        <v>Bad handling</v>
      </c>
      <c r="I345" t="str">
        <f t="shared" si="17"/>
        <v/>
      </c>
    </row>
    <row r="346" spans="1:9" x14ac:dyDescent="0.3">
      <c r="A346" s="10">
        <v>45677.496026602312</v>
      </c>
      <c r="B346" t="s">
        <v>34</v>
      </c>
      <c r="C346" t="s">
        <v>33</v>
      </c>
      <c r="D346" t="s">
        <v>62</v>
      </c>
      <c r="E346" s="10">
        <v>45679.604095634822</v>
      </c>
      <c r="F346" s="12">
        <v>596.54</v>
      </c>
      <c r="G346">
        <f t="shared" ca="1" si="15"/>
        <v>2.1080690325106843</v>
      </c>
      <c r="H346" t="str">
        <f t="shared" ca="1" si="16"/>
        <v/>
      </c>
      <c r="I346" t="str">
        <f t="shared" si="17"/>
        <v/>
      </c>
    </row>
    <row r="347" spans="1:9" x14ac:dyDescent="0.3">
      <c r="A347" s="10">
        <v>45682.235805503726</v>
      </c>
      <c r="B347" t="s">
        <v>23</v>
      </c>
      <c r="C347" t="s">
        <v>22</v>
      </c>
      <c r="D347" t="s">
        <v>67</v>
      </c>
      <c r="E347" s="10">
        <v>45687.286477769594</v>
      </c>
      <c r="F347" s="12">
        <v>202.15</v>
      </c>
      <c r="G347">
        <f t="shared" ca="1" si="15"/>
        <v>5.0506722658683429</v>
      </c>
      <c r="H347" t="str">
        <f t="shared" ca="1" si="16"/>
        <v>Bad handling</v>
      </c>
      <c r="I347" t="str">
        <f t="shared" si="17"/>
        <v>Weekend sale</v>
      </c>
    </row>
    <row r="348" spans="1:9" x14ac:dyDescent="0.3">
      <c r="A348" s="10">
        <v>45649.353428003757</v>
      </c>
      <c r="B348" t="s">
        <v>12</v>
      </c>
      <c r="C348" t="s">
        <v>9</v>
      </c>
      <c r="D348" t="s">
        <v>62</v>
      </c>
      <c r="E348" s="10">
        <v>45651.907976874762</v>
      </c>
      <c r="F348" s="12">
        <v>375.53</v>
      </c>
      <c r="G348">
        <f t="shared" ca="1" si="15"/>
        <v>2.554548871004954</v>
      </c>
      <c r="H348" t="str">
        <f t="shared" ca="1" si="16"/>
        <v/>
      </c>
      <c r="I348" t="str">
        <f t="shared" si="17"/>
        <v/>
      </c>
    </row>
    <row r="349" spans="1:9" x14ac:dyDescent="0.3">
      <c r="A349" s="10">
        <v>45638.193004926165</v>
      </c>
      <c r="B349" t="s">
        <v>23</v>
      </c>
      <c r="C349" t="s">
        <v>22</v>
      </c>
      <c r="D349" t="s">
        <v>67</v>
      </c>
      <c r="E349" s="10">
        <v>45639.552864487116</v>
      </c>
      <c r="F349" s="12">
        <v>415.11</v>
      </c>
      <c r="G349">
        <f t="shared" ca="1" si="15"/>
        <v>1.3598595609510085</v>
      </c>
      <c r="H349" t="str">
        <f t="shared" ca="1" si="16"/>
        <v>Excellent handling</v>
      </c>
      <c r="I349" t="str">
        <f t="shared" si="17"/>
        <v/>
      </c>
    </row>
    <row r="350" spans="1:9" x14ac:dyDescent="0.3">
      <c r="A350" s="10">
        <v>45665.990083063065</v>
      </c>
      <c r="B350" t="s">
        <v>26</v>
      </c>
      <c r="C350" t="s">
        <v>22</v>
      </c>
      <c r="D350" t="s">
        <v>65</v>
      </c>
      <c r="E350" s="10">
        <v>45668.63383168156</v>
      </c>
      <c r="F350" s="12">
        <v>568.96</v>
      </c>
      <c r="G350">
        <f t="shared" ca="1" si="15"/>
        <v>2.6437486184950103</v>
      </c>
      <c r="H350" t="str">
        <f t="shared" ca="1" si="16"/>
        <v/>
      </c>
      <c r="I350" t="str">
        <f t="shared" si="17"/>
        <v/>
      </c>
    </row>
    <row r="351" spans="1:9" x14ac:dyDescent="0.3">
      <c r="A351" s="10">
        <v>45691.777930565484</v>
      </c>
      <c r="B351" t="s">
        <v>35</v>
      </c>
      <c r="C351" t="s">
        <v>33</v>
      </c>
      <c r="D351" t="s">
        <v>67</v>
      </c>
      <c r="E351" s="10">
        <v>45696.655312426112</v>
      </c>
      <c r="F351" s="12">
        <v>840.63</v>
      </c>
      <c r="G351">
        <f t="shared" ca="1" si="15"/>
        <v>4.8773818606277928</v>
      </c>
      <c r="H351" t="str">
        <f t="shared" ca="1" si="16"/>
        <v>Bad handling</v>
      </c>
      <c r="I351" t="str">
        <f t="shared" si="17"/>
        <v/>
      </c>
    </row>
    <row r="352" spans="1:9" x14ac:dyDescent="0.3">
      <c r="A352" s="10">
        <v>45631.79775783189</v>
      </c>
      <c r="B352" t="s">
        <v>23</v>
      </c>
      <c r="C352" t="s">
        <v>22</v>
      </c>
      <c r="D352" t="s">
        <v>67</v>
      </c>
      <c r="E352" s="10">
        <v>45631.955198675256</v>
      </c>
      <c r="F352" s="12">
        <v>720.81</v>
      </c>
      <c r="G352">
        <f t="shared" ca="1" si="15"/>
        <v>0.1574408433662029</v>
      </c>
      <c r="H352" t="str">
        <f t="shared" ca="1" si="16"/>
        <v>Excellent handling</v>
      </c>
      <c r="I352" t="str">
        <f t="shared" si="17"/>
        <v/>
      </c>
    </row>
    <row r="353" spans="1:9" x14ac:dyDescent="0.3">
      <c r="A353" s="10">
        <v>45640.524975777858</v>
      </c>
      <c r="B353" t="s">
        <v>34</v>
      </c>
      <c r="C353" t="s">
        <v>33</v>
      </c>
      <c r="D353" t="s">
        <v>62</v>
      </c>
      <c r="E353" s="10">
        <v>45643.7841512753</v>
      </c>
      <c r="F353" s="12">
        <v>622.49</v>
      </c>
      <c r="G353">
        <f t="shared" ca="1" si="15"/>
        <v>3.2591754974419018</v>
      </c>
      <c r="H353" t="str">
        <f t="shared" ca="1" si="16"/>
        <v/>
      </c>
      <c r="I353" t="str">
        <f t="shared" si="17"/>
        <v>Weekend sale</v>
      </c>
    </row>
    <row r="354" spans="1:9" x14ac:dyDescent="0.3">
      <c r="A354" s="10">
        <v>45662.95840711597</v>
      </c>
      <c r="B354" t="s">
        <v>26</v>
      </c>
      <c r="C354" t="s">
        <v>22</v>
      </c>
      <c r="D354" t="s">
        <v>65</v>
      </c>
      <c r="E354" s="10">
        <v>45664.845864749099</v>
      </c>
      <c r="F354" s="12">
        <v>432.89</v>
      </c>
      <c r="G354">
        <f t="shared" ca="1" si="15"/>
        <v>1.8874576331290882</v>
      </c>
      <c r="H354" t="str">
        <f t="shared" ca="1" si="16"/>
        <v>Excellent handling</v>
      </c>
      <c r="I354" t="str">
        <f t="shared" si="17"/>
        <v>Weekend sale</v>
      </c>
    </row>
    <row r="355" spans="1:9" x14ac:dyDescent="0.3">
      <c r="A355" s="10">
        <v>45679.702681084476</v>
      </c>
      <c r="B355" t="s">
        <v>25</v>
      </c>
      <c r="C355" t="s">
        <v>22</v>
      </c>
      <c r="D355" t="s">
        <v>60</v>
      </c>
      <c r="E355" s="10">
        <v>45682.017873656972</v>
      </c>
      <c r="F355" s="12">
        <v>158.19999999999999</v>
      </c>
      <c r="G355">
        <f t="shared" ca="1" si="15"/>
        <v>2.3151925724960165</v>
      </c>
      <c r="H355" t="str">
        <f t="shared" ca="1" si="16"/>
        <v/>
      </c>
      <c r="I355" t="str">
        <f t="shared" si="17"/>
        <v/>
      </c>
    </row>
    <row r="356" spans="1:9" x14ac:dyDescent="0.3">
      <c r="A356" s="10">
        <v>45681.217600042881</v>
      </c>
      <c r="B356" t="s">
        <v>18</v>
      </c>
      <c r="C356" t="s">
        <v>15</v>
      </c>
      <c r="D356" t="s">
        <v>64</v>
      </c>
      <c r="E356" s="10">
        <v>45684.720238661488</v>
      </c>
      <c r="F356" s="12">
        <v>456.84</v>
      </c>
      <c r="G356">
        <f t="shared" ca="1" si="15"/>
        <v>3.5026386186073069</v>
      </c>
      <c r="H356" t="str">
        <f t="shared" ca="1" si="16"/>
        <v/>
      </c>
      <c r="I356" t="str">
        <f t="shared" si="17"/>
        <v/>
      </c>
    </row>
    <row r="357" spans="1:9" x14ac:dyDescent="0.3">
      <c r="A357" s="10">
        <v>45673.114673510056</v>
      </c>
      <c r="B357" t="s">
        <v>54</v>
      </c>
      <c r="C357" t="s">
        <v>52</v>
      </c>
      <c r="D357" t="s">
        <v>66</v>
      </c>
      <c r="E357" s="10">
        <v>45673.215709402881</v>
      </c>
      <c r="F357" s="12">
        <v>505.13</v>
      </c>
      <c r="G357">
        <f t="shared" ca="1" si="15"/>
        <v>0.10103589282516623</v>
      </c>
      <c r="H357" t="str">
        <f t="shared" ca="1" si="16"/>
        <v>Excellent handling</v>
      </c>
      <c r="I357" t="str">
        <f t="shared" si="17"/>
        <v/>
      </c>
    </row>
    <row r="358" spans="1:9" x14ac:dyDescent="0.3">
      <c r="A358" s="10">
        <v>45653.808677221605</v>
      </c>
      <c r="B358" t="s">
        <v>32</v>
      </c>
      <c r="C358" t="s">
        <v>29</v>
      </c>
      <c r="D358" t="s">
        <v>68</v>
      </c>
      <c r="E358" s="10">
        <v>45656.223063757665</v>
      </c>
      <c r="F358" s="12">
        <v>231.18</v>
      </c>
      <c r="G358">
        <f t="shared" ca="1" si="15"/>
        <v>2.4143865360601922</v>
      </c>
      <c r="H358" t="str">
        <f t="shared" ca="1" si="16"/>
        <v/>
      </c>
      <c r="I358" t="str">
        <f t="shared" si="17"/>
        <v/>
      </c>
    </row>
    <row r="359" spans="1:9" x14ac:dyDescent="0.3">
      <c r="A359" s="10">
        <v>45654.365377940194</v>
      </c>
      <c r="B359" t="s">
        <v>10</v>
      </c>
      <c r="C359" t="s">
        <v>9</v>
      </c>
      <c r="D359" t="s">
        <v>61</v>
      </c>
      <c r="E359" s="10">
        <v>45657.071842909398</v>
      </c>
      <c r="F359" s="12">
        <v>162.08000000000001</v>
      </c>
      <c r="G359">
        <f t="shared" ca="1" si="15"/>
        <v>2.7064649692038074</v>
      </c>
      <c r="H359" t="str">
        <f t="shared" ca="1" si="16"/>
        <v/>
      </c>
      <c r="I359" t="str">
        <f t="shared" si="17"/>
        <v>Weekend sale</v>
      </c>
    </row>
    <row r="360" spans="1:9" x14ac:dyDescent="0.3">
      <c r="A360" s="10">
        <v>45663.926536006009</v>
      </c>
      <c r="B360" t="s">
        <v>53</v>
      </c>
      <c r="C360" t="s">
        <v>52</v>
      </c>
      <c r="D360" t="s">
        <v>66</v>
      </c>
      <c r="E360" s="10">
        <v>45666.977169515463</v>
      </c>
      <c r="F360" s="12">
        <v>526.4</v>
      </c>
      <c r="G360">
        <f t="shared" ca="1" si="15"/>
        <v>3.050633509454201</v>
      </c>
      <c r="H360" t="str">
        <f t="shared" ca="1" si="16"/>
        <v/>
      </c>
      <c r="I360" t="str">
        <f t="shared" si="17"/>
        <v/>
      </c>
    </row>
    <row r="361" spans="1:9" x14ac:dyDescent="0.3">
      <c r="A361" s="10">
        <v>45684.769217756126</v>
      </c>
      <c r="B361" t="s">
        <v>14</v>
      </c>
      <c r="C361" t="s">
        <v>9</v>
      </c>
      <c r="D361" t="s">
        <v>61</v>
      </c>
      <c r="E361" s="10">
        <v>45686.150671831558</v>
      </c>
      <c r="F361" s="12">
        <v>334.77</v>
      </c>
      <c r="G361">
        <f t="shared" ca="1" si="15"/>
        <v>1.3814540754319751</v>
      </c>
      <c r="H361" t="str">
        <f t="shared" ca="1" si="16"/>
        <v>Excellent handling</v>
      </c>
      <c r="I361" t="str">
        <f t="shared" si="17"/>
        <v/>
      </c>
    </row>
    <row r="362" spans="1:9" x14ac:dyDescent="0.3">
      <c r="A362" s="10">
        <v>45663.884606295956</v>
      </c>
      <c r="B362" t="s">
        <v>35</v>
      </c>
      <c r="C362" t="s">
        <v>33</v>
      </c>
      <c r="D362" t="s">
        <v>67</v>
      </c>
      <c r="E362" s="10">
        <v>45665.447009309602</v>
      </c>
      <c r="F362" s="12">
        <v>559.41</v>
      </c>
      <c r="G362">
        <f t="shared" ca="1" si="15"/>
        <v>1.5624030136459623</v>
      </c>
      <c r="H362" t="str">
        <f t="shared" ca="1" si="16"/>
        <v>Excellent handling</v>
      </c>
      <c r="I362" t="str">
        <f t="shared" si="17"/>
        <v/>
      </c>
    </row>
    <row r="363" spans="1:9" x14ac:dyDescent="0.3">
      <c r="A363" s="10">
        <v>45651.090966176052</v>
      </c>
      <c r="B363" t="s">
        <v>25</v>
      </c>
      <c r="C363" t="s">
        <v>22</v>
      </c>
      <c r="D363" t="s">
        <v>60</v>
      </c>
      <c r="E363" s="10">
        <v>45654.656729699673</v>
      </c>
      <c r="F363" s="12">
        <v>813.01</v>
      </c>
      <c r="G363">
        <f t="shared" ca="1" si="15"/>
        <v>3.5657635236202623</v>
      </c>
      <c r="H363" t="str">
        <f t="shared" ca="1" si="16"/>
        <v/>
      </c>
      <c r="I363" t="str">
        <f t="shared" si="17"/>
        <v/>
      </c>
    </row>
    <row r="364" spans="1:9" x14ac:dyDescent="0.3">
      <c r="A364" s="10">
        <v>45664.590826520907</v>
      </c>
      <c r="B364" t="s">
        <v>55</v>
      </c>
      <c r="C364" t="s">
        <v>52</v>
      </c>
      <c r="D364" t="s">
        <v>67</v>
      </c>
      <c r="E364" s="10" t="s">
        <v>72</v>
      </c>
      <c r="F364" s="12">
        <v>177.92</v>
      </c>
      <c r="G364">
        <f t="shared" ca="1" si="15"/>
        <v>390.40917347909271</v>
      </c>
      <c r="H364" t="str">
        <f t="shared" ca="1" si="16"/>
        <v>Bad handling</v>
      </c>
      <c r="I364" t="str">
        <f t="shared" si="17"/>
        <v/>
      </c>
    </row>
    <row r="365" spans="1:9" x14ac:dyDescent="0.3">
      <c r="A365" s="10">
        <v>45681.966053877368</v>
      </c>
      <c r="B365" t="s">
        <v>30</v>
      </c>
      <c r="C365" t="s">
        <v>29</v>
      </c>
      <c r="D365" t="s">
        <v>68</v>
      </c>
      <c r="E365" s="10">
        <v>45682.891846612067</v>
      </c>
      <c r="F365" s="12">
        <v>509.77</v>
      </c>
      <c r="G365">
        <f t="shared" ca="1" si="15"/>
        <v>0.92579273469891632</v>
      </c>
      <c r="H365" t="str">
        <f t="shared" ca="1" si="16"/>
        <v>Excellent handling</v>
      </c>
      <c r="I365" t="str">
        <f t="shared" si="17"/>
        <v/>
      </c>
    </row>
    <row r="366" spans="1:9" x14ac:dyDescent="0.3">
      <c r="A366" s="10">
        <v>45674.426927380337</v>
      </c>
      <c r="B366" t="s">
        <v>25</v>
      </c>
      <c r="C366" t="s">
        <v>22</v>
      </c>
      <c r="D366" t="s">
        <v>60</v>
      </c>
      <c r="E366" s="10">
        <v>45676.371399977681</v>
      </c>
      <c r="F366" s="12">
        <v>435.87</v>
      </c>
      <c r="G366">
        <f t="shared" ca="1" si="15"/>
        <v>1.9444725973444292</v>
      </c>
      <c r="H366" t="str">
        <f t="shared" ca="1" si="16"/>
        <v>Excellent handling</v>
      </c>
      <c r="I366" t="str">
        <f t="shared" si="17"/>
        <v/>
      </c>
    </row>
    <row r="367" spans="1:9" x14ac:dyDescent="0.3">
      <c r="A367" s="10">
        <v>45673.382654974092</v>
      </c>
      <c r="B367" t="s">
        <v>21</v>
      </c>
      <c r="C367" t="s">
        <v>15</v>
      </c>
      <c r="D367" t="s">
        <v>61</v>
      </c>
      <c r="E367" s="10">
        <v>45675.303602178828</v>
      </c>
      <c r="F367" s="12">
        <v>660.39</v>
      </c>
      <c r="G367">
        <f t="shared" ca="1" si="15"/>
        <v>1.9209472047368763</v>
      </c>
      <c r="H367" t="str">
        <f t="shared" ca="1" si="16"/>
        <v>Excellent handling</v>
      </c>
      <c r="I367" t="str">
        <f t="shared" si="17"/>
        <v/>
      </c>
    </row>
    <row r="368" spans="1:9" x14ac:dyDescent="0.3">
      <c r="A368" s="10">
        <v>45668.191197172026</v>
      </c>
      <c r="B368" t="s">
        <v>25</v>
      </c>
      <c r="C368" t="s">
        <v>22</v>
      </c>
      <c r="D368" t="s">
        <v>60</v>
      </c>
      <c r="E368" s="10">
        <v>45672.111337655224</v>
      </c>
      <c r="F368" s="12">
        <v>686.5</v>
      </c>
      <c r="G368">
        <f t="shared" ca="1" si="15"/>
        <v>3.9201404831983382</v>
      </c>
      <c r="H368" t="str">
        <f t="shared" ca="1" si="16"/>
        <v/>
      </c>
      <c r="I368" t="str">
        <f t="shared" si="17"/>
        <v>Weekend sale</v>
      </c>
    </row>
    <row r="369" spans="1:9" x14ac:dyDescent="0.3">
      <c r="A369" s="10">
        <v>45628.784652294373</v>
      </c>
      <c r="B369" t="s">
        <v>12</v>
      </c>
      <c r="C369" t="s">
        <v>9</v>
      </c>
      <c r="D369" t="s">
        <v>62</v>
      </c>
      <c r="E369" s="10">
        <v>45630.786335595585</v>
      </c>
      <c r="F369" s="12">
        <v>595.25</v>
      </c>
      <c r="G369">
        <f t="shared" ca="1" si="15"/>
        <v>2.0016833012123243</v>
      </c>
      <c r="H369" t="str">
        <f t="shared" ca="1" si="16"/>
        <v/>
      </c>
      <c r="I369" t="str">
        <f t="shared" si="17"/>
        <v/>
      </c>
    </row>
    <row r="370" spans="1:9" x14ac:dyDescent="0.3">
      <c r="A370" s="10">
        <v>45664.216501990006</v>
      </c>
      <c r="B370" t="s">
        <v>56</v>
      </c>
      <c r="C370" t="s">
        <v>52</v>
      </c>
      <c r="D370" t="s">
        <v>67</v>
      </c>
      <c r="E370" s="10">
        <v>45664.512156202269</v>
      </c>
      <c r="F370" s="12">
        <v>730.03</v>
      </c>
      <c r="G370">
        <f t="shared" ca="1" si="15"/>
        <v>0.2956542122628889</v>
      </c>
      <c r="H370" t="str">
        <f t="shared" ca="1" si="16"/>
        <v>Excellent handling</v>
      </c>
      <c r="I370" t="str">
        <f t="shared" si="17"/>
        <v/>
      </c>
    </row>
    <row r="371" spans="1:9" x14ac:dyDescent="0.3">
      <c r="A371" s="10">
        <v>45632.031940656387</v>
      </c>
      <c r="B371" t="s">
        <v>35</v>
      </c>
      <c r="C371" t="s">
        <v>33</v>
      </c>
      <c r="D371" t="s">
        <v>67</v>
      </c>
      <c r="E371" s="10">
        <v>45634.292388311864</v>
      </c>
      <c r="F371" s="12">
        <v>498.09</v>
      </c>
      <c r="G371">
        <f t="shared" ca="1" si="15"/>
        <v>2.2604476554770372</v>
      </c>
      <c r="H371" t="str">
        <f t="shared" ca="1" si="16"/>
        <v/>
      </c>
      <c r="I371" t="str">
        <f t="shared" si="17"/>
        <v/>
      </c>
    </row>
    <row r="372" spans="1:9" x14ac:dyDescent="0.3">
      <c r="A372" s="10">
        <v>45693.119903839353</v>
      </c>
      <c r="B372" t="s">
        <v>11</v>
      </c>
      <c r="C372" t="s">
        <v>9</v>
      </c>
      <c r="D372" t="s">
        <v>67</v>
      </c>
      <c r="E372" s="10">
        <v>45696.762999975341</v>
      </c>
      <c r="F372" s="12">
        <v>358.04</v>
      </c>
      <c r="G372">
        <f t="shared" ca="1" si="15"/>
        <v>3.6430961359874345</v>
      </c>
      <c r="H372" t="str">
        <f t="shared" ca="1" si="16"/>
        <v/>
      </c>
      <c r="I372" t="str">
        <f t="shared" si="17"/>
        <v/>
      </c>
    </row>
    <row r="373" spans="1:9" x14ac:dyDescent="0.3">
      <c r="A373" s="10">
        <v>45673.205140910177</v>
      </c>
      <c r="B373" t="s">
        <v>14</v>
      </c>
      <c r="C373" t="s">
        <v>9</v>
      </c>
      <c r="D373" t="s">
        <v>61</v>
      </c>
      <c r="E373" s="10" t="s">
        <v>73</v>
      </c>
      <c r="F373" s="12">
        <v>584.29999999999995</v>
      </c>
      <c r="G373">
        <f t="shared" ca="1" si="15"/>
        <v>381.79485908982315</v>
      </c>
      <c r="H373" t="str">
        <f t="shared" ca="1" si="16"/>
        <v>Bad handling</v>
      </c>
      <c r="I373" t="str">
        <f t="shared" si="17"/>
        <v/>
      </c>
    </row>
    <row r="374" spans="1:9" x14ac:dyDescent="0.3">
      <c r="A374" s="10">
        <v>45654.516526839339</v>
      </c>
      <c r="B374" t="s">
        <v>53</v>
      </c>
      <c r="C374" t="s">
        <v>52</v>
      </c>
      <c r="D374" t="s">
        <v>66</v>
      </c>
      <c r="E374" s="10">
        <v>45656.057123735591</v>
      </c>
      <c r="F374" s="12">
        <v>35.71</v>
      </c>
      <c r="G374">
        <f t="shared" ca="1" si="15"/>
        <v>1.5405968962513725</v>
      </c>
      <c r="H374" t="str">
        <f t="shared" ca="1" si="16"/>
        <v>Excellent handling</v>
      </c>
      <c r="I374" t="str">
        <f t="shared" si="17"/>
        <v>Weekend sale</v>
      </c>
    </row>
    <row r="375" spans="1:9" x14ac:dyDescent="0.3">
      <c r="A375" s="10">
        <v>45629.75743398277</v>
      </c>
      <c r="B375" t="s">
        <v>51</v>
      </c>
      <c r="C375" t="s">
        <v>48</v>
      </c>
      <c r="D375" t="s">
        <v>69</v>
      </c>
      <c r="E375" s="10">
        <v>45629.861662062212</v>
      </c>
      <c r="F375" s="12">
        <v>180.84</v>
      </c>
      <c r="G375">
        <f t="shared" ca="1" si="15"/>
        <v>0.10422807944269152</v>
      </c>
      <c r="H375" t="str">
        <f t="shared" ca="1" si="16"/>
        <v>Excellent handling</v>
      </c>
      <c r="I375" t="str">
        <f t="shared" si="17"/>
        <v/>
      </c>
    </row>
    <row r="376" spans="1:9" x14ac:dyDescent="0.3">
      <c r="A376" s="10">
        <v>45674.716332767319</v>
      </c>
      <c r="B376" t="s">
        <v>24</v>
      </c>
      <c r="C376" t="s">
        <v>22</v>
      </c>
      <c r="D376" t="s">
        <v>61</v>
      </c>
      <c r="E376" s="10">
        <v>45676.988687747777</v>
      </c>
      <c r="F376" s="12">
        <v>528.84</v>
      </c>
      <c r="G376">
        <f t="shared" ca="1" si="15"/>
        <v>2.2723549804577488</v>
      </c>
      <c r="H376" t="str">
        <f t="shared" ca="1" si="16"/>
        <v/>
      </c>
      <c r="I376" t="str">
        <f t="shared" si="17"/>
        <v/>
      </c>
    </row>
    <row r="377" spans="1:9" x14ac:dyDescent="0.3">
      <c r="A377" s="10">
        <v>45686.484569731532</v>
      </c>
      <c r="B377" t="s">
        <v>11</v>
      </c>
      <c r="C377" t="s">
        <v>9</v>
      </c>
      <c r="D377" t="s">
        <v>67</v>
      </c>
      <c r="E377" s="10">
        <v>45689.153257811828</v>
      </c>
      <c r="F377" s="12">
        <v>97.25</v>
      </c>
      <c r="G377">
        <f t="shared" ca="1" si="15"/>
        <v>2.6686880802953965</v>
      </c>
      <c r="H377" t="str">
        <f t="shared" ca="1" si="16"/>
        <v/>
      </c>
      <c r="I377" t="str">
        <f t="shared" si="17"/>
        <v/>
      </c>
    </row>
    <row r="378" spans="1:9" x14ac:dyDescent="0.3">
      <c r="A378" s="10">
        <v>45642.134348631138</v>
      </c>
      <c r="B378" t="s">
        <v>16</v>
      </c>
      <c r="C378" t="s">
        <v>15</v>
      </c>
      <c r="D378" t="s">
        <v>61</v>
      </c>
      <c r="E378" s="10">
        <v>45645.030415052352</v>
      </c>
      <c r="F378" s="12">
        <v>336.86</v>
      </c>
      <c r="G378">
        <f t="shared" ca="1" si="15"/>
        <v>2.896066421213618</v>
      </c>
      <c r="H378" t="str">
        <f t="shared" ca="1" si="16"/>
        <v/>
      </c>
      <c r="I378" t="str">
        <f t="shared" si="17"/>
        <v/>
      </c>
    </row>
    <row r="379" spans="1:9" x14ac:dyDescent="0.3">
      <c r="A379" s="10">
        <v>45668.580453638788</v>
      </c>
      <c r="B379" t="s">
        <v>56</v>
      </c>
      <c r="C379" t="s">
        <v>52</v>
      </c>
      <c r="D379" t="s">
        <v>67</v>
      </c>
      <c r="E379" s="10">
        <v>45670.828224259327</v>
      </c>
      <c r="F379" s="12">
        <v>355.44</v>
      </c>
      <c r="G379">
        <f t="shared" ca="1" si="15"/>
        <v>2.2477706205390859</v>
      </c>
      <c r="H379" t="str">
        <f t="shared" ca="1" si="16"/>
        <v/>
      </c>
      <c r="I379" t="str">
        <f t="shared" si="17"/>
        <v>Weekend sale</v>
      </c>
    </row>
    <row r="380" spans="1:9" x14ac:dyDescent="0.3">
      <c r="A380" s="10">
        <v>45663.716410085784</v>
      </c>
      <c r="B380" t="s">
        <v>10</v>
      </c>
      <c r="C380" t="s">
        <v>9</v>
      </c>
      <c r="D380" t="s">
        <v>61</v>
      </c>
      <c r="E380" s="10">
        <v>45666.95437874995</v>
      </c>
      <c r="F380" s="12">
        <v>329.33</v>
      </c>
      <c r="G380">
        <f t="shared" ca="1" si="15"/>
        <v>3.237968664165237</v>
      </c>
      <c r="H380" t="str">
        <f t="shared" ca="1" si="16"/>
        <v/>
      </c>
      <c r="I380" t="str">
        <f t="shared" si="17"/>
        <v/>
      </c>
    </row>
    <row r="381" spans="1:9" x14ac:dyDescent="0.3">
      <c r="A381" s="10">
        <v>45681.309501933203</v>
      </c>
      <c r="B381" t="s">
        <v>40</v>
      </c>
      <c r="C381" t="s">
        <v>37</v>
      </c>
      <c r="D381" t="s">
        <v>66</v>
      </c>
      <c r="E381" s="10">
        <v>45685.014238885458</v>
      </c>
      <c r="F381" s="12">
        <v>377.37</v>
      </c>
      <c r="G381">
        <f t="shared" ca="1" si="15"/>
        <v>3.704736952255189</v>
      </c>
      <c r="H381" t="str">
        <f t="shared" ca="1" si="16"/>
        <v/>
      </c>
      <c r="I381" t="str">
        <f t="shared" si="17"/>
        <v/>
      </c>
    </row>
    <row r="382" spans="1:9" x14ac:dyDescent="0.3">
      <c r="A382" s="10">
        <v>45658.066019237718</v>
      </c>
      <c r="B382" t="s">
        <v>26</v>
      </c>
      <c r="C382" t="s">
        <v>22</v>
      </c>
      <c r="D382" t="s">
        <v>65</v>
      </c>
      <c r="E382" s="10">
        <v>45662.265532848745</v>
      </c>
      <c r="F382" s="12">
        <v>717.75</v>
      </c>
      <c r="G382">
        <f t="shared" ca="1" si="15"/>
        <v>4.1995136110272142</v>
      </c>
      <c r="H382" t="str">
        <f t="shared" ca="1" si="16"/>
        <v>Bad handling</v>
      </c>
      <c r="I382" t="str">
        <f t="shared" si="17"/>
        <v/>
      </c>
    </row>
    <row r="383" spans="1:9" x14ac:dyDescent="0.3">
      <c r="A383" s="10">
        <v>45649.93098386054</v>
      </c>
      <c r="B383" t="s">
        <v>21</v>
      </c>
      <c r="C383" t="s">
        <v>15</v>
      </c>
      <c r="D383" t="s">
        <v>61</v>
      </c>
      <c r="E383" s="10">
        <v>45652.187833087068</v>
      </c>
      <c r="F383" s="12">
        <v>844.36</v>
      </c>
      <c r="G383">
        <f t="shared" ca="1" si="15"/>
        <v>2.2568492265272653</v>
      </c>
      <c r="H383" t="str">
        <f t="shared" ca="1" si="16"/>
        <v/>
      </c>
      <c r="I383" t="str">
        <f t="shared" si="17"/>
        <v/>
      </c>
    </row>
    <row r="384" spans="1:9" x14ac:dyDescent="0.3">
      <c r="A384" s="10">
        <v>45645.241823703094</v>
      </c>
      <c r="B384" t="s">
        <v>31</v>
      </c>
      <c r="C384" t="s">
        <v>29</v>
      </c>
      <c r="D384" t="s">
        <v>61</v>
      </c>
      <c r="E384" s="10">
        <v>45647.901714610387</v>
      </c>
      <c r="F384" s="12">
        <v>613.35</v>
      </c>
      <c r="G384">
        <f t="shared" ca="1" si="15"/>
        <v>2.6598909072927199</v>
      </c>
      <c r="H384" t="str">
        <f t="shared" ca="1" si="16"/>
        <v/>
      </c>
      <c r="I384" t="str">
        <f t="shared" si="17"/>
        <v/>
      </c>
    </row>
    <row r="385" spans="1:9" x14ac:dyDescent="0.3">
      <c r="A385" s="10">
        <v>45650.879393630188</v>
      </c>
      <c r="B385" t="s">
        <v>17</v>
      </c>
      <c r="C385" t="s">
        <v>15</v>
      </c>
      <c r="D385" t="s">
        <v>62</v>
      </c>
      <c r="E385" s="10" t="s">
        <v>74</v>
      </c>
      <c r="F385" s="12">
        <v>801.72</v>
      </c>
      <c r="G385">
        <f t="shared" ca="1" si="15"/>
        <v>404.12060636981187</v>
      </c>
      <c r="H385" t="str">
        <f t="shared" ca="1" si="16"/>
        <v>Bad handling</v>
      </c>
      <c r="I385" t="str">
        <f t="shared" si="17"/>
        <v/>
      </c>
    </row>
    <row r="386" spans="1:9" x14ac:dyDescent="0.3">
      <c r="A386" s="10">
        <v>45681.33487534021</v>
      </c>
      <c r="B386" t="s">
        <v>35</v>
      </c>
      <c r="C386" t="s">
        <v>33</v>
      </c>
      <c r="D386" t="s">
        <v>67</v>
      </c>
      <c r="E386" s="10">
        <v>45683.991214578149</v>
      </c>
      <c r="F386" s="12">
        <v>409.92</v>
      </c>
      <c r="G386">
        <f t="shared" ref="G386:G449" ca="1" si="18">IF(ISTEXT(E386),TODAY(),E386)-A386</f>
        <v>2.6563392379393918</v>
      </c>
      <c r="H386" t="str">
        <f t="shared" ca="1" si="16"/>
        <v/>
      </c>
      <c r="I386" t="str">
        <f t="shared" si="17"/>
        <v/>
      </c>
    </row>
    <row r="387" spans="1:9" x14ac:dyDescent="0.3">
      <c r="A387" s="10">
        <v>45637.347306919699</v>
      </c>
      <c r="B387" t="s">
        <v>38</v>
      </c>
      <c r="C387" t="s">
        <v>37</v>
      </c>
      <c r="D387" t="s">
        <v>63</v>
      </c>
      <c r="E387" s="10">
        <v>45640.092581679542</v>
      </c>
      <c r="F387" s="12">
        <v>156.05000000000001</v>
      </c>
      <c r="G387">
        <f t="shared" ca="1" si="18"/>
        <v>2.7452747598435963</v>
      </c>
      <c r="H387" t="str">
        <f t="shared" ref="H387:H450" ca="1" si="19">IF(G387*24&lt;=48,"Excellent handling",IF(G387*24&gt;=96,"Bad handling",""))</f>
        <v/>
      </c>
      <c r="I387" t="str">
        <f t="shared" ref="I387:I450" si="20">IF(OR(WEEKDAY(A387)=1,WEEKDAY(A387)=7),"Weekend sale","")</f>
        <v/>
      </c>
    </row>
    <row r="388" spans="1:9" x14ac:dyDescent="0.3">
      <c r="A388" s="10">
        <v>45630.780071007583</v>
      </c>
      <c r="B388" t="s">
        <v>41</v>
      </c>
      <c r="C388" t="s">
        <v>37</v>
      </c>
      <c r="D388" t="s">
        <v>68</v>
      </c>
      <c r="E388" s="10">
        <v>45634.289224281347</v>
      </c>
      <c r="F388" s="12">
        <v>498.71</v>
      </c>
      <c r="G388">
        <f t="shared" ca="1" si="18"/>
        <v>3.509153273764241</v>
      </c>
      <c r="H388" t="str">
        <f t="shared" ca="1" si="19"/>
        <v/>
      </c>
      <c r="I388" t="str">
        <f t="shared" si="20"/>
        <v/>
      </c>
    </row>
    <row r="389" spans="1:9" x14ac:dyDescent="0.3">
      <c r="A389" s="10">
        <v>45628.515339236699</v>
      </c>
      <c r="B389" t="s">
        <v>13</v>
      </c>
      <c r="C389" t="s">
        <v>9</v>
      </c>
      <c r="D389" t="s">
        <v>65</v>
      </c>
      <c r="E389" s="10">
        <v>45632.327547570851</v>
      </c>
      <c r="F389" s="12">
        <v>655.19000000000005</v>
      </c>
      <c r="G389">
        <f t="shared" ca="1" si="18"/>
        <v>3.8122083341513644</v>
      </c>
      <c r="H389" t="str">
        <f t="shared" ca="1" si="19"/>
        <v/>
      </c>
      <c r="I389" t="str">
        <f t="shared" si="20"/>
        <v/>
      </c>
    </row>
    <row r="390" spans="1:9" x14ac:dyDescent="0.3">
      <c r="A390" s="10">
        <v>45629.564849531809</v>
      </c>
      <c r="B390" t="s">
        <v>18</v>
      </c>
      <c r="C390" t="s">
        <v>15</v>
      </c>
      <c r="D390" t="s">
        <v>64</v>
      </c>
      <c r="E390" s="10">
        <v>45629.949489312763</v>
      </c>
      <c r="F390" s="12">
        <v>502.07</v>
      </c>
      <c r="G390">
        <f t="shared" ca="1" si="18"/>
        <v>0.38463978095387574</v>
      </c>
      <c r="H390" t="str">
        <f t="shared" ca="1" si="19"/>
        <v>Excellent handling</v>
      </c>
      <c r="I390" t="str">
        <f t="shared" si="20"/>
        <v/>
      </c>
    </row>
    <row r="391" spans="1:9" x14ac:dyDescent="0.3">
      <c r="A391" s="10">
        <v>45640.725486666408</v>
      </c>
      <c r="B391" t="s">
        <v>11</v>
      </c>
      <c r="C391" t="s">
        <v>9</v>
      </c>
      <c r="D391" t="s">
        <v>67</v>
      </c>
      <c r="E391" s="10" t="s">
        <v>72</v>
      </c>
      <c r="F391" s="12">
        <v>386.75</v>
      </c>
      <c r="G391">
        <f t="shared" ca="1" si="18"/>
        <v>414.27451333359204</v>
      </c>
      <c r="H391" t="str">
        <f t="shared" ca="1" si="19"/>
        <v>Bad handling</v>
      </c>
      <c r="I391" t="str">
        <f t="shared" si="20"/>
        <v>Weekend sale</v>
      </c>
    </row>
    <row r="392" spans="1:9" x14ac:dyDescent="0.3">
      <c r="A392" s="10">
        <v>45676.143185945541</v>
      </c>
      <c r="B392" t="s">
        <v>40</v>
      </c>
      <c r="C392" t="s">
        <v>37</v>
      </c>
      <c r="D392" t="s">
        <v>66</v>
      </c>
      <c r="E392" s="10">
        <v>45678.065606573669</v>
      </c>
      <c r="F392" s="12">
        <v>768.61</v>
      </c>
      <c r="G392">
        <f t="shared" ca="1" si="18"/>
        <v>1.9224206281287479</v>
      </c>
      <c r="H392" t="str">
        <f t="shared" ca="1" si="19"/>
        <v>Excellent handling</v>
      </c>
      <c r="I392" t="str">
        <f t="shared" si="20"/>
        <v>Weekend sale</v>
      </c>
    </row>
    <row r="393" spans="1:9" x14ac:dyDescent="0.3">
      <c r="A393" s="10">
        <v>45685.344236975041</v>
      </c>
      <c r="B393" t="s">
        <v>10</v>
      </c>
      <c r="C393" t="s">
        <v>9</v>
      </c>
      <c r="D393" t="s">
        <v>61</v>
      </c>
      <c r="E393" s="10">
        <v>45686.673749468959</v>
      </c>
      <c r="F393" s="12">
        <v>761.32</v>
      </c>
      <c r="G393">
        <f t="shared" ca="1" si="18"/>
        <v>1.3295124939177185</v>
      </c>
      <c r="H393" t="str">
        <f t="shared" ca="1" si="19"/>
        <v>Excellent handling</v>
      </c>
      <c r="I393" t="str">
        <f t="shared" si="20"/>
        <v/>
      </c>
    </row>
    <row r="394" spans="1:9" x14ac:dyDescent="0.3">
      <c r="A394" s="10">
        <v>45653.273476198177</v>
      </c>
      <c r="B394" t="s">
        <v>55</v>
      </c>
      <c r="C394" t="s">
        <v>52</v>
      </c>
      <c r="D394" t="s">
        <v>67</v>
      </c>
      <c r="E394" s="10">
        <v>45656.385738709738</v>
      </c>
      <c r="F394" s="12">
        <v>368.76</v>
      </c>
      <c r="G394">
        <f t="shared" ca="1" si="18"/>
        <v>3.1122625115604023</v>
      </c>
      <c r="H394" t="str">
        <f t="shared" ca="1" si="19"/>
        <v/>
      </c>
      <c r="I394" t="str">
        <f t="shared" si="20"/>
        <v/>
      </c>
    </row>
    <row r="395" spans="1:9" x14ac:dyDescent="0.3">
      <c r="A395" s="10">
        <v>45655.648060050691</v>
      </c>
      <c r="B395" t="s">
        <v>18</v>
      </c>
      <c r="C395" t="s">
        <v>15</v>
      </c>
      <c r="D395" t="s">
        <v>64</v>
      </c>
      <c r="E395" s="10">
        <v>45657.768654693755</v>
      </c>
      <c r="F395" s="12">
        <v>646.27</v>
      </c>
      <c r="G395">
        <f t="shared" ca="1" si="18"/>
        <v>2.1205946430636686</v>
      </c>
      <c r="H395" t="str">
        <f t="shared" ca="1" si="19"/>
        <v/>
      </c>
      <c r="I395" t="str">
        <f t="shared" si="20"/>
        <v>Weekend sale</v>
      </c>
    </row>
    <row r="396" spans="1:9" x14ac:dyDescent="0.3">
      <c r="A396" s="10">
        <v>45691.642424498597</v>
      </c>
      <c r="B396" t="s">
        <v>16</v>
      </c>
      <c r="C396" t="s">
        <v>15</v>
      </c>
      <c r="D396" t="s">
        <v>61</v>
      </c>
      <c r="E396" s="10">
        <v>45692.923805016733</v>
      </c>
      <c r="F396" s="12">
        <v>548.11</v>
      </c>
      <c r="G396">
        <f t="shared" ca="1" si="18"/>
        <v>1.2813805181358475</v>
      </c>
      <c r="H396" t="str">
        <f t="shared" ca="1" si="19"/>
        <v>Excellent handling</v>
      </c>
      <c r="I396" t="str">
        <f t="shared" si="20"/>
        <v/>
      </c>
    </row>
    <row r="397" spans="1:9" x14ac:dyDescent="0.3">
      <c r="A397" s="10">
        <v>45668.578684145345</v>
      </c>
      <c r="B397" t="s">
        <v>34</v>
      </c>
      <c r="C397" t="s">
        <v>33</v>
      </c>
      <c r="D397" t="s">
        <v>62</v>
      </c>
      <c r="E397" s="10">
        <v>45671.607765888599</v>
      </c>
      <c r="F397" s="12">
        <v>480.91</v>
      </c>
      <c r="G397">
        <f t="shared" ca="1" si="18"/>
        <v>3.0290817432542099</v>
      </c>
      <c r="H397" t="str">
        <f t="shared" ca="1" si="19"/>
        <v/>
      </c>
      <c r="I397" t="str">
        <f t="shared" si="20"/>
        <v>Weekend sale</v>
      </c>
    </row>
    <row r="398" spans="1:9" x14ac:dyDescent="0.3">
      <c r="A398" s="10">
        <v>45647.797507661984</v>
      </c>
      <c r="B398" t="s">
        <v>50</v>
      </c>
      <c r="C398" t="s">
        <v>48</v>
      </c>
      <c r="D398" t="s">
        <v>64</v>
      </c>
      <c r="E398" s="10">
        <v>45650.199009611402</v>
      </c>
      <c r="F398" s="12">
        <v>35.409999999999997</v>
      </c>
      <c r="G398">
        <f t="shared" ca="1" si="18"/>
        <v>2.4015019494181615</v>
      </c>
      <c r="H398" t="str">
        <f t="shared" ca="1" si="19"/>
        <v/>
      </c>
      <c r="I398" t="str">
        <f t="shared" si="20"/>
        <v>Weekend sale</v>
      </c>
    </row>
    <row r="399" spans="1:9" x14ac:dyDescent="0.3">
      <c r="A399" s="10">
        <v>45682.931936697743</v>
      </c>
      <c r="B399" t="s">
        <v>30</v>
      </c>
      <c r="C399" t="s">
        <v>29</v>
      </c>
      <c r="D399" t="s">
        <v>68</v>
      </c>
      <c r="E399" s="10">
        <v>45683.967510085451</v>
      </c>
      <c r="F399" s="12">
        <v>188.68</v>
      </c>
      <c r="G399">
        <f t="shared" ca="1" si="18"/>
        <v>1.0355733877077</v>
      </c>
      <c r="H399" t="str">
        <f t="shared" ca="1" si="19"/>
        <v>Excellent handling</v>
      </c>
      <c r="I399" t="str">
        <f t="shared" si="20"/>
        <v>Weekend sale</v>
      </c>
    </row>
    <row r="400" spans="1:9" x14ac:dyDescent="0.3">
      <c r="A400" s="10">
        <v>45658.384737032189</v>
      </c>
      <c r="B400" t="s">
        <v>34</v>
      </c>
      <c r="C400" t="s">
        <v>33</v>
      </c>
      <c r="D400" t="s">
        <v>62</v>
      </c>
      <c r="E400" s="10" t="s">
        <v>74</v>
      </c>
      <c r="F400" s="12">
        <v>395.31</v>
      </c>
      <c r="G400">
        <f t="shared" ca="1" si="18"/>
        <v>396.61526296781085</v>
      </c>
      <c r="H400" t="str">
        <f t="shared" ca="1" si="19"/>
        <v>Bad handling</v>
      </c>
      <c r="I400" t="str">
        <f t="shared" si="20"/>
        <v/>
      </c>
    </row>
    <row r="401" spans="1:9" x14ac:dyDescent="0.3">
      <c r="A401" s="10">
        <v>45662.156413483885</v>
      </c>
      <c r="B401" t="s">
        <v>25</v>
      </c>
      <c r="C401" t="s">
        <v>22</v>
      </c>
      <c r="D401" t="s">
        <v>60</v>
      </c>
      <c r="E401" s="10">
        <v>45664.23801778214</v>
      </c>
      <c r="F401" s="12">
        <v>642.80999999999995</v>
      </c>
      <c r="G401">
        <f t="shared" ca="1" si="18"/>
        <v>2.0816042982551153</v>
      </c>
      <c r="H401" t="str">
        <f t="shared" ca="1" si="19"/>
        <v/>
      </c>
      <c r="I401" t="str">
        <f t="shared" si="20"/>
        <v>Weekend sale</v>
      </c>
    </row>
    <row r="402" spans="1:9" x14ac:dyDescent="0.3">
      <c r="A402" s="10">
        <v>45627.883203984937</v>
      </c>
      <c r="B402" t="s">
        <v>19</v>
      </c>
      <c r="C402" t="s">
        <v>15</v>
      </c>
      <c r="D402" t="s">
        <v>63</v>
      </c>
      <c r="E402" s="10">
        <v>45630.702043771948</v>
      </c>
      <c r="F402" s="12">
        <v>131.79</v>
      </c>
      <c r="G402">
        <f t="shared" ca="1" si="18"/>
        <v>2.818839787010802</v>
      </c>
      <c r="H402" t="str">
        <f t="shared" ca="1" si="19"/>
        <v/>
      </c>
      <c r="I402" t="str">
        <f t="shared" si="20"/>
        <v>Weekend sale</v>
      </c>
    </row>
    <row r="403" spans="1:9" x14ac:dyDescent="0.3">
      <c r="A403" s="10">
        <v>45630.808790436138</v>
      </c>
      <c r="B403" t="s">
        <v>56</v>
      </c>
      <c r="C403" t="s">
        <v>52</v>
      </c>
      <c r="D403" t="s">
        <v>67</v>
      </c>
      <c r="E403" s="10">
        <v>45633.641008527178</v>
      </c>
      <c r="F403" s="12">
        <v>788.44</v>
      </c>
      <c r="G403">
        <f t="shared" ca="1" si="18"/>
        <v>2.8322180910399766</v>
      </c>
      <c r="H403" t="str">
        <f t="shared" ca="1" si="19"/>
        <v/>
      </c>
      <c r="I403" t="str">
        <f t="shared" si="20"/>
        <v/>
      </c>
    </row>
    <row r="404" spans="1:9" x14ac:dyDescent="0.3">
      <c r="A404" s="10">
        <v>45691.31207985941</v>
      </c>
      <c r="B404" t="s">
        <v>36</v>
      </c>
      <c r="C404" t="s">
        <v>33</v>
      </c>
      <c r="D404" t="s">
        <v>68</v>
      </c>
      <c r="E404" s="10">
        <v>45696.627261531052</v>
      </c>
      <c r="F404" s="12">
        <v>401.93</v>
      </c>
      <c r="G404">
        <f t="shared" ca="1" si="18"/>
        <v>5.315181671641767</v>
      </c>
      <c r="H404" t="str">
        <f t="shared" ca="1" si="19"/>
        <v>Bad handling</v>
      </c>
      <c r="I404" t="str">
        <f t="shared" si="20"/>
        <v/>
      </c>
    </row>
    <row r="405" spans="1:9" x14ac:dyDescent="0.3">
      <c r="A405" s="10">
        <v>45675.357306271748</v>
      </c>
      <c r="B405" t="s">
        <v>43</v>
      </c>
      <c r="C405" t="s">
        <v>42</v>
      </c>
      <c r="D405" t="s">
        <v>62</v>
      </c>
      <c r="E405" s="10">
        <v>45675.688176925512</v>
      </c>
      <c r="F405" s="12">
        <v>31.93</v>
      </c>
      <c r="G405">
        <f t="shared" ca="1" si="18"/>
        <v>0.33087065376457758</v>
      </c>
      <c r="H405" t="str">
        <f t="shared" ca="1" si="19"/>
        <v>Excellent handling</v>
      </c>
      <c r="I405" t="str">
        <f t="shared" si="20"/>
        <v>Weekend sale</v>
      </c>
    </row>
    <row r="406" spans="1:9" x14ac:dyDescent="0.3">
      <c r="A406" s="10">
        <v>45652.974017327622</v>
      </c>
      <c r="B406" t="s">
        <v>46</v>
      </c>
      <c r="C406" t="s">
        <v>45</v>
      </c>
      <c r="D406" t="s">
        <v>64</v>
      </c>
      <c r="E406" s="10">
        <v>45658.083917582044</v>
      </c>
      <c r="F406" s="12">
        <v>640.04</v>
      </c>
      <c r="G406">
        <f t="shared" ca="1" si="18"/>
        <v>5.1099002544215182</v>
      </c>
      <c r="H406" t="str">
        <f t="shared" ca="1" si="19"/>
        <v>Bad handling</v>
      </c>
      <c r="I406" t="str">
        <f t="shared" si="20"/>
        <v/>
      </c>
    </row>
    <row r="407" spans="1:9" x14ac:dyDescent="0.3">
      <c r="A407" s="10">
        <v>45641.034493008156</v>
      </c>
      <c r="B407" t="s">
        <v>32</v>
      </c>
      <c r="C407" t="s">
        <v>29</v>
      </c>
      <c r="D407" t="s">
        <v>68</v>
      </c>
      <c r="E407" s="10">
        <v>45643.361428012016</v>
      </c>
      <c r="F407" s="12">
        <v>605.34</v>
      </c>
      <c r="G407">
        <f t="shared" ca="1" si="18"/>
        <v>2.3269350038608536</v>
      </c>
      <c r="H407" t="str">
        <f t="shared" ca="1" si="19"/>
        <v/>
      </c>
      <c r="I407" t="str">
        <f t="shared" si="20"/>
        <v>Weekend sale</v>
      </c>
    </row>
    <row r="408" spans="1:9" x14ac:dyDescent="0.3">
      <c r="A408" s="10">
        <v>45633.745499412209</v>
      </c>
      <c r="B408" t="s">
        <v>17</v>
      </c>
      <c r="C408" t="s">
        <v>15</v>
      </c>
      <c r="D408" t="s">
        <v>62</v>
      </c>
      <c r="E408" s="10">
        <v>45633.760646528572</v>
      </c>
      <c r="F408" s="12">
        <v>799.04</v>
      </c>
      <c r="G408">
        <f t="shared" ca="1" si="18"/>
        <v>1.51471163626411E-2</v>
      </c>
      <c r="H408" t="str">
        <f t="shared" ca="1" si="19"/>
        <v>Excellent handling</v>
      </c>
      <c r="I408" t="str">
        <f t="shared" si="20"/>
        <v>Weekend sale</v>
      </c>
    </row>
    <row r="409" spans="1:9" x14ac:dyDescent="0.3">
      <c r="A409" s="10">
        <v>45677.281536437724</v>
      </c>
      <c r="B409" t="s">
        <v>26</v>
      </c>
      <c r="C409" t="s">
        <v>22</v>
      </c>
      <c r="D409" t="s">
        <v>65</v>
      </c>
      <c r="E409" s="10">
        <v>45681.780334677489</v>
      </c>
      <c r="F409" s="12">
        <v>630.45000000000005</v>
      </c>
      <c r="G409">
        <f t="shared" ca="1" si="18"/>
        <v>4.4987982397651649</v>
      </c>
      <c r="H409" t="str">
        <f t="shared" ca="1" si="19"/>
        <v>Bad handling</v>
      </c>
      <c r="I409" t="str">
        <f t="shared" si="20"/>
        <v/>
      </c>
    </row>
    <row r="410" spans="1:9" x14ac:dyDescent="0.3">
      <c r="A410" s="10">
        <v>45638.76125141004</v>
      </c>
      <c r="B410" t="s">
        <v>30</v>
      </c>
      <c r="C410" t="s">
        <v>29</v>
      </c>
      <c r="D410" t="s">
        <v>68</v>
      </c>
      <c r="E410" s="10">
        <v>45642.988559671889</v>
      </c>
      <c r="F410" s="12">
        <v>525.04</v>
      </c>
      <c r="G410">
        <f t="shared" ca="1" si="18"/>
        <v>4.2273082618485205</v>
      </c>
      <c r="H410" t="str">
        <f t="shared" ca="1" si="19"/>
        <v>Bad handling</v>
      </c>
      <c r="I410" t="str">
        <f t="shared" si="20"/>
        <v/>
      </c>
    </row>
    <row r="411" spans="1:9" x14ac:dyDescent="0.3">
      <c r="A411" s="10">
        <v>45692.480660988957</v>
      </c>
      <c r="B411" t="s">
        <v>39</v>
      </c>
      <c r="C411" t="s">
        <v>37</v>
      </c>
      <c r="D411" t="s">
        <v>65</v>
      </c>
      <c r="E411" s="10">
        <v>45694.769936975295</v>
      </c>
      <c r="F411" s="12">
        <v>256.57</v>
      </c>
      <c r="G411">
        <f t="shared" ca="1" si="18"/>
        <v>2.2892759863389074</v>
      </c>
      <c r="H411" t="str">
        <f t="shared" ca="1" si="19"/>
        <v/>
      </c>
      <c r="I411" t="str">
        <f t="shared" si="20"/>
        <v/>
      </c>
    </row>
    <row r="412" spans="1:9" x14ac:dyDescent="0.3">
      <c r="A412" s="10">
        <v>45688.415988675821</v>
      </c>
      <c r="B412" t="s">
        <v>12</v>
      </c>
      <c r="C412" t="s">
        <v>9</v>
      </c>
      <c r="D412" t="s">
        <v>62</v>
      </c>
      <c r="E412" s="10">
        <v>45690.32427332762</v>
      </c>
      <c r="F412" s="12">
        <v>465.9</v>
      </c>
      <c r="G412">
        <f t="shared" ca="1" si="18"/>
        <v>1.9082846517994767</v>
      </c>
      <c r="H412" t="str">
        <f t="shared" ca="1" si="19"/>
        <v>Excellent handling</v>
      </c>
      <c r="I412" t="str">
        <f t="shared" si="20"/>
        <v/>
      </c>
    </row>
    <row r="413" spans="1:9" x14ac:dyDescent="0.3">
      <c r="A413" s="10">
        <v>45692.081003471401</v>
      </c>
      <c r="B413" t="s">
        <v>18</v>
      </c>
      <c r="C413" t="s">
        <v>15</v>
      </c>
      <c r="D413" t="s">
        <v>64</v>
      </c>
      <c r="E413" s="10">
        <v>45696.997543252073</v>
      </c>
      <c r="F413" s="12">
        <v>106.14</v>
      </c>
      <c r="G413">
        <f t="shared" ca="1" si="18"/>
        <v>4.9165397806718829</v>
      </c>
      <c r="H413" t="str">
        <f t="shared" ca="1" si="19"/>
        <v>Bad handling</v>
      </c>
      <c r="I413" t="str">
        <f t="shared" si="20"/>
        <v/>
      </c>
    </row>
    <row r="414" spans="1:9" x14ac:dyDescent="0.3">
      <c r="A414" s="10">
        <v>45637.448365662487</v>
      </c>
      <c r="B414" t="s">
        <v>56</v>
      </c>
      <c r="C414" t="s">
        <v>52</v>
      </c>
      <c r="D414" t="s">
        <v>67</v>
      </c>
      <c r="E414" s="10">
        <v>45639.867355603797</v>
      </c>
      <c r="F414" s="12">
        <v>178.19</v>
      </c>
      <c r="G414">
        <f t="shared" ca="1" si="18"/>
        <v>2.4189899413104285</v>
      </c>
      <c r="H414" t="str">
        <f t="shared" ca="1" si="19"/>
        <v/>
      </c>
      <c r="I414" t="str">
        <f t="shared" si="20"/>
        <v/>
      </c>
    </row>
    <row r="415" spans="1:9" x14ac:dyDescent="0.3">
      <c r="A415" s="10">
        <v>45692.63119497391</v>
      </c>
      <c r="B415" t="s">
        <v>12</v>
      </c>
      <c r="C415" t="s">
        <v>9</v>
      </c>
      <c r="D415" t="s">
        <v>62</v>
      </c>
      <c r="E415" s="10">
        <v>45695.693854247154</v>
      </c>
      <c r="F415" s="12">
        <v>616.17999999999995</v>
      </c>
      <c r="G415">
        <f t="shared" ca="1" si="18"/>
        <v>3.0626592732442077</v>
      </c>
      <c r="H415" t="str">
        <f t="shared" ca="1" si="19"/>
        <v/>
      </c>
      <c r="I415" t="str">
        <f t="shared" si="20"/>
        <v/>
      </c>
    </row>
    <row r="416" spans="1:9" x14ac:dyDescent="0.3">
      <c r="A416" s="10">
        <v>45673.12942679671</v>
      </c>
      <c r="B416" t="s">
        <v>50</v>
      </c>
      <c r="C416" t="s">
        <v>48</v>
      </c>
      <c r="D416" t="s">
        <v>64</v>
      </c>
      <c r="E416" s="10">
        <v>45675.571945832693</v>
      </c>
      <c r="F416" s="12">
        <v>779.95</v>
      </c>
      <c r="G416">
        <f t="shared" ca="1" si="18"/>
        <v>2.4425190359834232</v>
      </c>
      <c r="H416" t="str">
        <f t="shared" ca="1" si="19"/>
        <v/>
      </c>
      <c r="I416" t="str">
        <f t="shared" si="20"/>
        <v/>
      </c>
    </row>
    <row r="417" spans="1:9" x14ac:dyDescent="0.3">
      <c r="A417" s="10">
        <v>45647.036342387364</v>
      </c>
      <c r="B417" t="s">
        <v>40</v>
      </c>
      <c r="C417" t="s">
        <v>37</v>
      </c>
      <c r="D417" t="s">
        <v>66</v>
      </c>
      <c r="E417" s="10">
        <v>45648.305500415154</v>
      </c>
      <c r="F417" s="12">
        <v>383.26</v>
      </c>
      <c r="G417">
        <f t="shared" ca="1" si="18"/>
        <v>1.2691580277896719</v>
      </c>
      <c r="H417" t="str">
        <f t="shared" ca="1" si="19"/>
        <v>Excellent handling</v>
      </c>
      <c r="I417" t="str">
        <f t="shared" si="20"/>
        <v>Weekend sale</v>
      </c>
    </row>
    <row r="418" spans="1:9" x14ac:dyDescent="0.3">
      <c r="A418" s="10">
        <v>45645.364352037839</v>
      </c>
      <c r="B418" t="s">
        <v>18</v>
      </c>
      <c r="C418" t="s">
        <v>15</v>
      </c>
      <c r="D418" t="s">
        <v>64</v>
      </c>
      <c r="E418" s="10">
        <v>45649.33006881817</v>
      </c>
      <c r="F418" s="12">
        <v>279.05</v>
      </c>
      <c r="G418">
        <f t="shared" ca="1" si="18"/>
        <v>3.9657167803306947</v>
      </c>
      <c r="H418" t="str">
        <f t="shared" ca="1" si="19"/>
        <v/>
      </c>
      <c r="I418" t="str">
        <f t="shared" si="20"/>
        <v/>
      </c>
    </row>
    <row r="419" spans="1:9" x14ac:dyDescent="0.3">
      <c r="A419" s="10">
        <v>45678.714168035061</v>
      </c>
      <c r="B419" t="s">
        <v>34</v>
      </c>
      <c r="C419" t="s">
        <v>33</v>
      </c>
      <c r="D419" t="s">
        <v>62</v>
      </c>
      <c r="E419" s="10">
        <v>45679.965098474597</v>
      </c>
      <c r="F419" s="12">
        <v>421.42</v>
      </c>
      <c r="G419">
        <f t="shared" ca="1" si="18"/>
        <v>1.2509304395352956</v>
      </c>
      <c r="H419" t="str">
        <f t="shared" ca="1" si="19"/>
        <v>Excellent handling</v>
      </c>
      <c r="I419" t="str">
        <f t="shared" si="20"/>
        <v/>
      </c>
    </row>
    <row r="420" spans="1:9" x14ac:dyDescent="0.3">
      <c r="A420" s="10">
        <v>45691.222927101582</v>
      </c>
      <c r="B420" t="s">
        <v>27</v>
      </c>
      <c r="C420" t="s">
        <v>22</v>
      </c>
      <c r="D420" t="s">
        <v>65</v>
      </c>
      <c r="E420" s="10">
        <v>45692.829159312379</v>
      </c>
      <c r="F420" s="12">
        <v>718.36</v>
      </c>
      <c r="G420">
        <f t="shared" ca="1" si="18"/>
        <v>1.6062322107973159</v>
      </c>
      <c r="H420" t="str">
        <f t="shared" ca="1" si="19"/>
        <v>Excellent handling</v>
      </c>
      <c r="I420" t="str">
        <f t="shared" si="20"/>
        <v/>
      </c>
    </row>
    <row r="421" spans="1:9" x14ac:dyDescent="0.3">
      <c r="A421" s="10">
        <v>45646.282558472987</v>
      </c>
      <c r="B421" t="s">
        <v>49</v>
      </c>
      <c r="C421" t="s">
        <v>48</v>
      </c>
      <c r="D421" t="s">
        <v>63</v>
      </c>
      <c r="E421" s="10">
        <v>45648.973462478825</v>
      </c>
      <c r="F421" s="12">
        <v>328.24</v>
      </c>
      <c r="G421">
        <f t="shared" ca="1" si="18"/>
        <v>2.6909040058380924</v>
      </c>
      <c r="H421" t="str">
        <f t="shared" ca="1" si="19"/>
        <v/>
      </c>
      <c r="I421" t="str">
        <f t="shared" si="20"/>
        <v/>
      </c>
    </row>
    <row r="422" spans="1:9" x14ac:dyDescent="0.3">
      <c r="A422" s="10">
        <v>45654.695007758586</v>
      </c>
      <c r="B422" t="s">
        <v>14</v>
      </c>
      <c r="C422" t="s">
        <v>9</v>
      </c>
      <c r="D422" t="s">
        <v>61</v>
      </c>
      <c r="E422" s="10">
        <v>45658.586828152664</v>
      </c>
      <c r="F422" s="12">
        <v>722.29</v>
      </c>
      <c r="G422">
        <f t="shared" ca="1" si="18"/>
        <v>3.8918203940775129</v>
      </c>
      <c r="H422" t="str">
        <f t="shared" ca="1" si="19"/>
        <v/>
      </c>
      <c r="I422" t="str">
        <f t="shared" si="20"/>
        <v>Weekend sale</v>
      </c>
    </row>
    <row r="423" spans="1:9" x14ac:dyDescent="0.3">
      <c r="A423" s="10">
        <v>45684.929009633415</v>
      </c>
      <c r="B423" t="s">
        <v>40</v>
      </c>
      <c r="C423" t="s">
        <v>37</v>
      </c>
      <c r="D423" t="s">
        <v>66</v>
      </c>
      <c r="E423" s="10">
        <v>45688.627903848974</v>
      </c>
      <c r="F423" s="12">
        <v>401.06</v>
      </c>
      <c r="G423">
        <f t="shared" ca="1" si="18"/>
        <v>3.6988942155585391</v>
      </c>
      <c r="H423" t="str">
        <f t="shared" ca="1" si="19"/>
        <v/>
      </c>
      <c r="I423" t="str">
        <f t="shared" si="20"/>
        <v/>
      </c>
    </row>
    <row r="424" spans="1:9" x14ac:dyDescent="0.3">
      <c r="A424" s="10">
        <v>45655.052011974076</v>
      </c>
      <c r="B424" t="s">
        <v>34</v>
      </c>
      <c r="C424" t="s">
        <v>33</v>
      </c>
      <c r="D424" t="s">
        <v>62</v>
      </c>
      <c r="E424" s="10">
        <v>45657.076828339239</v>
      </c>
      <c r="F424" s="12">
        <v>500.84</v>
      </c>
      <c r="G424">
        <f t="shared" ca="1" si="18"/>
        <v>2.024816365163133</v>
      </c>
      <c r="H424" t="str">
        <f t="shared" ca="1" si="19"/>
        <v/>
      </c>
      <c r="I424" t="str">
        <f t="shared" si="20"/>
        <v>Weekend sale</v>
      </c>
    </row>
    <row r="425" spans="1:9" x14ac:dyDescent="0.3">
      <c r="A425" s="10">
        <v>45643.814770913144</v>
      </c>
      <c r="B425" t="s">
        <v>19</v>
      </c>
      <c r="C425" t="s">
        <v>15</v>
      </c>
      <c r="D425" t="s">
        <v>63</v>
      </c>
      <c r="E425" s="10">
        <v>45647.033501338752</v>
      </c>
      <c r="F425" s="12">
        <v>328.88</v>
      </c>
      <c r="G425">
        <f t="shared" ca="1" si="18"/>
        <v>3.2187304256076459</v>
      </c>
      <c r="H425" t="str">
        <f t="shared" ca="1" si="19"/>
        <v/>
      </c>
      <c r="I425" t="str">
        <f t="shared" si="20"/>
        <v/>
      </c>
    </row>
    <row r="426" spans="1:9" x14ac:dyDescent="0.3">
      <c r="A426" s="10">
        <v>45635.014198915938</v>
      </c>
      <c r="B426" t="s">
        <v>13</v>
      </c>
      <c r="C426" t="s">
        <v>9</v>
      </c>
      <c r="D426" t="s">
        <v>65</v>
      </c>
      <c r="E426" s="10">
        <v>45636.468931704992</v>
      </c>
      <c r="F426" s="12">
        <v>630.48</v>
      </c>
      <c r="G426">
        <f t="shared" ca="1" si="18"/>
        <v>1.4547327890541055</v>
      </c>
      <c r="H426" t="str">
        <f t="shared" ca="1" si="19"/>
        <v>Excellent handling</v>
      </c>
      <c r="I426" t="str">
        <f t="shared" si="20"/>
        <v/>
      </c>
    </row>
    <row r="427" spans="1:9" x14ac:dyDescent="0.3">
      <c r="A427" s="10">
        <v>45639.645947913436</v>
      </c>
      <c r="B427" t="s">
        <v>11</v>
      </c>
      <c r="C427" t="s">
        <v>9</v>
      </c>
      <c r="D427" t="s">
        <v>67</v>
      </c>
      <c r="E427" s="10">
        <v>45644.556644970886</v>
      </c>
      <c r="F427" s="12">
        <v>143.27000000000001</v>
      </c>
      <c r="G427">
        <f t="shared" ca="1" si="18"/>
        <v>4.9106970574503066</v>
      </c>
      <c r="H427" t="str">
        <f t="shared" ca="1" si="19"/>
        <v>Bad handling</v>
      </c>
      <c r="I427" t="str">
        <f t="shared" si="20"/>
        <v/>
      </c>
    </row>
    <row r="428" spans="1:9" x14ac:dyDescent="0.3">
      <c r="A428" s="10">
        <v>45658.560680075709</v>
      </c>
      <c r="B428" t="s">
        <v>24</v>
      </c>
      <c r="C428" t="s">
        <v>22</v>
      </c>
      <c r="D428" t="s">
        <v>61</v>
      </c>
      <c r="E428" s="10">
        <v>45660.158559756012</v>
      </c>
      <c r="F428" s="12">
        <v>370.77</v>
      </c>
      <c r="G428">
        <f t="shared" ca="1" si="18"/>
        <v>1.5978796803028672</v>
      </c>
      <c r="H428" t="str">
        <f t="shared" ca="1" si="19"/>
        <v>Excellent handling</v>
      </c>
      <c r="I428" t="str">
        <f t="shared" si="20"/>
        <v/>
      </c>
    </row>
    <row r="429" spans="1:9" x14ac:dyDescent="0.3">
      <c r="A429" s="10">
        <v>45635.403576051205</v>
      </c>
      <c r="B429" t="s">
        <v>12</v>
      </c>
      <c r="C429" t="s">
        <v>9</v>
      </c>
      <c r="D429" t="s">
        <v>62</v>
      </c>
      <c r="E429" s="10">
        <v>45638.047797251602</v>
      </c>
      <c r="F429" s="12">
        <v>352.33</v>
      </c>
      <c r="G429">
        <f t="shared" ca="1" si="18"/>
        <v>2.6442212003967143</v>
      </c>
      <c r="H429" t="str">
        <f t="shared" ca="1" si="19"/>
        <v/>
      </c>
      <c r="I429" t="str">
        <f t="shared" si="20"/>
        <v/>
      </c>
    </row>
    <row r="430" spans="1:9" x14ac:dyDescent="0.3">
      <c r="A430" s="10">
        <v>45639.807532190534</v>
      </c>
      <c r="B430" t="s">
        <v>55</v>
      </c>
      <c r="C430" t="s">
        <v>52</v>
      </c>
      <c r="D430" t="s">
        <v>67</v>
      </c>
      <c r="E430" s="10">
        <v>45643.338638886547</v>
      </c>
      <c r="F430" s="12">
        <v>452.22</v>
      </c>
      <c r="G430">
        <f t="shared" ca="1" si="18"/>
        <v>3.531106696013012</v>
      </c>
      <c r="H430" t="str">
        <f t="shared" ca="1" si="19"/>
        <v/>
      </c>
      <c r="I430" t="str">
        <f t="shared" si="20"/>
        <v/>
      </c>
    </row>
    <row r="431" spans="1:9" x14ac:dyDescent="0.3">
      <c r="A431" s="10">
        <v>45638.271020373038</v>
      </c>
      <c r="B431" t="s">
        <v>34</v>
      </c>
      <c r="C431" t="s">
        <v>33</v>
      </c>
      <c r="D431" t="s">
        <v>62</v>
      </c>
      <c r="E431" s="10">
        <v>45640.649537520476</v>
      </c>
      <c r="F431" s="12">
        <v>616.92999999999995</v>
      </c>
      <c r="G431">
        <f t="shared" ca="1" si="18"/>
        <v>2.3785171474373783</v>
      </c>
      <c r="H431" t="str">
        <f t="shared" ca="1" si="19"/>
        <v/>
      </c>
      <c r="I431" t="str">
        <f t="shared" si="20"/>
        <v/>
      </c>
    </row>
    <row r="432" spans="1:9" x14ac:dyDescent="0.3">
      <c r="A432" s="10">
        <v>45673.26096520252</v>
      </c>
      <c r="B432" t="s">
        <v>24</v>
      </c>
      <c r="C432" t="s">
        <v>22</v>
      </c>
      <c r="D432" t="s">
        <v>61</v>
      </c>
      <c r="E432" s="10">
        <v>45676.254607191862</v>
      </c>
      <c r="F432" s="12">
        <v>501.15</v>
      </c>
      <c r="G432">
        <f t="shared" ca="1" si="18"/>
        <v>2.9936419893419952</v>
      </c>
      <c r="H432" t="str">
        <f t="shared" ca="1" si="19"/>
        <v/>
      </c>
      <c r="I432" t="str">
        <f t="shared" si="20"/>
        <v/>
      </c>
    </row>
    <row r="433" spans="1:9" x14ac:dyDescent="0.3">
      <c r="A433" s="10">
        <v>45669.115743582355</v>
      </c>
      <c r="B433" t="s">
        <v>27</v>
      </c>
      <c r="C433" t="s">
        <v>22</v>
      </c>
      <c r="D433" t="s">
        <v>65</v>
      </c>
      <c r="E433" s="10">
        <v>45671.584167607994</v>
      </c>
      <c r="F433" s="12">
        <v>614.16999999999996</v>
      </c>
      <c r="G433">
        <f t="shared" ca="1" si="18"/>
        <v>2.4684240256392513</v>
      </c>
      <c r="H433" t="str">
        <f t="shared" ca="1" si="19"/>
        <v/>
      </c>
      <c r="I433" t="str">
        <f t="shared" si="20"/>
        <v>Weekend sale</v>
      </c>
    </row>
    <row r="434" spans="1:9" x14ac:dyDescent="0.3">
      <c r="A434" s="10">
        <v>45691.154119925624</v>
      </c>
      <c r="B434" t="s">
        <v>25</v>
      </c>
      <c r="C434" t="s">
        <v>22</v>
      </c>
      <c r="D434" t="s">
        <v>60</v>
      </c>
      <c r="E434" s="10">
        <v>45693.972110769115</v>
      </c>
      <c r="F434" s="12">
        <v>209.94</v>
      </c>
      <c r="G434">
        <f t="shared" ca="1" si="18"/>
        <v>2.8179908434904064</v>
      </c>
      <c r="H434" t="str">
        <f t="shared" ca="1" si="19"/>
        <v/>
      </c>
      <c r="I434" t="str">
        <f t="shared" si="20"/>
        <v/>
      </c>
    </row>
    <row r="435" spans="1:9" x14ac:dyDescent="0.3">
      <c r="A435" s="10">
        <v>45661.237578012493</v>
      </c>
      <c r="B435" t="s">
        <v>51</v>
      </c>
      <c r="C435" t="s">
        <v>48</v>
      </c>
      <c r="D435" t="s">
        <v>69</v>
      </c>
      <c r="E435" s="10">
        <v>45664.160746203823</v>
      </c>
      <c r="F435" s="12">
        <v>757.32</v>
      </c>
      <c r="G435">
        <f t="shared" ca="1" si="18"/>
        <v>2.9231681913297507</v>
      </c>
      <c r="H435" t="str">
        <f t="shared" ca="1" si="19"/>
        <v/>
      </c>
      <c r="I435" t="str">
        <f t="shared" si="20"/>
        <v>Weekend sale</v>
      </c>
    </row>
    <row r="436" spans="1:9" x14ac:dyDescent="0.3">
      <c r="A436" s="10">
        <v>45663.162610727421</v>
      </c>
      <c r="B436" t="s">
        <v>51</v>
      </c>
      <c r="C436" t="s">
        <v>48</v>
      </c>
      <c r="D436" t="s">
        <v>69</v>
      </c>
      <c r="E436" s="10">
        <v>45664.270811832139</v>
      </c>
      <c r="F436" s="12">
        <v>130.25</v>
      </c>
      <c r="G436">
        <f t="shared" ca="1" si="18"/>
        <v>1.1082011047183187</v>
      </c>
      <c r="H436" t="str">
        <f t="shared" ca="1" si="19"/>
        <v>Excellent handling</v>
      </c>
      <c r="I436" t="str">
        <f t="shared" si="20"/>
        <v/>
      </c>
    </row>
    <row r="437" spans="1:9" x14ac:dyDescent="0.3">
      <c r="A437" s="10">
        <v>45652.209999786763</v>
      </c>
      <c r="B437" t="s">
        <v>26</v>
      </c>
      <c r="C437" t="s">
        <v>22</v>
      </c>
      <c r="D437" t="s">
        <v>65</v>
      </c>
      <c r="E437" s="10">
        <v>45655.275582845243</v>
      </c>
      <c r="F437" s="12">
        <v>83.59</v>
      </c>
      <c r="G437">
        <f t="shared" ca="1" si="18"/>
        <v>3.0655830584801151</v>
      </c>
      <c r="H437" t="str">
        <f t="shared" ca="1" si="19"/>
        <v/>
      </c>
      <c r="I437" t="str">
        <f t="shared" si="20"/>
        <v/>
      </c>
    </row>
    <row r="438" spans="1:9" x14ac:dyDescent="0.3">
      <c r="A438" s="10">
        <v>45680.328728358872</v>
      </c>
      <c r="B438" t="s">
        <v>27</v>
      </c>
      <c r="C438" t="s">
        <v>22</v>
      </c>
      <c r="D438" t="s">
        <v>65</v>
      </c>
      <c r="E438" s="10">
        <v>45683.273918225801</v>
      </c>
      <c r="F438" s="12">
        <v>735.53</v>
      </c>
      <c r="G438">
        <f t="shared" ca="1" si="18"/>
        <v>2.9451898669285583</v>
      </c>
      <c r="H438" t="str">
        <f t="shared" ca="1" si="19"/>
        <v/>
      </c>
      <c r="I438" t="str">
        <f t="shared" si="20"/>
        <v/>
      </c>
    </row>
    <row r="439" spans="1:9" x14ac:dyDescent="0.3">
      <c r="A439" s="10">
        <v>45669.226726943205</v>
      </c>
      <c r="B439" t="s">
        <v>28</v>
      </c>
      <c r="C439" t="s">
        <v>22</v>
      </c>
      <c r="D439" t="s">
        <v>67</v>
      </c>
      <c r="E439" s="10">
        <v>45671.954749721823</v>
      </c>
      <c r="F439" s="12">
        <v>692.99</v>
      </c>
      <c r="G439">
        <f t="shared" ca="1" si="18"/>
        <v>2.728022778617742</v>
      </c>
      <c r="H439" t="str">
        <f t="shared" ca="1" si="19"/>
        <v/>
      </c>
      <c r="I439" t="str">
        <f t="shared" si="20"/>
        <v>Weekend sale</v>
      </c>
    </row>
    <row r="440" spans="1:9" x14ac:dyDescent="0.3">
      <c r="A440" s="10">
        <v>45686.293278591191</v>
      </c>
      <c r="B440" t="s">
        <v>13</v>
      </c>
      <c r="C440" t="s">
        <v>9</v>
      </c>
      <c r="D440" t="s">
        <v>65</v>
      </c>
      <c r="E440" s="10">
        <v>45688.773774621695</v>
      </c>
      <c r="F440" s="12">
        <v>368.02</v>
      </c>
      <c r="G440">
        <f t="shared" ca="1" si="18"/>
        <v>2.4804960305045824</v>
      </c>
      <c r="H440" t="str">
        <f t="shared" ca="1" si="19"/>
        <v/>
      </c>
      <c r="I440" t="str">
        <f t="shared" si="20"/>
        <v/>
      </c>
    </row>
    <row r="441" spans="1:9" x14ac:dyDescent="0.3">
      <c r="A441" s="10">
        <v>45649.815210523368</v>
      </c>
      <c r="B441" t="s">
        <v>51</v>
      </c>
      <c r="C441" t="s">
        <v>48</v>
      </c>
      <c r="D441" t="s">
        <v>69</v>
      </c>
      <c r="E441" s="10">
        <v>45649.953627631992</v>
      </c>
      <c r="F441" s="12">
        <v>370.42</v>
      </c>
      <c r="G441">
        <f t="shared" ca="1" si="18"/>
        <v>0.13841710862470791</v>
      </c>
      <c r="H441" t="str">
        <f t="shared" ca="1" si="19"/>
        <v>Excellent handling</v>
      </c>
      <c r="I441" t="str">
        <f t="shared" si="20"/>
        <v/>
      </c>
    </row>
    <row r="442" spans="1:9" x14ac:dyDescent="0.3">
      <c r="A442" s="10">
        <v>45635.061359364736</v>
      </c>
      <c r="B442" t="s">
        <v>16</v>
      </c>
      <c r="C442" t="s">
        <v>15</v>
      </c>
      <c r="D442" t="s">
        <v>61</v>
      </c>
      <c r="E442" s="10">
        <v>45635.621741710092</v>
      </c>
      <c r="F442" s="12">
        <v>751.39</v>
      </c>
      <c r="G442">
        <f t="shared" ca="1" si="18"/>
        <v>0.56038234535662923</v>
      </c>
      <c r="H442" t="str">
        <f t="shared" ca="1" si="19"/>
        <v>Excellent handling</v>
      </c>
      <c r="I442" t="str">
        <f t="shared" si="20"/>
        <v/>
      </c>
    </row>
    <row r="443" spans="1:9" x14ac:dyDescent="0.3">
      <c r="A443" s="10">
        <v>45657.076706922773</v>
      </c>
      <c r="B443" t="s">
        <v>12</v>
      </c>
      <c r="C443" t="s">
        <v>9</v>
      </c>
      <c r="D443" t="s">
        <v>62</v>
      </c>
      <c r="E443" s="10">
        <v>45658.12089830578</v>
      </c>
      <c r="F443" s="12">
        <v>175.38</v>
      </c>
      <c r="G443">
        <f t="shared" ca="1" si="18"/>
        <v>1.0441913830072735</v>
      </c>
      <c r="H443" t="str">
        <f t="shared" ca="1" si="19"/>
        <v>Excellent handling</v>
      </c>
      <c r="I443" t="str">
        <f t="shared" si="20"/>
        <v/>
      </c>
    </row>
    <row r="444" spans="1:9" x14ac:dyDescent="0.3">
      <c r="A444" s="10">
        <v>45683.234074020787</v>
      </c>
      <c r="B444" t="s">
        <v>32</v>
      </c>
      <c r="C444" t="s">
        <v>29</v>
      </c>
      <c r="D444" t="s">
        <v>68</v>
      </c>
      <c r="E444" s="10">
        <v>45684.359774757046</v>
      </c>
      <c r="F444" s="12">
        <v>218.97</v>
      </c>
      <c r="G444">
        <f t="shared" ca="1" si="18"/>
        <v>1.1257007362582954</v>
      </c>
      <c r="H444" t="str">
        <f t="shared" ca="1" si="19"/>
        <v>Excellent handling</v>
      </c>
      <c r="I444" t="str">
        <f t="shared" si="20"/>
        <v>Weekend sale</v>
      </c>
    </row>
    <row r="445" spans="1:9" x14ac:dyDescent="0.3">
      <c r="A445" s="10">
        <v>45675.956248227558</v>
      </c>
      <c r="B445" t="s">
        <v>24</v>
      </c>
      <c r="C445" t="s">
        <v>22</v>
      </c>
      <c r="D445" t="s">
        <v>61</v>
      </c>
      <c r="E445" s="10">
        <v>45681.902365544411</v>
      </c>
      <c r="F445" s="12">
        <v>212.62</v>
      </c>
      <c r="G445">
        <f t="shared" ca="1" si="18"/>
        <v>5.9461173168529058</v>
      </c>
      <c r="H445" t="str">
        <f t="shared" ca="1" si="19"/>
        <v>Bad handling</v>
      </c>
      <c r="I445" t="str">
        <f t="shared" si="20"/>
        <v>Weekend sale</v>
      </c>
    </row>
    <row r="446" spans="1:9" x14ac:dyDescent="0.3">
      <c r="A446" s="10">
        <v>45650.568325128828</v>
      </c>
      <c r="B446" t="s">
        <v>16</v>
      </c>
      <c r="C446" t="s">
        <v>15</v>
      </c>
      <c r="D446" t="s">
        <v>61</v>
      </c>
      <c r="E446" s="10">
        <v>45650.668119537593</v>
      </c>
      <c r="F446" s="12">
        <v>481.83</v>
      </c>
      <c r="G446">
        <f t="shared" ca="1" si="18"/>
        <v>9.9794408764864784E-2</v>
      </c>
      <c r="H446" t="str">
        <f t="shared" ca="1" si="19"/>
        <v>Excellent handling</v>
      </c>
      <c r="I446" t="str">
        <f t="shared" si="20"/>
        <v/>
      </c>
    </row>
    <row r="447" spans="1:9" x14ac:dyDescent="0.3">
      <c r="A447" s="10">
        <v>45649.651831588948</v>
      </c>
      <c r="B447" t="s">
        <v>20</v>
      </c>
      <c r="C447" t="s">
        <v>15</v>
      </c>
      <c r="D447" t="s">
        <v>64</v>
      </c>
      <c r="E447" s="10">
        <v>45652.176465085176</v>
      </c>
      <c r="F447" s="12">
        <v>434.45</v>
      </c>
      <c r="G447">
        <f t="shared" ca="1" si="18"/>
        <v>2.5246334962284891</v>
      </c>
      <c r="H447" t="str">
        <f t="shared" ca="1" si="19"/>
        <v/>
      </c>
      <c r="I447" t="str">
        <f t="shared" si="20"/>
        <v/>
      </c>
    </row>
    <row r="448" spans="1:9" x14ac:dyDescent="0.3">
      <c r="A448" s="10">
        <v>45642.901647269042</v>
      </c>
      <c r="B448" t="s">
        <v>20</v>
      </c>
      <c r="C448" t="s">
        <v>15</v>
      </c>
      <c r="D448" t="s">
        <v>64</v>
      </c>
      <c r="E448" s="10">
        <v>45643.053498892114</v>
      </c>
      <c r="F448" s="12">
        <v>785.28</v>
      </c>
      <c r="G448">
        <f t="shared" ca="1" si="18"/>
        <v>0.15185162307170685</v>
      </c>
      <c r="H448" t="str">
        <f t="shared" ca="1" si="19"/>
        <v>Excellent handling</v>
      </c>
      <c r="I448" t="str">
        <f t="shared" si="20"/>
        <v/>
      </c>
    </row>
    <row r="449" spans="1:9" x14ac:dyDescent="0.3">
      <c r="A449" s="10">
        <v>45650.430369165486</v>
      </c>
      <c r="B449" t="s">
        <v>10</v>
      </c>
      <c r="C449" t="s">
        <v>9</v>
      </c>
      <c r="D449" t="s">
        <v>61</v>
      </c>
      <c r="E449" s="10">
        <v>45652.005692671439</v>
      </c>
      <c r="F449" s="12">
        <v>82.43</v>
      </c>
      <c r="G449">
        <f t="shared" ca="1" si="18"/>
        <v>1.5753235059528379</v>
      </c>
      <c r="H449" t="str">
        <f t="shared" ca="1" si="19"/>
        <v>Excellent handling</v>
      </c>
      <c r="I449" t="str">
        <f t="shared" si="20"/>
        <v/>
      </c>
    </row>
    <row r="450" spans="1:9" x14ac:dyDescent="0.3">
      <c r="A450" s="10">
        <v>45685.166413860425</v>
      </c>
      <c r="B450" t="s">
        <v>20</v>
      </c>
      <c r="C450" t="s">
        <v>15</v>
      </c>
      <c r="D450" t="s">
        <v>64</v>
      </c>
      <c r="E450" s="10">
        <v>45689.331391866712</v>
      </c>
      <c r="F450" s="12">
        <v>87.44</v>
      </c>
      <c r="G450">
        <f t="shared" ref="G450:G513" ca="1" si="21">IF(ISTEXT(E450),TODAY(),E450)-A450</f>
        <v>4.1649780062871287</v>
      </c>
      <c r="H450" t="str">
        <f t="shared" ca="1" si="19"/>
        <v>Bad handling</v>
      </c>
      <c r="I450" t="str">
        <f t="shared" si="20"/>
        <v/>
      </c>
    </row>
    <row r="451" spans="1:9" x14ac:dyDescent="0.3">
      <c r="A451" s="10">
        <v>45672.840251828304</v>
      </c>
      <c r="B451" t="s">
        <v>34</v>
      </c>
      <c r="C451" t="s">
        <v>33</v>
      </c>
      <c r="D451" t="s">
        <v>62</v>
      </c>
      <c r="E451" s="10">
        <v>45676.431359793663</v>
      </c>
      <c r="F451" s="12">
        <v>220.36</v>
      </c>
      <c r="G451">
        <f t="shared" ca="1" si="21"/>
        <v>3.5911079653596971</v>
      </c>
      <c r="H451" t="str">
        <f t="shared" ref="H451:H514" ca="1" si="22">IF(G451*24&lt;=48,"Excellent handling",IF(G451*24&gt;=96,"Bad handling",""))</f>
        <v/>
      </c>
      <c r="I451" t="str">
        <f t="shared" ref="I451:I514" si="23">IF(OR(WEEKDAY(A451)=1,WEEKDAY(A451)=7),"Weekend sale","")</f>
        <v/>
      </c>
    </row>
    <row r="452" spans="1:9" x14ac:dyDescent="0.3">
      <c r="A452" s="10">
        <v>45673.805090712238</v>
      </c>
      <c r="B452" t="s">
        <v>50</v>
      </c>
      <c r="C452" t="s">
        <v>48</v>
      </c>
      <c r="D452" t="s">
        <v>64</v>
      </c>
      <c r="E452" s="10">
        <v>45676.64898566356</v>
      </c>
      <c r="F452" s="12">
        <v>275.7</v>
      </c>
      <c r="G452">
        <f t="shared" ca="1" si="21"/>
        <v>2.8438949513219995</v>
      </c>
      <c r="H452" t="str">
        <f t="shared" ca="1" si="22"/>
        <v/>
      </c>
      <c r="I452" t="str">
        <f t="shared" si="23"/>
        <v/>
      </c>
    </row>
    <row r="453" spans="1:9" x14ac:dyDescent="0.3">
      <c r="A453" s="10">
        <v>45674.4404948925</v>
      </c>
      <c r="B453" t="s">
        <v>27</v>
      </c>
      <c r="C453" t="s">
        <v>22</v>
      </c>
      <c r="D453" t="s">
        <v>65</v>
      </c>
      <c r="E453" s="10">
        <v>45677.828826113982</v>
      </c>
      <c r="F453" s="12">
        <v>611.99</v>
      </c>
      <c r="G453">
        <f t="shared" ca="1" si="21"/>
        <v>3.3883312214820762</v>
      </c>
      <c r="H453" t="str">
        <f t="shared" ca="1" si="22"/>
        <v/>
      </c>
      <c r="I453" t="str">
        <f t="shared" si="23"/>
        <v/>
      </c>
    </row>
    <row r="454" spans="1:9" x14ac:dyDescent="0.3">
      <c r="A454" s="10">
        <v>45652.084412204575</v>
      </c>
      <c r="B454" t="s">
        <v>24</v>
      </c>
      <c r="C454" t="s">
        <v>22</v>
      </c>
      <c r="D454" t="s">
        <v>61</v>
      </c>
      <c r="E454" s="10">
        <v>45653.555548884491</v>
      </c>
      <c r="F454" s="12">
        <v>771.91</v>
      </c>
      <c r="G454">
        <f t="shared" ca="1" si="21"/>
        <v>1.4711366799165262</v>
      </c>
      <c r="H454" t="str">
        <f t="shared" ca="1" si="22"/>
        <v>Excellent handling</v>
      </c>
      <c r="I454" t="str">
        <f t="shared" si="23"/>
        <v/>
      </c>
    </row>
    <row r="455" spans="1:9" x14ac:dyDescent="0.3">
      <c r="A455" s="10">
        <v>45680.802358961831</v>
      </c>
      <c r="B455" t="s">
        <v>46</v>
      </c>
      <c r="C455" t="s">
        <v>45</v>
      </c>
      <c r="D455" t="s">
        <v>64</v>
      </c>
      <c r="E455" s="10">
        <v>45683.814469869387</v>
      </c>
      <c r="F455" s="12">
        <v>516.92999999999995</v>
      </c>
      <c r="G455">
        <f t="shared" ca="1" si="21"/>
        <v>3.012110907555325</v>
      </c>
      <c r="H455" t="str">
        <f t="shared" ca="1" si="22"/>
        <v/>
      </c>
      <c r="I455" t="str">
        <f t="shared" si="23"/>
        <v/>
      </c>
    </row>
    <row r="456" spans="1:9" x14ac:dyDescent="0.3">
      <c r="A456" s="10">
        <v>45652.734750696407</v>
      </c>
      <c r="B456" t="s">
        <v>11</v>
      </c>
      <c r="C456" t="s">
        <v>9</v>
      </c>
      <c r="D456" t="s">
        <v>67</v>
      </c>
      <c r="E456" s="10">
        <v>45655.232427000199</v>
      </c>
      <c r="F456" s="12">
        <v>168.84</v>
      </c>
      <c r="G456">
        <f t="shared" ca="1" si="21"/>
        <v>2.4976763037921046</v>
      </c>
      <c r="H456" t="str">
        <f t="shared" ca="1" si="22"/>
        <v/>
      </c>
      <c r="I456" t="str">
        <f t="shared" si="23"/>
        <v/>
      </c>
    </row>
    <row r="457" spans="1:9" x14ac:dyDescent="0.3">
      <c r="A457" s="10">
        <v>45670.383146463086</v>
      </c>
      <c r="B457" t="s">
        <v>20</v>
      </c>
      <c r="C457" t="s">
        <v>15</v>
      </c>
      <c r="D457" t="s">
        <v>64</v>
      </c>
      <c r="E457" s="10">
        <v>45671.383657752282</v>
      </c>
      <c r="F457" s="12">
        <v>528.89</v>
      </c>
      <c r="G457">
        <f t="shared" ca="1" si="21"/>
        <v>1.0005112891958561</v>
      </c>
      <c r="H457" t="str">
        <f t="shared" ca="1" si="22"/>
        <v>Excellent handling</v>
      </c>
      <c r="I457" t="str">
        <f t="shared" si="23"/>
        <v/>
      </c>
    </row>
    <row r="458" spans="1:9" x14ac:dyDescent="0.3">
      <c r="A458" s="10">
        <v>45666.72892070438</v>
      </c>
      <c r="B458" t="s">
        <v>38</v>
      </c>
      <c r="C458" t="s">
        <v>37</v>
      </c>
      <c r="D458" t="s">
        <v>63</v>
      </c>
      <c r="E458" s="10">
        <v>45671.580538771617</v>
      </c>
      <c r="F458" s="12">
        <v>102.11</v>
      </c>
      <c r="G458">
        <f t="shared" ca="1" si="21"/>
        <v>4.8516180672377232</v>
      </c>
      <c r="H458" t="str">
        <f t="shared" ca="1" si="22"/>
        <v>Bad handling</v>
      </c>
      <c r="I458" t="str">
        <f t="shared" si="23"/>
        <v/>
      </c>
    </row>
    <row r="459" spans="1:9" x14ac:dyDescent="0.3">
      <c r="A459" s="10">
        <v>45650.135957829327</v>
      </c>
      <c r="B459" t="s">
        <v>20</v>
      </c>
      <c r="C459" t="s">
        <v>15</v>
      </c>
      <c r="D459" t="s">
        <v>64</v>
      </c>
      <c r="E459" s="10">
        <v>45655.71861185247</v>
      </c>
      <c r="F459" s="12">
        <v>381.43</v>
      </c>
      <c r="G459">
        <f t="shared" ca="1" si="21"/>
        <v>5.5826540231428226</v>
      </c>
      <c r="H459" t="str">
        <f t="shared" ca="1" si="22"/>
        <v>Bad handling</v>
      </c>
      <c r="I459" t="str">
        <f t="shared" si="23"/>
        <v/>
      </c>
    </row>
    <row r="460" spans="1:9" x14ac:dyDescent="0.3">
      <c r="A460" s="10">
        <v>45638.712122435238</v>
      </c>
      <c r="B460" t="s">
        <v>39</v>
      </c>
      <c r="C460" t="s">
        <v>37</v>
      </c>
      <c r="D460" t="s">
        <v>65</v>
      </c>
      <c r="E460" s="10">
        <v>45639.408955902363</v>
      </c>
      <c r="F460" s="12">
        <v>199.54</v>
      </c>
      <c r="G460">
        <f t="shared" ca="1" si="21"/>
        <v>0.69683346712554339</v>
      </c>
      <c r="H460" t="str">
        <f t="shared" ca="1" si="22"/>
        <v>Excellent handling</v>
      </c>
      <c r="I460" t="str">
        <f t="shared" si="23"/>
        <v/>
      </c>
    </row>
    <row r="461" spans="1:9" x14ac:dyDescent="0.3">
      <c r="A461" s="10">
        <v>45694.944852291737</v>
      </c>
      <c r="B461" t="s">
        <v>17</v>
      </c>
      <c r="C461" t="s">
        <v>15</v>
      </c>
      <c r="D461" t="s">
        <v>62</v>
      </c>
      <c r="E461" s="10">
        <v>45695.002967043576</v>
      </c>
      <c r="F461" s="12">
        <v>360.88</v>
      </c>
      <c r="G461">
        <f t="shared" ca="1" si="21"/>
        <v>5.8114751838729717E-2</v>
      </c>
      <c r="H461" t="str">
        <f t="shared" ca="1" si="22"/>
        <v>Excellent handling</v>
      </c>
      <c r="I461" t="str">
        <f t="shared" si="23"/>
        <v/>
      </c>
    </row>
    <row r="462" spans="1:9" x14ac:dyDescent="0.3">
      <c r="A462" s="10">
        <v>45645.907916250217</v>
      </c>
      <c r="B462" t="s">
        <v>51</v>
      </c>
      <c r="C462" t="s">
        <v>48</v>
      </c>
      <c r="D462" t="s">
        <v>69</v>
      </c>
      <c r="E462" s="10">
        <v>45647.083118611867</v>
      </c>
      <c r="F462" s="12">
        <v>74.599999999999994</v>
      </c>
      <c r="G462">
        <f t="shared" ca="1" si="21"/>
        <v>1.1752023616500082</v>
      </c>
      <c r="H462" t="str">
        <f t="shared" ca="1" si="22"/>
        <v>Excellent handling</v>
      </c>
      <c r="I462" t="str">
        <f t="shared" si="23"/>
        <v/>
      </c>
    </row>
    <row r="463" spans="1:9" x14ac:dyDescent="0.3">
      <c r="A463" s="10">
        <v>45631.763346937361</v>
      </c>
      <c r="B463" t="s">
        <v>23</v>
      </c>
      <c r="C463" t="s">
        <v>22</v>
      </c>
      <c r="D463" t="s">
        <v>67</v>
      </c>
      <c r="E463" s="10">
        <v>45634.250975097646</v>
      </c>
      <c r="F463" s="12">
        <v>470.64</v>
      </c>
      <c r="G463">
        <f t="shared" ca="1" si="21"/>
        <v>2.4876281602846575</v>
      </c>
      <c r="H463" t="str">
        <f t="shared" ca="1" si="22"/>
        <v/>
      </c>
      <c r="I463" t="str">
        <f t="shared" si="23"/>
        <v/>
      </c>
    </row>
    <row r="464" spans="1:9" x14ac:dyDescent="0.3">
      <c r="A464" s="10">
        <v>45665.004596208317</v>
      </c>
      <c r="B464" t="s">
        <v>13</v>
      </c>
      <c r="C464" t="s">
        <v>9</v>
      </c>
      <c r="D464" t="s">
        <v>65</v>
      </c>
      <c r="E464" s="10">
        <v>45665.107759976221</v>
      </c>
      <c r="F464" s="12">
        <v>482.73</v>
      </c>
      <c r="G464">
        <f t="shared" ca="1" si="21"/>
        <v>0.10316376790433424</v>
      </c>
      <c r="H464" t="str">
        <f t="shared" ca="1" si="22"/>
        <v>Excellent handling</v>
      </c>
      <c r="I464" t="str">
        <f t="shared" si="23"/>
        <v/>
      </c>
    </row>
    <row r="465" spans="1:9" x14ac:dyDescent="0.3">
      <c r="A465" s="10">
        <v>45669.272328325489</v>
      </c>
      <c r="B465" t="s">
        <v>18</v>
      </c>
      <c r="C465" t="s">
        <v>15</v>
      </c>
      <c r="D465" t="s">
        <v>64</v>
      </c>
      <c r="E465" s="10">
        <v>45671.674314344404</v>
      </c>
      <c r="F465" s="12">
        <v>185.37</v>
      </c>
      <c r="G465">
        <f t="shared" ca="1" si="21"/>
        <v>2.4019860189146129</v>
      </c>
      <c r="H465" t="str">
        <f t="shared" ca="1" si="22"/>
        <v/>
      </c>
      <c r="I465" t="str">
        <f t="shared" si="23"/>
        <v>Weekend sale</v>
      </c>
    </row>
    <row r="466" spans="1:9" x14ac:dyDescent="0.3">
      <c r="A466" s="10">
        <v>45664.447350975861</v>
      </c>
      <c r="B466" t="s">
        <v>13</v>
      </c>
      <c r="C466" t="s">
        <v>9</v>
      </c>
      <c r="D466" t="s">
        <v>65</v>
      </c>
      <c r="E466" s="10">
        <v>45667.037732999452</v>
      </c>
      <c r="F466" s="12">
        <v>356.84</v>
      </c>
      <c r="G466">
        <f t="shared" ca="1" si="21"/>
        <v>2.5903820235907915</v>
      </c>
      <c r="H466" t="str">
        <f t="shared" ca="1" si="22"/>
        <v/>
      </c>
      <c r="I466" t="str">
        <f t="shared" si="23"/>
        <v/>
      </c>
    </row>
    <row r="467" spans="1:9" x14ac:dyDescent="0.3">
      <c r="A467" s="10">
        <v>45696.642953115588</v>
      </c>
      <c r="B467" t="s">
        <v>24</v>
      </c>
      <c r="C467" t="s">
        <v>22</v>
      </c>
      <c r="D467" t="s">
        <v>61</v>
      </c>
      <c r="E467" s="10">
        <v>45700.413820767339</v>
      </c>
      <c r="F467" s="12">
        <v>640.32000000000005</v>
      </c>
      <c r="G467">
        <f t="shared" ca="1" si="21"/>
        <v>3.77086765175045</v>
      </c>
      <c r="H467" t="str">
        <f t="shared" ca="1" si="22"/>
        <v/>
      </c>
      <c r="I467" t="str">
        <f t="shared" si="23"/>
        <v>Weekend sale</v>
      </c>
    </row>
    <row r="468" spans="1:9" x14ac:dyDescent="0.3">
      <c r="A468" s="10">
        <v>45633.898637193808</v>
      </c>
      <c r="B468" t="s">
        <v>24</v>
      </c>
      <c r="C468" t="s">
        <v>22</v>
      </c>
      <c r="D468" t="s">
        <v>61</v>
      </c>
      <c r="E468" s="10" t="s">
        <v>74</v>
      </c>
      <c r="F468" s="12">
        <v>243.91</v>
      </c>
      <c r="G468">
        <f t="shared" ca="1" si="21"/>
        <v>421.1013628061919</v>
      </c>
      <c r="H468" t="str">
        <f t="shared" ca="1" si="22"/>
        <v>Bad handling</v>
      </c>
      <c r="I468" t="str">
        <f t="shared" si="23"/>
        <v>Weekend sale</v>
      </c>
    </row>
    <row r="469" spans="1:9" x14ac:dyDescent="0.3">
      <c r="A469" s="10">
        <v>45656.192610933016</v>
      </c>
      <c r="B469" t="s">
        <v>28</v>
      </c>
      <c r="C469" t="s">
        <v>22</v>
      </c>
      <c r="D469" t="s">
        <v>67</v>
      </c>
      <c r="E469" s="10">
        <v>45658.048001842471</v>
      </c>
      <c r="F469" s="12">
        <v>578.65</v>
      </c>
      <c r="G469">
        <f t="shared" ca="1" si="21"/>
        <v>1.8553909094553092</v>
      </c>
      <c r="H469" t="str">
        <f t="shared" ca="1" si="22"/>
        <v>Excellent handling</v>
      </c>
      <c r="I469" t="str">
        <f t="shared" si="23"/>
        <v/>
      </c>
    </row>
    <row r="470" spans="1:9" x14ac:dyDescent="0.3">
      <c r="A470" s="10">
        <v>45686.843963785381</v>
      </c>
      <c r="B470" t="s">
        <v>49</v>
      </c>
      <c r="C470" t="s">
        <v>48</v>
      </c>
      <c r="D470" t="s">
        <v>63</v>
      </c>
      <c r="E470" s="10">
        <v>45689.283240411583</v>
      </c>
      <c r="F470" s="12">
        <v>458.38</v>
      </c>
      <c r="G470">
        <f t="shared" ca="1" si="21"/>
        <v>2.4392766262026271</v>
      </c>
      <c r="H470" t="str">
        <f t="shared" ca="1" si="22"/>
        <v/>
      </c>
      <c r="I470" t="str">
        <f t="shared" si="23"/>
        <v/>
      </c>
    </row>
    <row r="471" spans="1:9" x14ac:dyDescent="0.3">
      <c r="A471" s="10">
        <v>45684.523864248804</v>
      </c>
      <c r="B471" t="s">
        <v>21</v>
      </c>
      <c r="C471" t="s">
        <v>15</v>
      </c>
      <c r="D471" t="s">
        <v>61</v>
      </c>
      <c r="E471" s="10">
        <v>45686.76708986138</v>
      </c>
      <c r="F471" s="12">
        <v>726.93</v>
      </c>
      <c r="G471">
        <f t="shared" ca="1" si="21"/>
        <v>2.2432256125757704</v>
      </c>
      <c r="H471" t="str">
        <f t="shared" ca="1" si="22"/>
        <v/>
      </c>
      <c r="I471" t="str">
        <f t="shared" si="23"/>
        <v/>
      </c>
    </row>
    <row r="472" spans="1:9" x14ac:dyDescent="0.3">
      <c r="A472" s="10">
        <v>45695.342594061687</v>
      </c>
      <c r="B472" t="s">
        <v>14</v>
      </c>
      <c r="C472" t="s">
        <v>9</v>
      </c>
      <c r="D472" t="s">
        <v>61</v>
      </c>
      <c r="E472" s="10">
        <v>45697.643675011161</v>
      </c>
      <c r="F472" s="12">
        <v>694.05</v>
      </c>
      <c r="G472">
        <f t="shared" ca="1" si="21"/>
        <v>2.301080949473544</v>
      </c>
      <c r="H472" t="str">
        <f t="shared" ca="1" si="22"/>
        <v/>
      </c>
      <c r="I472" t="str">
        <f t="shared" si="23"/>
        <v/>
      </c>
    </row>
    <row r="473" spans="1:9" x14ac:dyDescent="0.3">
      <c r="A473" s="10">
        <v>45630.675022057367</v>
      </c>
      <c r="B473" t="s">
        <v>27</v>
      </c>
      <c r="C473" t="s">
        <v>22</v>
      </c>
      <c r="D473" t="s">
        <v>65</v>
      </c>
      <c r="E473" s="10">
        <v>45631.909041023377</v>
      </c>
      <c r="F473" s="12">
        <v>746.31</v>
      </c>
      <c r="G473">
        <f t="shared" ca="1" si="21"/>
        <v>1.2340189660098986</v>
      </c>
      <c r="H473" t="str">
        <f t="shared" ca="1" si="22"/>
        <v>Excellent handling</v>
      </c>
      <c r="I473" t="str">
        <f t="shared" si="23"/>
        <v/>
      </c>
    </row>
    <row r="474" spans="1:9" x14ac:dyDescent="0.3">
      <c r="A474" s="10">
        <v>45675.061374608973</v>
      </c>
      <c r="B474" t="s">
        <v>32</v>
      </c>
      <c r="C474" t="s">
        <v>29</v>
      </c>
      <c r="D474" t="s">
        <v>68</v>
      </c>
      <c r="E474" s="10">
        <v>45677.400366633665</v>
      </c>
      <c r="F474" s="12">
        <v>89.13</v>
      </c>
      <c r="G474">
        <f t="shared" ca="1" si="21"/>
        <v>2.3389920246918336</v>
      </c>
      <c r="H474" t="str">
        <f t="shared" ca="1" si="22"/>
        <v/>
      </c>
      <c r="I474" t="str">
        <f t="shared" si="23"/>
        <v>Weekend sale</v>
      </c>
    </row>
    <row r="475" spans="1:9" x14ac:dyDescent="0.3">
      <c r="A475" s="10">
        <v>45652.668833805525</v>
      </c>
      <c r="B475" t="s">
        <v>44</v>
      </c>
      <c r="C475" t="s">
        <v>42</v>
      </c>
      <c r="D475" t="s">
        <v>67</v>
      </c>
      <c r="E475" s="10">
        <v>45655.175954960556</v>
      </c>
      <c r="F475" s="12">
        <v>78.53</v>
      </c>
      <c r="G475">
        <f t="shared" ca="1" si="21"/>
        <v>2.5071211550312</v>
      </c>
      <c r="H475" t="str">
        <f t="shared" ca="1" si="22"/>
        <v/>
      </c>
      <c r="I475" t="str">
        <f t="shared" si="23"/>
        <v/>
      </c>
    </row>
    <row r="476" spans="1:9" x14ac:dyDescent="0.3">
      <c r="A476" s="10">
        <v>45693.585712680215</v>
      </c>
      <c r="B476" t="s">
        <v>16</v>
      </c>
      <c r="C476" t="s">
        <v>15</v>
      </c>
      <c r="D476" t="s">
        <v>61</v>
      </c>
      <c r="E476" s="10">
        <v>45695.461121343695</v>
      </c>
      <c r="F476" s="12">
        <v>400.46</v>
      </c>
      <c r="G476">
        <f t="shared" ca="1" si="21"/>
        <v>1.8754086634799023</v>
      </c>
      <c r="H476" t="str">
        <f t="shared" ca="1" si="22"/>
        <v>Excellent handling</v>
      </c>
      <c r="I476" t="str">
        <f t="shared" si="23"/>
        <v/>
      </c>
    </row>
    <row r="477" spans="1:9" x14ac:dyDescent="0.3">
      <c r="A477" s="10">
        <v>45664.789779052422</v>
      </c>
      <c r="B477" t="s">
        <v>50</v>
      </c>
      <c r="C477" t="s">
        <v>48</v>
      </c>
      <c r="D477" t="s">
        <v>64</v>
      </c>
      <c r="E477" s="10">
        <v>45666.663819666486</v>
      </c>
      <c r="F477" s="12">
        <v>589.04999999999995</v>
      </c>
      <c r="G477">
        <f t="shared" ca="1" si="21"/>
        <v>1.8740406140641426</v>
      </c>
      <c r="H477" t="str">
        <f t="shared" ca="1" si="22"/>
        <v>Excellent handling</v>
      </c>
      <c r="I477" t="str">
        <f t="shared" si="23"/>
        <v/>
      </c>
    </row>
    <row r="478" spans="1:9" x14ac:dyDescent="0.3">
      <c r="A478" s="10">
        <v>45639.745365934337</v>
      </c>
      <c r="B478" t="s">
        <v>50</v>
      </c>
      <c r="C478" t="s">
        <v>48</v>
      </c>
      <c r="D478" t="s">
        <v>64</v>
      </c>
      <c r="E478" s="10">
        <v>45643.944632262217</v>
      </c>
      <c r="F478" s="12">
        <v>205.02</v>
      </c>
      <c r="G478">
        <f t="shared" ca="1" si="21"/>
        <v>4.1992663278797409</v>
      </c>
      <c r="H478" t="str">
        <f t="shared" ca="1" si="22"/>
        <v>Bad handling</v>
      </c>
      <c r="I478" t="str">
        <f t="shared" si="23"/>
        <v/>
      </c>
    </row>
    <row r="479" spans="1:9" x14ac:dyDescent="0.3">
      <c r="A479" s="10">
        <v>45695.058607091138</v>
      </c>
      <c r="B479" t="s">
        <v>16</v>
      </c>
      <c r="C479" t="s">
        <v>15</v>
      </c>
      <c r="D479" t="s">
        <v>61</v>
      </c>
      <c r="E479" s="10">
        <v>45697.694065427866</v>
      </c>
      <c r="F479" s="12">
        <v>493.97</v>
      </c>
      <c r="G479">
        <f t="shared" ca="1" si="21"/>
        <v>2.635458336728334</v>
      </c>
      <c r="H479" t="str">
        <f t="shared" ca="1" si="22"/>
        <v/>
      </c>
      <c r="I479" t="str">
        <f t="shared" si="23"/>
        <v/>
      </c>
    </row>
    <row r="480" spans="1:9" x14ac:dyDescent="0.3">
      <c r="A480" s="10">
        <v>45643.515146662248</v>
      </c>
      <c r="B480" t="s">
        <v>43</v>
      </c>
      <c r="C480" t="s">
        <v>42</v>
      </c>
      <c r="D480" t="s">
        <v>62</v>
      </c>
      <c r="E480" s="10">
        <v>45645.714860600194</v>
      </c>
      <c r="F480" s="12">
        <v>451.06</v>
      </c>
      <c r="G480">
        <f t="shared" ca="1" si="21"/>
        <v>2.1997139379454893</v>
      </c>
      <c r="H480" t="str">
        <f t="shared" ca="1" si="22"/>
        <v/>
      </c>
      <c r="I480" t="str">
        <f t="shared" si="23"/>
        <v/>
      </c>
    </row>
    <row r="481" spans="1:9" x14ac:dyDescent="0.3">
      <c r="A481" s="10">
        <v>45674.541881219702</v>
      </c>
      <c r="B481" t="s">
        <v>30</v>
      </c>
      <c r="C481" t="s">
        <v>29</v>
      </c>
      <c r="D481" t="s">
        <v>68</v>
      </c>
      <c r="E481" s="10">
        <v>45677.502958420744</v>
      </c>
      <c r="F481" s="12">
        <v>501.76</v>
      </c>
      <c r="G481">
        <f t="shared" ca="1" si="21"/>
        <v>2.9610772010419169</v>
      </c>
      <c r="H481" t="str">
        <f t="shared" ca="1" si="22"/>
        <v/>
      </c>
      <c r="I481" t="str">
        <f t="shared" si="23"/>
        <v/>
      </c>
    </row>
    <row r="482" spans="1:9" x14ac:dyDescent="0.3">
      <c r="A482" s="10">
        <v>45633.352693847781</v>
      </c>
      <c r="B482" t="s">
        <v>49</v>
      </c>
      <c r="C482" t="s">
        <v>48</v>
      </c>
      <c r="D482" t="s">
        <v>63</v>
      </c>
      <c r="E482" s="10">
        <v>45633.933888482432</v>
      </c>
      <c r="F482" s="12">
        <v>510.59</v>
      </c>
      <c r="G482">
        <f t="shared" ca="1" si="21"/>
        <v>0.58119463465118315</v>
      </c>
      <c r="H482" t="str">
        <f t="shared" ca="1" si="22"/>
        <v>Excellent handling</v>
      </c>
      <c r="I482" t="str">
        <f t="shared" si="23"/>
        <v>Weekend sale</v>
      </c>
    </row>
    <row r="483" spans="1:9" x14ac:dyDescent="0.3">
      <c r="A483" s="10">
        <v>45654.424635935902</v>
      </c>
      <c r="B483" t="s">
        <v>17</v>
      </c>
      <c r="C483" t="s">
        <v>15</v>
      </c>
      <c r="D483" t="s">
        <v>62</v>
      </c>
      <c r="E483" s="10">
        <v>45656.941704263569</v>
      </c>
      <c r="F483" s="12">
        <v>629.64</v>
      </c>
      <c r="G483">
        <f t="shared" ca="1" si="21"/>
        <v>2.5170683276664931</v>
      </c>
      <c r="H483" t="str">
        <f t="shared" ca="1" si="22"/>
        <v/>
      </c>
      <c r="I483" t="str">
        <f t="shared" si="23"/>
        <v>Weekend sale</v>
      </c>
    </row>
    <row r="484" spans="1:9" x14ac:dyDescent="0.3">
      <c r="A484" s="10">
        <v>45683.022721781541</v>
      </c>
      <c r="B484" t="s">
        <v>28</v>
      </c>
      <c r="C484" t="s">
        <v>22</v>
      </c>
      <c r="D484" t="s">
        <v>67</v>
      </c>
      <c r="E484" s="10" t="s">
        <v>74</v>
      </c>
      <c r="F484" s="12">
        <v>635.34</v>
      </c>
      <c r="G484">
        <f t="shared" ca="1" si="21"/>
        <v>371.97727821845911</v>
      </c>
      <c r="H484" t="str">
        <f t="shared" ca="1" si="22"/>
        <v>Bad handling</v>
      </c>
      <c r="I484" t="str">
        <f t="shared" si="23"/>
        <v>Weekend sale</v>
      </c>
    </row>
    <row r="485" spans="1:9" x14ac:dyDescent="0.3">
      <c r="A485" s="10">
        <v>45640.452680502858</v>
      </c>
      <c r="B485" t="s">
        <v>31</v>
      </c>
      <c r="C485" t="s">
        <v>29</v>
      </c>
      <c r="D485" t="s">
        <v>61</v>
      </c>
      <c r="E485" s="10">
        <v>45641.462557751809</v>
      </c>
      <c r="F485" s="12">
        <v>469.49</v>
      </c>
      <c r="G485">
        <f t="shared" ca="1" si="21"/>
        <v>1.0098772489509429</v>
      </c>
      <c r="H485" t="str">
        <f t="shared" ca="1" si="22"/>
        <v>Excellent handling</v>
      </c>
      <c r="I485" t="str">
        <f t="shared" si="23"/>
        <v>Weekend sale</v>
      </c>
    </row>
    <row r="486" spans="1:9" x14ac:dyDescent="0.3">
      <c r="A486" s="10">
        <v>45670.950394026018</v>
      </c>
      <c r="B486" t="s">
        <v>54</v>
      </c>
      <c r="C486" t="s">
        <v>52</v>
      </c>
      <c r="D486" t="s">
        <v>66</v>
      </c>
      <c r="E486" s="10">
        <v>45673.936501266078</v>
      </c>
      <c r="F486" s="12">
        <v>404.89</v>
      </c>
      <c r="G486">
        <f t="shared" ca="1" si="21"/>
        <v>2.9861072400599369</v>
      </c>
      <c r="H486" t="str">
        <f t="shared" ca="1" si="22"/>
        <v/>
      </c>
      <c r="I486" t="str">
        <f t="shared" si="23"/>
        <v/>
      </c>
    </row>
    <row r="487" spans="1:9" x14ac:dyDescent="0.3">
      <c r="A487" s="10">
        <v>45627.756086266389</v>
      </c>
      <c r="B487" t="s">
        <v>55</v>
      </c>
      <c r="C487" t="s">
        <v>52</v>
      </c>
      <c r="D487" t="s">
        <v>67</v>
      </c>
      <c r="E487" s="10">
        <v>45633.631306556643</v>
      </c>
      <c r="F487" s="12">
        <v>652.25</v>
      </c>
      <c r="G487">
        <f t="shared" ca="1" si="21"/>
        <v>5.8752202902542194</v>
      </c>
      <c r="H487" t="str">
        <f t="shared" ca="1" si="22"/>
        <v>Bad handling</v>
      </c>
      <c r="I487" t="str">
        <f t="shared" si="23"/>
        <v>Weekend sale</v>
      </c>
    </row>
    <row r="488" spans="1:9" x14ac:dyDescent="0.3">
      <c r="A488" s="10">
        <v>45664.85333253452</v>
      </c>
      <c r="B488" t="s">
        <v>17</v>
      </c>
      <c r="C488" t="s">
        <v>15</v>
      </c>
      <c r="D488" t="s">
        <v>62</v>
      </c>
      <c r="E488" s="10">
        <v>45667.147997632033</v>
      </c>
      <c r="F488" s="12">
        <v>574.42999999999995</v>
      </c>
      <c r="G488">
        <f t="shared" ca="1" si="21"/>
        <v>2.2946650975136436</v>
      </c>
      <c r="H488" t="str">
        <f t="shared" ca="1" si="22"/>
        <v/>
      </c>
      <c r="I488" t="str">
        <f t="shared" si="23"/>
        <v/>
      </c>
    </row>
    <row r="489" spans="1:9" x14ac:dyDescent="0.3">
      <c r="A489" s="10">
        <v>45635.568887660942</v>
      </c>
      <c r="B489" t="s">
        <v>50</v>
      </c>
      <c r="C489" t="s">
        <v>48</v>
      </c>
      <c r="D489" t="s">
        <v>64</v>
      </c>
      <c r="E489" s="10">
        <v>45637.313241355514</v>
      </c>
      <c r="F489" s="12">
        <v>773.54</v>
      </c>
      <c r="G489">
        <f t="shared" ca="1" si="21"/>
        <v>1.7443536945720552</v>
      </c>
      <c r="H489" t="str">
        <f t="shared" ca="1" si="22"/>
        <v>Excellent handling</v>
      </c>
      <c r="I489" t="str">
        <f t="shared" si="23"/>
        <v/>
      </c>
    </row>
    <row r="490" spans="1:9" x14ac:dyDescent="0.3">
      <c r="A490" s="10">
        <v>45687.658443012115</v>
      </c>
      <c r="B490" t="s">
        <v>34</v>
      </c>
      <c r="C490" t="s">
        <v>33</v>
      </c>
      <c r="D490" t="s">
        <v>62</v>
      </c>
      <c r="E490" s="10">
        <v>45690.180378830701</v>
      </c>
      <c r="F490" s="12">
        <v>502.85</v>
      </c>
      <c r="G490">
        <f t="shared" ca="1" si="21"/>
        <v>2.5219358185859164</v>
      </c>
      <c r="H490" t="str">
        <f t="shared" ca="1" si="22"/>
        <v/>
      </c>
      <c r="I490" t="str">
        <f t="shared" si="23"/>
        <v/>
      </c>
    </row>
    <row r="491" spans="1:9" x14ac:dyDescent="0.3">
      <c r="A491" s="10">
        <v>45637.730816227362</v>
      </c>
      <c r="B491" t="s">
        <v>12</v>
      </c>
      <c r="C491" t="s">
        <v>9</v>
      </c>
      <c r="D491" t="s">
        <v>62</v>
      </c>
      <c r="E491" s="10">
        <v>45640.428132531451</v>
      </c>
      <c r="F491" s="12">
        <v>294.97000000000003</v>
      </c>
      <c r="G491">
        <f t="shared" ca="1" si="21"/>
        <v>2.6973163040893269</v>
      </c>
      <c r="H491" t="str">
        <f t="shared" ca="1" si="22"/>
        <v/>
      </c>
      <c r="I491" t="str">
        <f t="shared" si="23"/>
        <v/>
      </c>
    </row>
    <row r="492" spans="1:9" x14ac:dyDescent="0.3">
      <c r="A492" s="10">
        <v>45631.107318077971</v>
      </c>
      <c r="B492" t="s">
        <v>11</v>
      </c>
      <c r="C492" t="s">
        <v>9</v>
      </c>
      <c r="D492" t="s">
        <v>67</v>
      </c>
      <c r="E492" s="10">
        <v>45633.015197262102</v>
      </c>
      <c r="F492" s="12">
        <v>602.32000000000005</v>
      </c>
      <c r="G492">
        <f t="shared" ca="1" si="21"/>
        <v>1.9078791841311613</v>
      </c>
      <c r="H492" t="str">
        <f t="shared" ca="1" si="22"/>
        <v>Excellent handling</v>
      </c>
      <c r="I492" t="str">
        <f t="shared" si="23"/>
        <v/>
      </c>
    </row>
    <row r="493" spans="1:9" x14ac:dyDescent="0.3">
      <c r="A493" s="10">
        <v>45633.906737491234</v>
      </c>
      <c r="B493" t="s">
        <v>28</v>
      </c>
      <c r="C493" t="s">
        <v>22</v>
      </c>
      <c r="D493" t="s">
        <v>67</v>
      </c>
      <c r="E493" s="10">
        <v>45636.29866241019</v>
      </c>
      <c r="F493" s="12">
        <v>43.1</v>
      </c>
      <c r="G493">
        <f t="shared" ca="1" si="21"/>
        <v>2.3919249189566472</v>
      </c>
      <c r="H493" t="str">
        <f t="shared" ca="1" si="22"/>
        <v/>
      </c>
      <c r="I493" t="str">
        <f t="shared" si="23"/>
        <v>Weekend sale</v>
      </c>
    </row>
    <row r="494" spans="1:9" x14ac:dyDescent="0.3">
      <c r="A494" s="10">
        <v>45685.383421253995</v>
      </c>
      <c r="B494" t="s">
        <v>35</v>
      </c>
      <c r="C494" t="s">
        <v>33</v>
      </c>
      <c r="D494" t="s">
        <v>67</v>
      </c>
      <c r="E494" s="10">
        <v>45688.168696212357</v>
      </c>
      <c r="F494" s="12">
        <v>153.71</v>
      </c>
      <c r="G494">
        <f t="shared" ca="1" si="21"/>
        <v>2.7852749583616969</v>
      </c>
      <c r="H494" t="str">
        <f t="shared" ca="1" si="22"/>
        <v/>
      </c>
      <c r="I494" t="str">
        <f t="shared" si="23"/>
        <v/>
      </c>
    </row>
    <row r="495" spans="1:9" x14ac:dyDescent="0.3">
      <c r="A495" s="10">
        <v>45684.167343533278</v>
      </c>
      <c r="B495" t="s">
        <v>27</v>
      </c>
      <c r="C495" t="s">
        <v>22</v>
      </c>
      <c r="D495" t="s">
        <v>65</v>
      </c>
      <c r="E495" s="10">
        <v>45687.907773074832</v>
      </c>
      <c r="F495" s="12">
        <v>722</v>
      </c>
      <c r="G495">
        <f t="shared" ca="1" si="21"/>
        <v>3.7404295415544766</v>
      </c>
      <c r="H495" t="str">
        <f t="shared" ca="1" si="22"/>
        <v/>
      </c>
      <c r="I495" t="str">
        <f t="shared" si="23"/>
        <v/>
      </c>
    </row>
    <row r="496" spans="1:9" x14ac:dyDescent="0.3">
      <c r="A496" s="10">
        <v>45663.30703400544</v>
      </c>
      <c r="B496" t="s">
        <v>13</v>
      </c>
      <c r="C496" t="s">
        <v>9</v>
      </c>
      <c r="D496" t="s">
        <v>65</v>
      </c>
      <c r="E496" s="10">
        <v>45663.418371350825</v>
      </c>
      <c r="F496" s="12">
        <v>252.9</v>
      </c>
      <c r="G496">
        <f t="shared" ca="1" si="21"/>
        <v>0.111337345384527</v>
      </c>
      <c r="H496" t="str">
        <f t="shared" ca="1" si="22"/>
        <v>Excellent handling</v>
      </c>
      <c r="I496" t="str">
        <f t="shared" si="23"/>
        <v/>
      </c>
    </row>
    <row r="497" spans="1:9" x14ac:dyDescent="0.3">
      <c r="A497" s="10">
        <v>45630.55960251818</v>
      </c>
      <c r="B497" t="s">
        <v>23</v>
      </c>
      <c r="C497" t="s">
        <v>22</v>
      </c>
      <c r="D497" t="s">
        <v>67</v>
      </c>
      <c r="E497" s="10">
        <v>45636.097820419556</v>
      </c>
      <c r="F497" s="12">
        <v>436.31</v>
      </c>
      <c r="G497">
        <f t="shared" ca="1" si="21"/>
        <v>5.5382179013759014</v>
      </c>
      <c r="H497" t="str">
        <f t="shared" ca="1" si="22"/>
        <v>Bad handling</v>
      </c>
      <c r="I497" t="str">
        <f t="shared" si="23"/>
        <v/>
      </c>
    </row>
    <row r="498" spans="1:9" x14ac:dyDescent="0.3">
      <c r="A498" s="10">
        <v>45688.353682932808</v>
      </c>
      <c r="B498" t="s">
        <v>28</v>
      </c>
      <c r="C498" t="s">
        <v>22</v>
      </c>
      <c r="D498" t="s">
        <v>67</v>
      </c>
      <c r="E498" s="10">
        <v>45693.714381667771</v>
      </c>
      <c r="F498" s="12">
        <v>93.45</v>
      </c>
      <c r="G498">
        <f t="shared" ca="1" si="21"/>
        <v>5.3606987349630799</v>
      </c>
      <c r="H498" t="str">
        <f t="shared" ca="1" si="22"/>
        <v>Bad handling</v>
      </c>
      <c r="I498" t="str">
        <f t="shared" si="23"/>
        <v/>
      </c>
    </row>
    <row r="499" spans="1:9" x14ac:dyDescent="0.3">
      <c r="A499" s="10">
        <v>45627.102546173657</v>
      </c>
      <c r="B499" t="s">
        <v>16</v>
      </c>
      <c r="C499" t="s">
        <v>15</v>
      </c>
      <c r="D499" t="s">
        <v>61</v>
      </c>
      <c r="E499" s="10" t="s">
        <v>72</v>
      </c>
      <c r="F499" s="12">
        <v>69.27</v>
      </c>
      <c r="G499">
        <f t="shared" ca="1" si="21"/>
        <v>427.89745382634283</v>
      </c>
      <c r="H499" t="str">
        <f t="shared" ca="1" si="22"/>
        <v>Bad handling</v>
      </c>
      <c r="I499" t="str">
        <f t="shared" si="23"/>
        <v>Weekend sale</v>
      </c>
    </row>
    <row r="500" spans="1:9" x14ac:dyDescent="0.3">
      <c r="A500" s="10">
        <v>45656.839455006761</v>
      </c>
      <c r="B500" t="s">
        <v>47</v>
      </c>
      <c r="C500" t="s">
        <v>45</v>
      </c>
      <c r="D500" t="s">
        <v>60</v>
      </c>
      <c r="E500" s="10">
        <v>45660.074081061699</v>
      </c>
      <c r="F500" s="12">
        <v>366.55</v>
      </c>
      <c r="G500">
        <f t="shared" ca="1" si="21"/>
        <v>3.2346260549384169</v>
      </c>
      <c r="H500" t="str">
        <f t="shared" ca="1" si="22"/>
        <v/>
      </c>
      <c r="I500" t="str">
        <f t="shared" si="23"/>
        <v/>
      </c>
    </row>
    <row r="501" spans="1:9" x14ac:dyDescent="0.3">
      <c r="A501" s="10">
        <v>45654.040664664579</v>
      </c>
      <c r="B501" t="s">
        <v>51</v>
      </c>
      <c r="C501" t="s">
        <v>48</v>
      </c>
      <c r="D501" t="s">
        <v>69</v>
      </c>
      <c r="E501" s="10">
        <v>45655.593947597692</v>
      </c>
      <c r="F501" s="12">
        <v>552.84</v>
      </c>
      <c r="G501">
        <f t="shared" ca="1" si="21"/>
        <v>1.5532829331132234</v>
      </c>
      <c r="H501" t="str">
        <f t="shared" ca="1" si="22"/>
        <v>Excellent handling</v>
      </c>
      <c r="I501" t="str">
        <f t="shared" si="23"/>
        <v>Weekend sale</v>
      </c>
    </row>
    <row r="502" spans="1:9" x14ac:dyDescent="0.3">
      <c r="A502" s="10">
        <v>45669.12151011169</v>
      </c>
      <c r="B502" t="s">
        <v>26</v>
      </c>
      <c r="C502" t="s">
        <v>22</v>
      </c>
      <c r="D502" t="s">
        <v>65</v>
      </c>
      <c r="E502" s="10">
        <v>45671.678315006546</v>
      </c>
      <c r="F502" s="12">
        <v>363.1</v>
      </c>
      <c r="G502">
        <f t="shared" ca="1" si="21"/>
        <v>2.5568048948553042</v>
      </c>
      <c r="H502" t="str">
        <f t="shared" ca="1" si="22"/>
        <v/>
      </c>
      <c r="I502" t="str">
        <f t="shared" si="23"/>
        <v>Weekend sale</v>
      </c>
    </row>
    <row r="503" spans="1:9" x14ac:dyDescent="0.3">
      <c r="A503" s="10">
        <v>45639.071017821145</v>
      </c>
      <c r="B503" t="s">
        <v>34</v>
      </c>
      <c r="C503" t="s">
        <v>33</v>
      </c>
      <c r="D503" t="s">
        <v>62</v>
      </c>
      <c r="E503" s="10">
        <v>45640.704684698423</v>
      </c>
      <c r="F503" s="12">
        <v>208.88</v>
      </c>
      <c r="G503">
        <f t="shared" ca="1" si="21"/>
        <v>1.6336668772783014</v>
      </c>
      <c r="H503" t="str">
        <f t="shared" ca="1" si="22"/>
        <v>Excellent handling</v>
      </c>
      <c r="I503" t="str">
        <f t="shared" si="23"/>
        <v/>
      </c>
    </row>
    <row r="504" spans="1:9" x14ac:dyDescent="0.3">
      <c r="A504" s="10">
        <v>45658.649124599804</v>
      </c>
      <c r="B504" t="s">
        <v>28</v>
      </c>
      <c r="C504" t="s">
        <v>22</v>
      </c>
      <c r="D504" t="s">
        <v>67</v>
      </c>
      <c r="E504" s="10">
        <v>45659.836467805188</v>
      </c>
      <c r="F504" s="12">
        <v>539.07000000000005</v>
      </c>
      <c r="G504">
        <f t="shared" ca="1" si="21"/>
        <v>1.1873432053835131</v>
      </c>
      <c r="H504" t="str">
        <f t="shared" ca="1" si="22"/>
        <v>Excellent handling</v>
      </c>
      <c r="I504" t="str">
        <f t="shared" si="23"/>
        <v/>
      </c>
    </row>
    <row r="505" spans="1:9" x14ac:dyDescent="0.3">
      <c r="A505" s="10">
        <v>45655.223125047734</v>
      </c>
      <c r="B505" t="s">
        <v>44</v>
      </c>
      <c r="C505" t="s">
        <v>42</v>
      </c>
      <c r="D505" t="s">
        <v>67</v>
      </c>
      <c r="E505" s="10">
        <v>45659.976004866949</v>
      </c>
      <c r="F505" s="12">
        <v>72.41</v>
      </c>
      <c r="G505">
        <f t="shared" ca="1" si="21"/>
        <v>4.7528798192142858</v>
      </c>
      <c r="H505" t="str">
        <f t="shared" ca="1" si="22"/>
        <v>Bad handling</v>
      </c>
      <c r="I505" t="str">
        <f t="shared" si="23"/>
        <v>Weekend sale</v>
      </c>
    </row>
    <row r="506" spans="1:9" x14ac:dyDescent="0.3">
      <c r="A506" s="10">
        <v>45631.24119993981</v>
      </c>
      <c r="B506" t="s">
        <v>18</v>
      </c>
      <c r="C506" t="s">
        <v>15</v>
      </c>
      <c r="D506" t="s">
        <v>64</v>
      </c>
      <c r="E506" s="10">
        <v>45632.006601796551</v>
      </c>
      <c r="F506" s="12">
        <v>158.12</v>
      </c>
      <c r="G506">
        <f t="shared" ca="1" si="21"/>
        <v>0.76540185674093664</v>
      </c>
      <c r="H506" t="str">
        <f t="shared" ca="1" si="22"/>
        <v>Excellent handling</v>
      </c>
      <c r="I506" t="str">
        <f t="shared" si="23"/>
        <v/>
      </c>
    </row>
    <row r="507" spans="1:9" x14ac:dyDescent="0.3">
      <c r="A507" s="10">
        <v>45672.888686307793</v>
      </c>
      <c r="B507" t="s">
        <v>14</v>
      </c>
      <c r="C507" t="s">
        <v>9</v>
      </c>
      <c r="D507" t="s">
        <v>61</v>
      </c>
      <c r="E507" s="10">
        <v>45677.336026095327</v>
      </c>
      <c r="F507" s="12">
        <v>365.72</v>
      </c>
      <c r="G507">
        <f t="shared" ca="1" si="21"/>
        <v>4.447339787533565</v>
      </c>
      <c r="H507" t="str">
        <f t="shared" ca="1" si="22"/>
        <v>Bad handling</v>
      </c>
      <c r="I507" t="str">
        <f t="shared" si="23"/>
        <v/>
      </c>
    </row>
    <row r="508" spans="1:9" x14ac:dyDescent="0.3">
      <c r="A508" s="10">
        <v>45694.902286740835</v>
      </c>
      <c r="B508" t="s">
        <v>53</v>
      </c>
      <c r="C508" t="s">
        <v>52</v>
      </c>
      <c r="D508" t="s">
        <v>66</v>
      </c>
      <c r="E508" s="10" t="s">
        <v>73</v>
      </c>
      <c r="F508" s="12">
        <v>748.9</v>
      </c>
      <c r="G508">
        <f t="shared" ca="1" si="21"/>
        <v>360.09771325916518</v>
      </c>
      <c r="H508" t="str">
        <f t="shared" ca="1" si="22"/>
        <v>Bad handling</v>
      </c>
      <c r="I508" t="str">
        <f t="shared" si="23"/>
        <v/>
      </c>
    </row>
    <row r="509" spans="1:9" x14ac:dyDescent="0.3">
      <c r="A509" s="10">
        <v>45693.605314856097</v>
      </c>
      <c r="B509" t="s">
        <v>17</v>
      </c>
      <c r="C509" t="s">
        <v>15</v>
      </c>
      <c r="D509" t="s">
        <v>62</v>
      </c>
      <c r="E509" s="10">
        <v>45695.342072510342</v>
      </c>
      <c r="F509" s="12">
        <v>29.91</v>
      </c>
      <c r="G509">
        <f t="shared" ca="1" si="21"/>
        <v>1.7367576542455936</v>
      </c>
      <c r="H509" t="str">
        <f t="shared" ca="1" si="22"/>
        <v>Excellent handling</v>
      </c>
      <c r="I509" t="str">
        <f t="shared" si="23"/>
        <v/>
      </c>
    </row>
    <row r="510" spans="1:9" x14ac:dyDescent="0.3">
      <c r="A510" s="10">
        <v>45663.124912921652</v>
      </c>
      <c r="B510" t="s">
        <v>50</v>
      </c>
      <c r="C510" t="s">
        <v>48</v>
      </c>
      <c r="D510" t="s">
        <v>64</v>
      </c>
      <c r="E510" s="10">
        <v>45664.959679368549</v>
      </c>
      <c r="F510" s="12">
        <v>467.73</v>
      </c>
      <c r="G510">
        <f t="shared" ca="1" si="21"/>
        <v>1.8347664468965377</v>
      </c>
      <c r="H510" t="str">
        <f t="shared" ca="1" si="22"/>
        <v>Excellent handling</v>
      </c>
      <c r="I510" t="str">
        <f t="shared" si="23"/>
        <v/>
      </c>
    </row>
    <row r="511" spans="1:9" x14ac:dyDescent="0.3">
      <c r="A511" s="10">
        <v>45684.97418177058</v>
      </c>
      <c r="B511" t="s">
        <v>54</v>
      </c>
      <c r="C511" t="s">
        <v>52</v>
      </c>
      <c r="D511" t="s">
        <v>66</v>
      </c>
      <c r="E511" s="10">
        <v>45686.691760488931</v>
      </c>
      <c r="F511" s="12">
        <v>479.64</v>
      </c>
      <c r="G511">
        <f t="shared" ca="1" si="21"/>
        <v>1.7175787183514331</v>
      </c>
      <c r="H511" t="str">
        <f t="shared" ca="1" si="22"/>
        <v>Excellent handling</v>
      </c>
      <c r="I511" t="str">
        <f t="shared" si="23"/>
        <v/>
      </c>
    </row>
    <row r="512" spans="1:9" x14ac:dyDescent="0.3">
      <c r="A512" s="10">
        <v>45630.039597521201</v>
      </c>
      <c r="B512" t="s">
        <v>49</v>
      </c>
      <c r="C512" t="s">
        <v>48</v>
      </c>
      <c r="D512" t="s">
        <v>63</v>
      </c>
      <c r="E512" s="10">
        <v>45635.995229397697</v>
      </c>
      <c r="F512" s="12">
        <v>145.35</v>
      </c>
      <c r="G512">
        <f t="shared" ca="1" si="21"/>
        <v>5.9556318764953176</v>
      </c>
      <c r="H512" t="str">
        <f t="shared" ca="1" si="22"/>
        <v>Bad handling</v>
      </c>
      <c r="I512" t="str">
        <f t="shared" si="23"/>
        <v/>
      </c>
    </row>
    <row r="513" spans="1:9" x14ac:dyDescent="0.3">
      <c r="A513" s="10">
        <v>45627.3506859345</v>
      </c>
      <c r="B513" t="s">
        <v>16</v>
      </c>
      <c r="C513" t="s">
        <v>15</v>
      </c>
      <c r="D513" t="s">
        <v>61</v>
      </c>
      <c r="E513" s="10">
        <v>45628.714722057914</v>
      </c>
      <c r="F513" s="12">
        <v>388.77</v>
      </c>
      <c r="G513">
        <f t="shared" ca="1" si="21"/>
        <v>1.3640361234138254</v>
      </c>
      <c r="H513" t="str">
        <f t="shared" ca="1" si="22"/>
        <v>Excellent handling</v>
      </c>
      <c r="I513" t="str">
        <f t="shared" si="23"/>
        <v>Weekend sale</v>
      </c>
    </row>
    <row r="514" spans="1:9" x14ac:dyDescent="0.3">
      <c r="A514" s="10">
        <v>45659.376971912141</v>
      </c>
      <c r="B514" t="s">
        <v>26</v>
      </c>
      <c r="C514" t="s">
        <v>22</v>
      </c>
      <c r="D514" t="s">
        <v>65</v>
      </c>
      <c r="E514" s="10">
        <v>45661.665676057492</v>
      </c>
      <c r="F514" s="12">
        <v>532.32000000000005</v>
      </c>
      <c r="G514">
        <f t="shared" ref="G514:G577" ca="1" si="24">IF(ISTEXT(E514),TODAY(),E514)-A514</f>
        <v>2.2887041453504935</v>
      </c>
      <c r="H514" t="str">
        <f t="shared" ca="1" si="22"/>
        <v/>
      </c>
      <c r="I514" t="str">
        <f t="shared" si="23"/>
        <v/>
      </c>
    </row>
    <row r="515" spans="1:9" x14ac:dyDescent="0.3">
      <c r="A515" s="10">
        <v>45640.216339560044</v>
      </c>
      <c r="B515" t="s">
        <v>12</v>
      </c>
      <c r="C515" t="s">
        <v>9</v>
      </c>
      <c r="D515" t="s">
        <v>62</v>
      </c>
      <c r="E515" s="10">
        <v>45641.315972399883</v>
      </c>
      <c r="F515" s="12">
        <v>62.32</v>
      </c>
      <c r="G515">
        <f t="shared" ca="1" si="24"/>
        <v>1.0996328398396145</v>
      </c>
      <c r="H515" t="str">
        <f t="shared" ref="H515:H578" ca="1" si="25">IF(G515*24&lt;=48,"Excellent handling",IF(G515*24&gt;=96,"Bad handling",""))</f>
        <v>Excellent handling</v>
      </c>
      <c r="I515" t="str">
        <f t="shared" ref="I515:I578" si="26">IF(OR(WEEKDAY(A515)=1,WEEKDAY(A515)=7),"Weekend sale","")</f>
        <v>Weekend sale</v>
      </c>
    </row>
    <row r="516" spans="1:9" x14ac:dyDescent="0.3">
      <c r="A516" s="10">
        <v>45679.827265126514</v>
      </c>
      <c r="B516" t="s">
        <v>31</v>
      </c>
      <c r="C516" t="s">
        <v>29</v>
      </c>
      <c r="D516" t="s">
        <v>61</v>
      </c>
      <c r="E516" s="10">
        <v>45683.398336521175</v>
      </c>
      <c r="F516" s="12">
        <v>739.71</v>
      </c>
      <c r="G516">
        <f t="shared" ca="1" si="24"/>
        <v>3.5710713946609758</v>
      </c>
      <c r="H516" t="str">
        <f t="shared" ca="1" si="25"/>
        <v/>
      </c>
      <c r="I516" t="str">
        <f t="shared" si="26"/>
        <v/>
      </c>
    </row>
    <row r="517" spans="1:9" x14ac:dyDescent="0.3">
      <c r="A517" s="10">
        <v>45679.069072920232</v>
      </c>
      <c r="B517" t="s">
        <v>51</v>
      </c>
      <c r="C517" t="s">
        <v>48</v>
      </c>
      <c r="D517" t="s">
        <v>69</v>
      </c>
      <c r="E517" s="10">
        <v>45680.773683878171</v>
      </c>
      <c r="F517" s="12">
        <v>651.75</v>
      </c>
      <c r="G517">
        <f t="shared" ca="1" si="24"/>
        <v>1.7046109579387121</v>
      </c>
      <c r="H517" t="str">
        <f t="shared" ca="1" si="25"/>
        <v>Excellent handling</v>
      </c>
      <c r="I517" t="str">
        <f t="shared" si="26"/>
        <v/>
      </c>
    </row>
    <row r="518" spans="1:9" x14ac:dyDescent="0.3">
      <c r="A518" s="10">
        <v>45641.004855651612</v>
      </c>
      <c r="B518" t="s">
        <v>41</v>
      </c>
      <c r="C518" t="s">
        <v>37</v>
      </c>
      <c r="D518" t="s">
        <v>68</v>
      </c>
      <c r="E518" s="10">
        <v>45643.592248210582</v>
      </c>
      <c r="F518" s="12">
        <v>794.44</v>
      </c>
      <c r="G518">
        <f t="shared" ca="1" si="24"/>
        <v>2.5873925589694409</v>
      </c>
      <c r="H518" t="str">
        <f t="shared" ca="1" si="25"/>
        <v/>
      </c>
      <c r="I518" t="str">
        <f t="shared" si="26"/>
        <v>Weekend sale</v>
      </c>
    </row>
    <row r="519" spans="1:9" x14ac:dyDescent="0.3">
      <c r="A519" s="10">
        <v>45652.075799736944</v>
      </c>
      <c r="B519" t="s">
        <v>28</v>
      </c>
      <c r="C519" t="s">
        <v>22</v>
      </c>
      <c r="D519" t="s">
        <v>67</v>
      </c>
      <c r="E519" s="10">
        <v>45654.240212216733</v>
      </c>
      <c r="F519" s="12">
        <v>754.08</v>
      </c>
      <c r="G519">
        <f t="shared" ca="1" si="24"/>
        <v>2.1644124797894619</v>
      </c>
      <c r="H519" t="str">
        <f t="shared" ca="1" si="25"/>
        <v/>
      </c>
      <c r="I519" t="str">
        <f t="shared" si="26"/>
        <v/>
      </c>
    </row>
    <row r="520" spans="1:9" x14ac:dyDescent="0.3">
      <c r="A520" s="10">
        <v>45667.222391823983</v>
      </c>
      <c r="B520" t="s">
        <v>41</v>
      </c>
      <c r="C520" t="s">
        <v>37</v>
      </c>
      <c r="D520" t="s">
        <v>68</v>
      </c>
      <c r="E520" s="10">
        <v>45668.849089269264</v>
      </c>
      <c r="F520" s="12">
        <v>638.08000000000004</v>
      </c>
      <c r="G520">
        <f t="shared" ca="1" si="24"/>
        <v>1.6266974452810246</v>
      </c>
      <c r="H520" t="str">
        <f t="shared" ca="1" si="25"/>
        <v>Excellent handling</v>
      </c>
      <c r="I520" t="str">
        <f t="shared" si="26"/>
        <v/>
      </c>
    </row>
    <row r="521" spans="1:9" x14ac:dyDescent="0.3">
      <c r="A521" s="10">
        <v>45690.975133185617</v>
      </c>
      <c r="B521" t="s">
        <v>36</v>
      </c>
      <c r="C521" t="s">
        <v>33</v>
      </c>
      <c r="D521" t="s">
        <v>68</v>
      </c>
      <c r="E521" s="10">
        <v>45691.475601354607</v>
      </c>
      <c r="F521" s="12">
        <v>90.18</v>
      </c>
      <c r="G521">
        <f t="shared" ca="1" si="24"/>
        <v>0.50046816898975521</v>
      </c>
      <c r="H521" t="str">
        <f t="shared" ca="1" si="25"/>
        <v>Excellent handling</v>
      </c>
      <c r="I521" t="str">
        <f t="shared" si="26"/>
        <v>Weekend sale</v>
      </c>
    </row>
    <row r="522" spans="1:9" x14ac:dyDescent="0.3">
      <c r="A522" s="10">
        <v>45630.40657953651</v>
      </c>
      <c r="B522" t="s">
        <v>12</v>
      </c>
      <c r="C522" t="s">
        <v>9</v>
      </c>
      <c r="D522" t="s">
        <v>62</v>
      </c>
      <c r="E522" s="10">
        <v>45633.189514101075</v>
      </c>
      <c r="F522" s="12">
        <v>172.95</v>
      </c>
      <c r="G522">
        <f t="shared" ca="1" si="24"/>
        <v>2.7829345645659487</v>
      </c>
      <c r="H522" t="str">
        <f t="shared" ca="1" si="25"/>
        <v/>
      </c>
      <c r="I522" t="str">
        <f t="shared" si="26"/>
        <v/>
      </c>
    </row>
    <row r="523" spans="1:9" x14ac:dyDescent="0.3">
      <c r="A523" s="10">
        <v>45693.817541463934</v>
      </c>
      <c r="B523" t="s">
        <v>43</v>
      </c>
      <c r="C523" t="s">
        <v>42</v>
      </c>
      <c r="D523" t="s">
        <v>62</v>
      </c>
      <c r="E523" s="10">
        <v>45696.780922759492</v>
      </c>
      <c r="F523" s="12">
        <v>112.85</v>
      </c>
      <c r="G523">
        <f t="shared" ca="1" si="24"/>
        <v>2.9633812955580652</v>
      </c>
      <c r="H523" t="str">
        <f t="shared" ca="1" si="25"/>
        <v/>
      </c>
      <c r="I523" t="str">
        <f t="shared" si="26"/>
        <v/>
      </c>
    </row>
    <row r="524" spans="1:9" x14ac:dyDescent="0.3">
      <c r="A524" s="10">
        <v>45650.816949028012</v>
      </c>
      <c r="B524" t="s">
        <v>41</v>
      </c>
      <c r="C524" t="s">
        <v>37</v>
      </c>
      <c r="D524" t="s">
        <v>68</v>
      </c>
      <c r="E524" s="10">
        <v>45651.049408219274</v>
      </c>
      <c r="F524" s="12">
        <v>754.78</v>
      </c>
      <c r="G524">
        <f t="shared" ca="1" si="24"/>
        <v>0.23245919126202352</v>
      </c>
      <c r="H524" t="str">
        <f t="shared" ca="1" si="25"/>
        <v>Excellent handling</v>
      </c>
      <c r="I524" t="str">
        <f t="shared" si="26"/>
        <v/>
      </c>
    </row>
    <row r="525" spans="1:9" x14ac:dyDescent="0.3">
      <c r="A525" s="10">
        <v>45642.949629552786</v>
      </c>
      <c r="B525" t="s">
        <v>32</v>
      </c>
      <c r="C525" t="s">
        <v>29</v>
      </c>
      <c r="D525" t="s">
        <v>68</v>
      </c>
      <c r="E525" s="10">
        <v>45645.718592480393</v>
      </c>
      <c r="F525" s="12">
        <v>591.14</v>
      </c>
      <c r="G525">
        <f t="shared" ca="1" si="24"/>
        <v>2.7689629276064807</v>
      </c>
      <c r="H525" t="str">
        <f t="shared" ca="1" si="25"/>
        <v/>
      </c>
      <c r="I525" t="str">
        <f t="shared" si="26"/>
        <v/>
      </c>
    </row>
    <row r="526" spans="1:9" x14ac:dyDescent="0.3">
      <c r="A526" s="10">
        <v>45663.489274162377</v>
      </c>
      <c r="B526" t="s">
        <v>54</v>
      </c>
      <c r="C526" t="s">
        <v>52</v>
      </c>
      <c r="D526" t="s">
        <v>66</v>
      </c>
      <c r="E526" s="10">
        <v>45665.127271065809</v>
      </c>
      <c r="F526" s="12">
        <v>602.39</v>
      </c>
      <c r="G526">
        <f t="shared" ca="1" si="24"/>
        <v>1.6379969034314854</v>
      </c>
      <c r="H526" t="str">
        <f t="shared" ca="1" si="25"/>
        <v>Excellent handling</v>
      </c>
      <c r="I526" t="str">
        <f t="shared" si="26"/>
        <v/>
      </c>
    </row>
    <row r="527" spans="1:9" x14ac:dyDescent="0.3">
      <c r="A527" s="10">
        <v>45668.901516870697</v>
      </c>
      <c r="B527" t="s">
        <v>32</v>
      </c>
      <c r="C527" t="s">
        <v>29</v>
      </c>
      <c r="D527" t="s">
        <v>68</v>
      </c>
      <c r="E527" s="10">
        <v>45671.131944951638</v>
      </c>
      <c r="F527" s="12">
        <v>357.35</v>
      </c>
      <c r="G527">
        <f t="shared" ca="1" si="24"/>
        <v>2.2304280809403281</v>
      </c>
      <c r="H527" t="str">
        <f t="shared" ca="1" si="25"/>
        <v/>
      </c>
      <c r="I527" t="str">
        <f t="shared" si="26"/>
        <v>Weekend sale</v>
      </c>
    </row>
    <row r="528" spans="1:9" x14ac:dyDescent="0.3">
      <c r="A528" s="10">
        <v>45685.151898781885</v>
      </c>
      <c r="B528" t="s">
        <v>39</v>
      </c>
      <c r="C528" t="s">
        <v>37</v>
      </c>
      <c r="D528" t="s">
        <v>65</v>
      </c>
      <c r="E528" s="10">
        <v>45687.857598230075</v>
      </c>
      <c r="F528" s="12">
        <v>783.9</v>
      </c>
      <c r="G528">
        <f t="shared" ca="1" si="24"/>
        <v>2.7056994481899892</v>
      </c>
      <c r="H528" t="str">
        <f t="shared" ca="1" si="25"/>
        <v/>
      </c>
      <c r="I528" t="str">
        <f t="shared" si="26"/>
        <v/>
      </c>
    </row>
    <row r="529" spans="1:9" x14ac:dyDescent="0.3">
      <c r="A529" s="10">
        <v>45660.719541184124</v>
      </c>
      <c r="B529" t="s">
        <v>54</v>
      </c>
      <c r="C529" t="s">
        <v>52</v>
      </c>
      <c r="D529" t="s">
        <v>66</v>
      </c>
      <c r="E529" s="10">
        <v>45662.423125253059</v>
      </c>
      <c r="F529" s="12">
        <v>202.83</v>
      </c>
      <c r="G529">
        <f t="shared" ca="1" si="24"/>
        <v>1.7035840689350152</v>
      </c>
      <c r="H529" t="str">
        <f t="shared" ca="1" si="25"/>
        <v>Excellent handling</v>
      </c>
      <c r="I529" t="str">
        <f t="shared" si="26"/>
        <v/>
      </c>
    </row>
    <row r="530" spans="1:9" x14ac:dyDescent="0.3">
      <c r="A530" s="10">
        <v>45645.193381283934</v>
      </c>
      <c r="B530" t="s">
        <v>13</v>
      </c>
      <c r="C530" t="s">
        <v>9</v>
      </c>
      <c r="D530" t="s">
        <v>65</v>
      </c>
      <c r="E530" s="10">
        <v>45650.258709824971</v>
      </c>
      <c r="F530" s="12">
        <v>843.66</v>
      </c>
      <c r="G530">
        <f t="shared" ca="1" si="24"/>
        <v>5.0653285410371609</v>
      </c>
      <c r="H530" t="str">
        <f t="shared" ca="1" si="25"/>
        <v>Bad handling</v>
      </c>
      <c r="I530" t="str">
        <f t="shared" si="26"/>
        <v/>
      </c>
    </row>
    <row r="531" spans="1:9" x14ac:dyDescent="0.3">
      <c r="A531" s="10">
        <v>45693.632146598924</v>
      </c>
      <c r="B531" t="s">
        <v>36</v>
      </c>
      <c r="C531" t="s">
        <v>33</v>
      </c>
      <c r="D531" t="s">
        <v>68</v>
      </c>
      <c r="E531" s="10">
        <v>45694.857895577137</v>
      </c>
      <c r="F531" s="12">
        <v>801.5</v>
      </c>
      <c r="G531">
        <f t="shared" ca="1" si="24"/>
        <v>1.2257489782132325</v>
      </c>
      <c r="H531" t="str">
        <f t="shared" ca="1" si="25"/>
        <v>Excellent handling</v>
      </c>
      <c r="I531" t="str">
        <f t="shared" si="26"/>
        <v/>
      </c>
    </row>
    <row r="532" spans="1:9" x14ac:dyDescent="0.3">
      <c r="A532" s="10">
        <v>45646.604108472704</v>
      </c>
      <c r="B532" t="s">
        <v>12</v>
      </c>
      <c r="C532" t="s">
        <v>9</v>
      </c>
      <c r="D532" t="s">
        <v>62</v>
      </c>
      <c r="E532" s="10">
        <v>45650.416562097467</v>
      </c>
      <c r="F532" s="12">
        <v>676.16</v>
      </c>
      <c r="G532">
        <f t="shared" ca="1" si="24"/>
        <v>3.8124536247632932</v>
      </c>
      <c r="H532" t="str">
        <f t="shared" ca="1" si="25"/>
        <v/>
      </c>
      <c r="I532" t="str">
        <f t="shared" si="26"/>
        <v/>
      </c>
    </row>
    <row r="533" spans="1:9" x14ac:dyDescent="0.3">
      <c r="A533" s="10">
        <v>45692.633102225067</v>
      </c>
      <c r="B533" t="s">
        <v>47</v>
      </c>
      <c r="C533" t="s">
        <v>45</v>
      </c>
      <c r="D533" t="s">
        <v>60</v>
      </c>
      <c r="E533" s="10">
        <v>45694.47689522936</v>
      </c>
      <c r="F533" s="12">
        <v>781.31</v>
      </c>
      <c r="G533">
        <f t="shared" ca="1" si="24"/>
        <v>1.8437930042928201</v>
      </c>
      <c r="H533" t="str">
        <f t="shared" ca="1" si="25"/>
        <v>Excellent handling</v>
      </c>
      <c r="I533" t="str">
        <f t="shared" si="26"/>
        <v/>
      </c>
    </row>
    <row r="534" spans="1:9" x14ac:dyDescent="0.3">
      <c r="A534" s="10">
        <v>45666.995385477152</v>
      </c>
      <c r="B534" t="s">
        <v>51</v>
      </c>
      <c r="C534" t="s">
        <v>48</v>
      </c>
      <c r="D534" t="s">
        <v>69</v>
      </c>
      <c r="E534" s="10">
        <v>45667.885854222979</v>
      </c>
      <c r="F534" s="12">
        <v>750.13</v>
      </c>
      <c r="G534">
        <f t="shared" ca="1" si="24"/>
        <v>0.89046874582709279</v>
      </c>
      <c r="H534" t="str">
        <f t="shared" ca="1" si="25"/>
        <v>Excellent handling</v>
      </c>
      <c r="I534" t="str">
        <f t="shared" si="26"/>
        <v/>
      </c>
    </row>
    <row r="535" spans="1:9" x14ac:dyDescent="0.3">
      <c r="A535" s="10">
        <v>45633.721026531828</v>
      </c>
      <c r="B535" t="s">
        <v>50</v>
      </c>
      <c r="C535" t="s">
        <v>48</v>
      </c>
      <c r="D535" t="s">
        <v>64</v>
      </c>
      <c r="E535" s="10">
        <v>45633.954932297544</v>
      </c>
      <c r="F535" s="12">
        <v>375.83</v>
      </c>
      <c r="G535">
        <f t="shared" ca="1" si="24"/>
        <v>0.23390576571546262</v>
      </c>
      <c r="H535" t="str">
        <f t="shared" ca="1" si="25"/>
        <v>Excellent handling</v>
      </c>
      <c r="I535" t="str">
        <f t="shared" si="26"/>
        <v>Weekend sale</v>
      </c>
    </row>
    <row r="536" spans="1:9" x14ac:dyDescent="0.3">
      <c r="A536" s="10">
        <v>45694.483291317018</v>
      </c>
      <c r="B536" t="s">
        <v>34</v>
      </c>
      <c r="C536" t="s">
        <v>33</v>
      </c>
      <c r="D536" t="s">
        <v>62</v>
      </c>
      <c r="E536" s="10">
        <v>45695.695950256348</v>
      </c>
      <c r="F536" s="12">
        <v>444.32</v>
      </c>
      <c r="G536">
        <f t="shared" ca="1" si="24"/>
        <v>1.2126589393301401</v>
      </c>
      <c r="H536" t="str">
        <f t="shared" ca="1" si="25"/>
        <v>Excellent handling</v>
      </c>
      <c r="I536" t="str">
        <f t="shared" si="26"/>
        <v/>
      </c>
    </row>
    <row r="537" spans="1:9" x14ac:dyDescent="0.3">
      <c r="A537" s="10">
        <v>45655.882549233167</v>
      </c>
      <c r="B537" t="s">
        <v>23</v>
      </c>
      <c r="C537" t="s">
        <v>22</v>
      </c>
      <c r="D537" t="s">
        <v>67</v>
      </c>
      <c r="E537" s="10">
        <v>45657.38110037872</v>
      </c>
      <c r="F537" s="12">
        <v>546.91</v>
      </c>
      <c r="G537">
        <f t="shared" ca="1" si="24"/>
        <v>1.4985511455524829</v>
      </c>
      <c r="H537" t="str">
        <f t="shared" ca="1" si="25"/>
        <v>Excellent handling</v>
      </c>
      <c r="I537" t="str">
        <f t="shared" si="26"/>
        <v>Weekend sale</v>
      </c>
    </row>
    <row r="538" spans="1:9" x14ac:dyDescent="0.3">
      <c r="A538" s="10">
        <v>45628.075532537849</v>
      </c>
      <c r="B538" t="s">
        <v>51</v>
      </c>
      <c r="C538" t="s">
        <v>48</v>
      </c>
      <c r="D538" t="s">
        <v>69</v>
      </c>
      <c r="E538" s="10">
        <v>45630.433897215502</v>
      </c>
      <c r="F538" s="12">
        <v>761.02</v>
      </c>
      <c r="G538">
        <f t="shared" ca="1" si="24"/>
        <v>2.3583646776532987</v>
      </c>
      <c r="H538" t="str">
        <f t="shared" ca="1" si="25"/>
        <v/>
      </c>
      <c r="I538" t="str">
        <f t="shared" si="26"/>
        <v/>
      </c>
    </row>
    <row r="539" spans="1:9" x14ac:dyDescent="0.3">
      <c r="A539" s="10">
        <v>45651.289714358012</v>
      </c>
      <c r="B539" t="s">
        <v>49</v>
      </c>
      <c r="C539" t="s">
        <v>48</v>
      </c>
      <c r="D539" t="s">
        <v>63</v>
      </c>
      <c r="E539" s="10">
        <v>45656.759114746659</v>
      </c>
      <c r="F539" s="12">
        <v>305.93</v>
      </c>
      <c r="G539">
        <f t="shared" ca="1" si="24"/>
        <v>5.4694003886470455</v>
      </c>
      <c r="H539" t="str">
        <f t="shared" ca="1" si="25"/>
        <v>Bad handling</v>
      </c>
      <c r="I539" t="str">
        <f t="shared" si="26"/>
        <v/>
      </c>
    </row>
    <row r="540" spans="1:9" x14ac:dyDescent="0.3">
      <c r="A540" s="10">
        <v>45657.495226528692</v>
      </c>
      <c r="B540" t="s">
        <v>34</v>
      </c>
      <c r="C540" t="s">
        <v>33</v>
      </c>
      <c r="D540" t="s">
        <v>62</v>
      </c>
      <c r="E540" s="10">
        <v>45662.254672145049</v>
      </c>
      <c r="F540" s="12">
        <v>750.25</v>
      </c>
      <c r="G540">
        <f t="shared" ca="1" si="24"/>
        <v>4.7594456163569703</v>
      </c>
      <c r="H540" t="str">
        <f t="shared" ca="1" si="25"/>
        <v>Bad handling</v>
      </c>
      <c r="I540" t="str">
        <f t="shared" si="26"/>
        <v/>
      </c>
    </row>
    <row r="541" spans="1:9" x14ac:dyDescent="0.3">
      <c r="A541" s="10">
        <v>45679.281140081643</v>
      </c>
      <c r="B541" t="s">
        <v>30</v>
      </c>
      <c r="C541" t="s">
        <v>29</v>
      </c>
      <c r="D541" t="s">
        <v>68</v>
      </c>
      <c r="E541" s="10">
        <v>45682.259404530181</v>
      </c>
      <c r="F541" s="12">
        <v>591.34</v>
      </c>
      <c r="G541">
        <f t="shared" ca="1" si="24"/>
        <v>2.978264448538539</v>
      </c>
      <c r="H541" t="str">
        <f t="shared" ca="1" si="25"/>
        <v/>
      </c>
      <c r="I541" t="str">
        <f t="shared" si="26"/>
        <v/>
      </c>
    </row>
    <row r="542" spans="1:9" x14ac:dyDescent="0.3">
      <c r="A542" s="10">
        <v>45627.169788158557</v>
      </c>
      <c r="B542" t="s">
        <v>36</v>
      </c>
      <c r="C542" t="s">
        <v>33</v>
      </c>
      <c r="D542" t="s">
        <v>68</v>
      </c>
      <c r="E542" s="10">
        <v>45631.177203778694</v>
      </c>
      <c r="F542" s="12">
        <v>232.3</v>
      </c>
      <c r="G542">
        <f t="shared" ca="1" si="24"/>
        <v>4.0074156201371807</v>
      </c>
      <c r="H542" t="str">
        <f t="shared" ca="1" si="25"/>
        <v>Bad handling</v>
      </c>
      <c r="I542" t="str">
        <f t="shared" si="26"/>
        <v>Weekend sale</v>
      </c>
    </row>
    <row r="543" spans="1:9" x14ac:dyDescent="0.3">
      <c r="A543" s="10">
        <v>45695.345055010373</v>
      </c>
      <c r="B543" t="s">
        <v>12</v>
      </c>
      <c r="C543" t="s">
        <v>9</v>
      </c>
      <c r="D543" t="s">
        <v>62</v>
      </c>
      <c r="E543" s="10">
        <v>45696.55189078438</v>
      </c>
      <c r="F543" s="12">
        <v>499.24</v>
      </c>
      <c r="G543">
        <f t="shared" ca="1" si="24"/>
        <v>1.206835774006322</v>
      </c>
      <c r="H543" t="str">
        <f t="shared" ca="1" si="25"/>
        <v>Excellent handling</v>
      </c>
      <c r="I543" t="str">
        <f t="shared" si="26"/>
        <v/>
      </c>
    </row>
    <row r="544" spans="1:9" x14ac:dyDescent="0.3">
      <c r="A544" s="10">
        <v>45674.41327089163</v>
      </c>
      <c r="B544" t="s">
        <v>47</v>
      </c>
      <c r="C544" t="s">
        <v>45</v>
      </c>
      <c r="D544" t="s">
        <v>60</v>
      </c>
      <c r="E544" s="10">
        <v>45676.78029217849</v>
      </c>
      <c r="F544" s="12">
        <v>710.2</v>
      </c>
      <c r="G544">
        <f t="shared" ca="1" si="24"/>
        <v>2.3670212868601084</v>
      </c>
      <c r="H544" t="str">
        <f t="shared" ca="1" si="25"/>
        <v/>
      </c>
      <c r="I544" t="str">
        <f t="shared" si="26"/>
        <v/>
      </c>
    </row>
    <row r="545" spans="1:9" x14ac:dyDescent="0.3">
      <c r="A545" s="10">
        <v>45661.696677630527</v>
      </c>
      <c r="B545" t="s">
        <v>18</v>
      </c>
      <c r="C545" t="s">
        <v>15</v>
      </c>
      <c r="D545" t="s">
        <v>64</v>
      </c>
      <c r="E545" s="10">
        <v>45665.111681355935</v>
      </c>
      <c r="F545" s="12">
        <v>57.93</v>
      </c>
      <c r="G545">
        <f t="shared" ca="1" si="24"/>
        <v>3.4150037254075869</v>
      </c>
      <c r="H545" t="str">
        <f t="shared" ca="1" si="25"/>
        <v/>
      </c>
      <c r="I545" t="str">
        <f t="shared" si="26"/>
        <v>Weekend sale</v>
      </c>
    </row>
    <row r="546" spans="1:9" x14ac:dyDescent="0.3">
      <c r="A546" s="10">
        <v>45642.298281832605</v>
      </c>
      <c r="B546" t="s">
        <v>46</v>
      </c>
      <c r="C546" t="s">
        <v>45</v>
      </c>
      <c r="D546" t="s">
        <v>64</v>
      </c>
      <c r="E546" s="10">
        <v>45644.138455236127</v>
      </c>
      <c r="F546" s="12">
        <v>591.79999999999995</v>
      </c>
      <c r="G546">
        <f t="shared" ca="1" si="24"/>
        <v>1.8401734035214758</v>
      </c>
      <c r="H546" t="str">
        <f t="shared" ca="1" si="25"/>
        <v>Excellent handling</v>
      </c>
      <c r="I546" t="str">
        <f t="shared" si="26"/>
        <v/>
      </c>
    </row>
    <row r="547" spans="1:9" x14ac:dyDescent="0.3">
      <c r="A547" s="10">
        <v>45658.943180066904</v>
      </c>
      <c r="B547" t="s">
        <v>36</v>
      </c>
      <c r="C547" t="s">
        <v>33</v>
      </c>
      <c r="D547" t="s">
        <v>68</v>
      </c>
      <c r="E547" s="10">
        <v>45661.726159564889</v>
      </c>
      <c r="F547" s="12">
        <v>54.82</v>
      </c>
      <c r="G547">
        <f t="shared" ca="1" si="24"/>
        <v>2.7829794979843427</v>
      </c>
      <c r="H547" t="str">
        <f t="shared" ca="1" si="25"/>
        <v/>
      </c>
      <c r="I547" t="str">
        <f t="shared" si="26"/>
        <v/>
      </c>
    </row>
    <row r="548" spans="1:9" x14ac:dyDescent="0.3">
      <c r="A548" s="10">
        <v>45678.867545107998</v>
      </c>
      <c r="B548" t="s">
        <v>23</v>
      </c>
      <c r="C548" t="s">
        <v>22</v>
      </c>
      <c r="D548" t="s">
        <v>67</v>
      </c>
      <c r="E548" s="10">
        <v>45681.754010447599</v>
      </c>
      <c r="F548" s="12">
        <v>70.75</v>
      </c>
      <c r="G548">
        <f t="shared" ca="1" si="24"/>
        <v>2.8864653396012727</v>
      </c>
      <c r="H548" t="str">
        <f t="shared" ca="1" si="25"/>
        <v/>
      </c>
      <c r="I548" t="str">
        <f t="shared" si="26"/>
        <v/>
      </c>
    </row>
    <row r="549" spans="1:9" x14ac:dyDescent="0.3">
      <c r="A549" s="10">
        <v>45666.065158895413</v>
      </c>
      <c r="B549" t="s">
        <v>49</v>
      </c>
      <c r="C549" t="s">
        <v>48</v>
      </c>
      <c r="D549" t="s">
        <v>63</v>
      </c>
      <c r="E549" s="10">
        <v>45667.532957392774</v>
      </c>
      <c r="F549" s="12">
        <v>445.18</v>
      </c>
      <c r="G549">
        <f t="shared" ca="1" si="24"/>
        <v>1.4677984973604907</v>
      </c>
      <c r="H549" t="str">
        <f t="shared" ca="1" si="25"/>
        <v>Excellent handling</v>
      </c>
      <c r="I549" t="str">
        <f t="shared" si="26"/>
        <v/>
      </c>
    </row>
    <row r="550" spans="1:9" x14ac:dyDescent="0.3">
      <c r="A550" s="10">
        <v>45682.842549861751</v>
      </c>
      <c r="B550" t="s">
        <v>41</v>
      </c>
      <c r="C550" t="s">
        <v>37</v>
      </c>
      <c r="D550" t="s">
        <v>68</v>
      </c>
      <c r="E550" s="10">
        <v>45685.060746225638</v>
      </c>
      <c r="F550" s="12">
        <v>87.18</v>
      </c>
      <c r="G550">
        <f t="shared" ca="1" si="24"/>
        <v>2.2181963638868183</v>
      </c>
      <c r="H550" t="str">
        <f t="shared" ca="1" si="25"/>
        <v/>
      </c>
      <c r="I550" t="str">
        <f t="shared" si="26"/>
        <v>Weekend sale</v>
      </c>
    </row>
    <row r="551" spans="1:9" x14ac:dyDescent="0.3">
      <c r="A551" s="10">
        <v>45655.882128088713</v>
      </c>
      <c r="B551" t="s">
        <v>34</v>
      </c>
      <c r="C551" t="s">
        <v>33</v>
      </c>
      <c r="D551" t="s">
        <v>62</v>
      </c>
      <c r="E551" s="10">
        <v>45658.188052045662</v>
      </c>
      <c r="F551" s="12">
        <v>743.88</v>
      </c>
      <c r="G551">
        <f t="shared" ca="1" si="24"/>
        <v>2.3059239569483907</v>
      </c>
      <c r="H551" t="str">
        <f t="shared" ca="1" si="25"/>
        <v/>
      </c>
      <c r="I551" t="str">
        <f t="shared" si="26"/>
        <v>Weekend sale</v>
      </c>
    </row>
    <row r="552" spans="1:9" x14ac:dyDescent="0.3">
      <c r="A552" s="10">
        <v>45687.992759077562</v>
      </c>
      <c r="B552" t="s">
        <v>19</v>
      </c>
      <c r="C552" t="s">
        <v>15</v>
      </c>
      <c r="D552" t="s">
        <v>63</v>
      </c>
      <c r="E552" s="10">
        <v>45689.608889308336</v>
      </c>
      <c r="F552" s="12">
        <v>761.74</v>
      </c>
      <c r="G552">
        <f t="shared" ca="1" si="24"/>
        <v>1.616130230773706</v>
      </c>
      <c r="H552" t="str">
        <f t="shared" ca="1" si="25"/>
        <v>Excellent handling</v>
      </c>
      <c r="I552" t="str">
        <f t="shared" si="26"/>
        <v/>
      </c>
    </row>
    <row r="553" spans="1:9" x14ac:dyDescent="0.3">
      <c r="A553" s="10">
        <v>45674.240590178604</v>
      </c>
      <c r="B553" t="s">
        <v>17</v>
      </c>
      <c r="C553" t="s">
        <v>15</v>
      </c>
      <c r="D553" t="s">
        <v>62</v>
      </c>
      <c r="E553" s="10">
        <v>45677.815464137428</v>
      </c>
      <c r="F553" s="12">
        <v>441.04</v>
      </c>
      <c r="G553">
        <f t="shared" ca="1" si="24"/>
        <v>3.5748739588234457</v>
      </c>
      <c r="H553" t="str">
        <f t="shared" ca="1" si="25"/>
        <v/>
      </c>
      <c r="I553" t="str">
        <f t="shared" si="26"/>
        <v/>
      </c>
    </row>
    <row r="554" spans="1:9" x14ac:dyDescent="0.3">
      <c r="A554" s="10">
        <v>45650.855952565056</v>
      </c>
      <c r="B554" t="s">
        <v>34</v>
      </c>
      <c r="C554" t="s">
        <v>33</v>
      </c>
      <c r="D554" t="s">
        <v>62</v>
      </c>
      <c r="E554" s="10">
        <v>45653.726052859594</v>
      </c>
      <c r="F554" s="12">
        <v>158.9</v>
      </c>
      <c r="G554">
        <f t="shared" ca="1" si="24"/>
        <v>2.8701002945381333</v>
      </c>
      <c r="H554" t="str">
        <f t="shared" ca="1" si="25"/>
        <v/>
      </c>
      <c r="I554" t="str">
        <f t="shared" si="26"/>
        <v/>
      </c>
    </row>
    <row r="555" spans="1:9" x14ac:dyDescent="0.3">
      <c r="A555" s="10">
        <v>45637.594497845719</v>
      </c>
      <c r="B555" t="s">
        <v>28</v>
      </c>
      <c r="C555" t="s">
        <v>22</v>
      </c>
      <c r="D555" t="s">
        <v>67</v>
      </c>
      <c r="E555" s="10" t="s">
        <v>74</v>
      </c>
      <c r="F555" s="12">
        <v>139.78</v>
      </c>
      <c r="G555">
        <f t="shared" ca="1" si="24"/>
        <v>417.40550215428084</v>
      </c>
      <c r="H555" t="str">
        <f t="shared" ca="1" si="25"/>
        <v>Bad handling</v>
      </c>
      <c r="I555" t="str">
        <f t="shared" si="26"/>
        <v/>
      </c>
    </row>
    <row r="556" spans="1:9" x14ac:dyDescent="0.3">
      <c r="A556" s="10">
        <v>45686.251674874853</v>
      </c>
      <c r="B556" t="s">
        <v>25</v>
      </c>
      <c r="C556" t="s">
        <v>22</v>
      </c>
      <c r="D556" t="s">
        <v>60</v>
      </c>
      <c r="E556" s="10">
        <v>45688.587832804937</v>
      </c>
      <c r="F556" s="12">
        <v>595.91</v>
      </c>
      <c r="G556">
        <f t="shared" ca="1" si="24"/>
        <v>2.3361579300835729</v>
      </c>
      <c r="H556" t="str">
        <f t="shared" ca="1" si="25"/>
        <v/>
      </c>
      <c r="I556" t="str">
        <f t="shared" si="26"/>
        <v/>
      </c>
    </row>
    <row r="557" spans="1:9" x14ac:dyDescent="0.3">
      <c r="A557" s="10">
        <v>45681.124592355736</v>
      </c>
      <c r="B557" t="s">
        <v>49</v>
      </c>
      <c r="C557" t="s">
        <v>48</v>
      </c>
      <c r="D557" t="s">
        <v>63</v>
      </c>
      <c r="E557" s="10">
        <v>45681.988984122079</v>
      </c>
      <c r="F557" s="12">
        <v>749.07</v>
      </c>
      <c r="G557">
        <f t="shared" ca="1" si="24"/>
        <v>0.86439176634303294</v>
      </c>
      <c r="H557" t="str">
        <f t="shared" ca="1" si="25"/>
        <v>Excellent handling</v>
      </c>
      <c r="I557" t="str">
        <f t="shared" si="26"/>
        <v/>
      </c>
    </row>
    <row r="558" spans="1:9" x14ac:dyDescent="0.3">
      <c r="A558" s="10">
        <v>45663.722741140649</v>
      </c>
      <c r="B558" t="s">
        <v>14</v>
      </c>
      <c r="C558" t="s">
        <v>9</v>
      </c>
      <c r="D558" t="s">
        <v>61</v>
      </c>
      <c r="E558" s="10">
        <v>45666.233248195153</v>
      </c>
      <c r="F558" s="12">
        <v>87.93</v>
      </c>
      <c r="G558">
        <f t="shared" ca="1" si="24"/>
        <v>2.5105070545032504</v>
      </c>
      <c r="H558" t="str">
        <f t="shared" ca="1" si="25"/>
        <v/>
      </c>
      <c r="I558" t="str">
        <f t="shared" si="26"/>
        <v/>
      </c>
    </row>
    <row r="559" spans="1:9" x14ac:dyDescent="0.3">
      <c r="A559" s="10">
        <v>45663.354310919967</v>
      </c>
      <c r="B559" t="s">
        <v>25</v>
      </c>
      <c r="C559" t="s">
        <v>22</v>
      </c>
      <c r="D559" t="s">
        <v>60</v>
      </c>
      <c r="E559" s="10">
        <v>45666.077348343279</v>
      </c>
      <c r="F559" s="12">
        <v>402.1</v>
      </c>
      <c r="G559">
        <f t="shared" ca="1" si="24"/>
        <v>2.7230374233113253</v>
      </c>
      <c r="H559" t="str">
        <f t="shared" ca="1" si="25"/>
        <v/>
      </c>
      <c r="I559" t="str">
        <f t="shared" si="26"/>
        <v/>
      </c>
    </row>
    <row r="560" spans="1:9" x14ac:dyDescent="0.3">
      <c r="A560" s="10">
        <v>45627.12990269639</v>
      </c>
      <c r="B560" t="s">
        <v>39</v>
      </c>
      <c r="C560" t="s">
        <v>37</v>
      </c>
      <c r="D560" t="s">
        <v>65</v>
      </c>
      <c r="E560" s="10">
        <v>45628.280285457156</v>
      </c>
      <c r="F560" s="12">
        <v>668.05</v>
      </c>
      <c r="G560">
        <f t="shared" ca="1" si="24"/>
        <v>1.1503827607666608</v>
      </c>
      <c r="H560" t="str">
        <f t="shared" ca="1" si="25"/>
        <v>Excellent handling</v>
      </c>
      <c r="I560" t="str">
        <f t="shared" si="26"/>
        <v>Weekend sale</v>
      </c>
    </row>
    <row r="561" spans="1:9" x14ac:dyDescent="0.3">
      <c r="A561" s="10">
        <v>45632.855623177849</v>
      </c>
      <c r="B561" t="s">
        <v>47</v>
      </c>
      <c r="C561" t="s">
        <v>45</v>
      </c>
      <c r="D561" t="s">
        <v>60</v>
      </c>
      <c r="E561" s="10">
        <v>45635.314713493302</v>
      </c>
      <c r="F561" s="12">
        <v>383.83</v>
      </c>
      <c r="G561">
        <f t="shared" ca="1" si="24"/>
        <v>2.4590903154530679</v>
      </c>
      <c r="H561" t="str">
        <f t="shared" ca="1" si="25"/>
        <v/>
      </c>
      <c r="I561" t="str">
        <f t="shared" si="26"/>
        <v/>
      </c>
    </row>
    <row r="562" spans="1:9" x14ac:dyDescent="0.3">
      <c r="A562" s="10">
        <v>45677.026274118703</v>
      </c>
      <c r="B562" t="s">
        <v>34</v>
      </c>
      <c r="C562" t="s">
        <v>33</v>
      </c>
      <c r="D562" t="s">
        <v>62</v>
      </c>
      <c r="E562" s="10">
        <v>45679.05076478266</v>
      </c>
      <c r="F562" s="12">
        <v>515.08000000000004</v>
      </c>
      <c r="G562">
        <f t="shared" ca="1" si="24"/>
        <v>2.0244906639563851</v>
      </c>
      <c r="H562" t="str">
        <f t="shared" ca="1" si="25"/>
        <v/>
      </c>
      <c r="I562" t="str">
        <f t="shared" si="26"/>
        <v/>
      </c>
    </row>
    <row r="563" spans="1:9" x14ac:dyDescent="0.3">
      <c r="A563" s="10">
        <v>45685.578401158062</v>
      </c>
      <c r="B563" t="s">
        <v>44</v>
      </c>
      <c r="C563" t="s">
        <v>42</v>
      </c>
      <c r="D563" t="s">
        <v>67</v>
      </c>
      <c r="E563" s="10">
        <v>45686.618896922031</v>
      </c>
      <c r="F563" s="12">
        <v>459.14</v>
      </c>
      <c r="G563">
        <f t="shared" ca="1" si="24"/>
        <v>1.0404957639693748</v>
      </c>
      <c r="H563" t="str">
        <f t="shared" ca="1" si="25"/>
        <v>Excellent handling</v>
      </c>
      <c r="I563" t="str">
        <f t="shared" si="26"/>
        <v/>
      </c>
    </row>
    <row r="564" spans="1:9" x14ac:dyDescent="0.3">
      <c r="A564" s="10">
        <v>45645.574809377526</v>
      </c>
      <c r="B564" t="s">
        <v>31</v>
      </c>
      <c r="C564" t="s">
        <v>29</v>
      </c>
      <c r="D564" t="s">
        <v>61</v>
      </c>
      <c r="E564" s="10">
        <v>45648.292717515258</v>
      </c>
      <c r="F564" s="12">
        <v>225.74</v>
      </c>
      <c r="G564">
        <f t="shared" ca="1" si="24"/>
        <v>2.7179081377325929</v>
      </c>
      <c r="H564" t="str">
        <f t="shared" ca="1" si="25"/>
        <v/>
      </c>
      <c r="I564" t="str">
        <f t="shared" si="26"/>
        <v/>
      </c>
    </row>
    <row r="565" spans="1:9" x14ac:dyDescent="0.3">
      <c r="A565" s="10">
        <v>45662.919112419906</v>
      </c>
      <c r="B565" t="s">
        <v>13</v>
      </c>
      <c r="C565" t="s">
        <v>9</v>
      </c>
      <c r="D565" t="s">
        <v>65</v>
      </c>
      <c r="E565" s="10">
        <v>45664.005033016743</v>
      </c>
      <c r="F565" s="12">
        <v>191.95</v>
      </c>
      <c r="G565">
        <f t="shared" ca="1" si="24"/>
        <v>1.0859205968372407</v>
      </c>
      <c r="H565" t="str">
        <f t="shared" ca="1" si="25"/>
        <v>Excellent handling</v>
      </c>
      <c r="I565" t="str">
        <f t="shared" si="26"/>
        <v>Weekend sale</v>
      </c>
    </row>
    <row r="566" spans="1:9" x14ac:dyDescent="0.3">
      <c r="A566" s="10">
        <v>45652.468786364865</v>
      </c>
      <c r="B566" t="s">
        <v>34</v>
      </c>
      <c r="C566" t="s">
        <v>33</v>
      </c>
      <c r="D566" t="s">
        <v>62</v>
      </c>
      <c r="E566" s="10">
        <v>45654.383910506876</v>
      </c>
      <c r="F566" s="12">
        <v>264.36</v>
      </c>
      <c r="G566">
        <f t="shared" ca="1" si="24"/>
        <v>1.9151241420113365</v>
      </c>
      <c r="H566" t="str">
        <f t="shared" ca="1" si="25"/>
        <v>Excellent handling</v>
      </c>
      <c r="I566" t="str">
        <f t="shared" si="26"/>
        <v/>
      </c>
    </row>
    <row r="567" spans="1:9" x14ac:dyDescent="0.3">
      <c r="A567" s="10">
        <v>45632.003219833045</v>
      </c>
      <c r="B567" t="s">
        <v>40</v>
      </c>
      <c r="C567" t="s">
        <v>37</v>
      </c>
      <c r="D567" t="s">
        <v>66</v>
      </c>
      <c r="E567" s="10">
        <v>45634.128412088525</v>
      </c>
      <c r="F567" s="12">
        <v>137.97999999999999</v>
      </c>
      <c r="G567">
        <f t="shared" ca="1" si="24"/>
        <v>2.125192255480215</v>
      </c>
      <c r="H567" t="str">
        <f t="shared" ca="1" si="25"/>
        <v/>
      </c>
      <c r="I567" t="str">
        <f t="shared" si="26"/>
        <v/>
      </c>
    </row>
    <row r="568" spans="1:9" x14ac:dyDescent="0.3">
      <c r="A568" s="10">
        <v>45693.854064369109</v>
      </c>
      <c r="B568" t="s">
        <v>16</v>
      </c>
      <c r="C568" t="s">
        <v>15</v>
      </c>
      <c r="D568" t="s">
        <v>61</v>
      </c>
      <c r="E568" s="10">
        <v>45695.997576251866</v>
      </c>
      <c r="F568" s="12">
        <v>684.66</v>
      </c>
      <c r="G568">
        <f t="shared" ca="1" si="24"/>
        <v>2.1435118827575934</v>
      </c>
      <c r="H568" t="str">
        <f t="shared" ca="1" si="25"/>
        <v/>
      </c>
      <c r="I568" t="str">
        <f t="shared" si="26"/>
        <v/>
      </c>
    </row>
    <row r="569" spans="1:9" x14ac:dyDescent="0.3">
      <c r="A569" s="10">
        <v>45659.437499980217</v>
      </c>
      <c r="B569" t="s">
        <v>25</v>
      </c>
      <c r="C569" t="s">
        <v>22</v>
      </c>
      <c r="D569" t="s">
        <v>60</v>
      </c>
      <c r="E569" s="10">
        <v>45661.053325924717</v>
      </c>
      <c r="F569" s="12">
        <v>104.69</v>
      </c>
      <c r="G569">
        <f t="shared" ca="1" si="24"/>
        <v>1.6158259445001022</v>
      </c>
      <c r="H569" t="str">
        <f t="shared" ca="1" si="25"/>
        <v>Excellent handling</v>
      </c>
      <c r="I569" t="str">
        <f t="shared" si="26"/>
        <v/>
      </c>
    </row>
    <row r="570" spans="1:9" x14ac:dyDescent="0.3">
      <c r="A570" s="10">
        <v>45673.490325280072</v>
      </c>
      <c r="B570" t="s">
        <v>49</v>
      </c>
      <c r="C570" t="s">
        <v>48</v>
      </c>
      <c r="D570" t="s">
        <v>63</v>
      </c>
      <c r="E570" s="10" t="s">
        <v>72</v>
      </c>
      <c r="F570" s="12">
        <v>110.57</v>
      </c>
      <c r="G570">
        <f t="shared" ca="1" si="24"/>
        <v>381.50967471992772</v>
      </c>
      <c r="H570" t="str">
        <f t="shared" ca="1" si="25"/>
        <v>Bad handling</v>
      </c>
      <c r="I570" t="str">
        <f t="shared" si="26"/>
        <v/>
      </c>
    </row>
    <row r="571" spans="1:9" x14ac:dyDescent="0.3">
      <c r="A571" s="10">
        <v>45659.891213478899</v>
      </c>
      <c r="B571" t="s">
        <v>21</v>
      </c>
      <c r="C571" t="s">
        <v>15</v>
      </c>
      <c r="D571" t="s">
        <v>61</v>
      </c>
      <c r="E571" s="10">
        <v>45662.174284913301</v>
      </c>
      <c r="F571" s="12">
        <v>362.65</v>
      </c>
      <c r="G571">
        <f t="shared" ca="1" si="24"/>
        <v>2.2830714344017906</v>
      </c>
      <c r="H571" t="str">
        <f t="shared" ca="1" si="25"/>
        <v/>
      </c>
      <c r="I571" t="str">
        <f t="shared" si="26"/>
        <v/>
      </c>
    </row>
    <row r="572" spans="1:9" x14ac:dyDescent="0.3">
      <c r="A572" s="10">
        <v>45656.350715548469</v>
      </c>
      <c r="B572" t="s">
        <v>24</v>
      </c>
      <c r="C572" t="s">
        <v>22</v>
      </c>
      <c r="D572" t="s">
        <v>61</v>
      </c>
      <c r="E572" s="10">
        <v>45657.035251264308</v>
      </c>
      <c r="F572" s="12">
        <v>726.57</v>
      </c>
      <c r="G572">
        <f t="shared" ca="1" si="24"/>
        <v>0.68453571583813755</v>
      </c>
      <c r="H572" t="str">
        <f t="shared" ca="1" si="25"/>
        <v>Excellent handling</v>
      </c>
      <c r="I572" t="str">
        <f t="shared" si="26"/>
        <v/>
      </c>
    </row>
    <row r="573" spans="1:9" x14ac:dyDescent="0.3">
      <c r="A573" s="10">
        <v>45695.383116318859</v>
      </c>
      <c r="B573" t="s">
        <v>28</v>
      </c>
      <c r="C573" t="s">
        <v>22</v>
      </c>
      <c r="D573" t="s">
        <v>67</v>
      </c>
      <c r="E573" s="10">
        <v>45697.981512213686</v>
      </c>
      <c r="F573" s="12">
        <v>769.17</v>
      </c>
      <c r="G573">
        <f t="shared" ca="1" si="24"/>
        <v>2.598395894827263</v>
      </c>
      <c r="H573" t="str">
        <f t="shared" ca="1" si="25"/>
        <v/>
      </c>
      <c r="I573" t="str">
        <f t="shared" si="26"/>
        <v/>
      </c>
    </row>
    <row r="574" spans="1:9" x14ac:dyDescent="0.3">
      <c r="A574" s="10">
        <v>45647.224894261104</v>
      </c>
      <c r="B574" t="s">
        <v>34</v>
      </c>
      <c r="C574" t="s">
        <v>33</v>
      </c>
      <c r="D574" t="s">
        <v>62</v>
      </c>
      <c r="E574" s="10">
        <v>45648.949546115276</v>
      </c>
      <c r="F574" s="12">
        <v>340.22</v>
      </c>
      <c r="G574">
        <f t="shared" ca="1" si="24"/>
        <v>1.7246518541724072</v>
      </c>
      <c r="H574" t="str">
        <f t="shared" ca="1" si="25"/>
        <v>Excellent handling</v>
      </c>
      <c r="I574" t="str">
        <f t="shared" si="26"/>
        <v>Weekend sale</v>
      </c>
    </row>
    <row r="575" spans="1:9" x14ac:dyDescent="0.3">
      <c r="A575" s="10">
        <v>45641.227870796691</v>
      </c>
      <c r="B575" t="s">
        <v>12</v>
      </c>
      <c r="C575" t="s">
        <v>9</v>
      </c>
      <c r="D575" t="s">
        <v>62</v>
      </c>
      <c r="E575" s="10">
        <v>45643.849171884358</v>
      </c>
      <c r="F575" s="12">
        <v>281.55</v>
      </c>
      <c r="G575">
        <f t="shared" ca="1" si="24"/>
        <v>2.6213010876672342</v>
      </c>
      <c r="H575" t="str">
        <f t="shared" ca="1" si="25"/>
        <v/>
      </c>
      <c r="I575" t="str">
        <f t="shared" si="26"/>
        <v>Weekend sale</v>
      </c>
    </row>
    <row r="576" spans="1:9" x14ac:dyDescent="0.3">
      <c r="A576" s="10">
        <v>45651.715839906887</v>
      </c>
      <c r="B576" t="s">
        <v>10</v>
      </c>
      <c r="C576" t="s">
        <v>9</v>
      </c>
      <c r="D576" t="s">
        <v>61</v>
      </c>
      <c r="E576" s="10">
        <v>45654.014608140591</v>
      </c>
      <c r="F576" s="12">
        <v>762.44</v>
      </c>
      <c r="G576">
        <f t="shared" ca="1" si="24"/>
        <v>2.2987682337043225</v>
      </c>
      <c r="H576" t="str">
        <f t="shared" ca="1" si="25"/>
        <v/>
      </c>
      <c r="I576" t="str">
        <f t="shared" si="26"/>
        <v/>
      </c>
    </row>
    <row r="577" spans="1:9" x14ac:dyDescent="0.3">
      <c r="A577" s="10">
        <v>45684.456636946372</v>
      </c>
      <c r="B577" t="s">
        <v>14</v>
      </c>
      <c r="C577" t="s">
        <v>9</v>
      </c>
      <c r="D577" t="s">
        <v>61</v>
      </c>
      <c r="E577" s="10">
        <v>45684.641290591004</v>
      </c>
      <c r="F577" s="12">
        <v>355.06</v>
      </c>
      <c r="G577">
        <f t="shared" ca="1" si="24"/>
        <v>0.18465364463190781</v>
      </c>
      <c r="H577" t="str">
        <f t="shared" ca="1" si="25"/>
        <v>Excellent handling</v>
      </c>
      <c r="I577" t="str">
        <f t="shared" si="26"/>
        <v/>
      </c>
    </row>
    <row r="578" spans="1:9" x14ac:dyDescent="0.3">
      <c r="A578" s="10">
        <v>45661.271224821881</v>
      </c>
      <c r="B578" t="s">
        <v>56</v>
      </c>
      <c r="C578" t="s">
        <v>52</v>
      </c>
      <c r="D578" t="s">
        <v>67</v>
      </c>
      <c r="E578" s="10" t="s">
        <v>74</v>
      </c>
      <c r="F578" s="12">
        <v>50.79</v>
      </c>
      <c r="G578">
        <f t="shared" ref="G578:G630" ca="1" si="27">IF(ISTEXT(E578),TODAY(),E578)-A578</f>
        <v>393.72877517811867</v>
      </c>
      <c r="H578" t="str">
        <f t="shared" ca="1" si="25"/>
        <v>Bad handling</v>
      </c>
      <c r="I578" t="str">
        <f t="shared" si="26"/>
        <v>Weekend sale</v>
      </c>
    </row>
    <row r="579" spans="1:9" x14ac:dyDescent="0.3">
      <c r="A579" s="10">
        <v>45629.969439793065</v>
      </c>
      <c r="B579" t="s">
        <v>44</v>
      </c>
      <c r="C579" t="s">
        <v>42</v>
      </c>
      <c r="D579" t="s">
        <v>67</v>
      </c>
      <c r="E579" s="10" t="s">
        <v>72</v>
      </c>
      <c r="F579" s="12">
        <v>660.59</v>
      </c>
      <c r="G579">
        <f t="shared" ca="1" si="27"/>
        <v>425.03056020693475</v>
      </c>
      <c r="H579" t="str">
        <f t="shared" ref="H579:H630" ca="1" si="28">IF(G579*24&lt;=48,"Excellent handling",IF(G579*24&gt;=96,"Bad handling",""))</f>
        <v>Bad handling</v>
      </c>
      <c r="I579" t="str">
        <f t="shared" ref="I579:I630" si="29">IF(OR(WEEKDAY(A579)=1,WEEKDAY(A579)=7),"Weekend sale","")</f>
        <v/>
      </c>
    </row>
    <row r="580" spans="1:9" x14ac:dyDescent="0.3">
      <c r="A580" s="10">
        <v>45677.989496379887</v>
      </c>
      <c r="B580" t="s">
        <v>40</v>
      </c>
      <c r="C580" t="s">
        <v>37</v>
      </c>
      <c r="D580" t="s">
        <v>66</v>
      </c>
      <c r="E580" s="10">
        <v>45678.011003287698</v>
      </c>
      <c r="F580" s="12">
        <v>310.04000000000002</v>
      </c>
      <c r="G580">
        <f t="shared" ca="1" si="27"/>
        <v>2.1506907811271958E-2</v>
      </c>
      <c r="H580" t="str">
        <f t="shared" ca="1" si="28"/>
        <v>Excellent handling</v>
      </c>
      <c r="I580" t="str">
        <f t="shared" si="29"/>
        <v/>
      </c>
    </row>
    <row r="581" spans="1:9" x14ac:dyDescent="0.3">
      <c r="A581" s="10">
        <v>45647.243098208462</v>
      </c>
      <c r="B581" t="s">
        <v>16</v>
      </c>
      <c r="C581" t="s">
        <v>15</v>
      </c>
      <c r="D581" t="s">
        <v>61</v>
      </c>
      <c r="E581" s="10">
        <v>45650.117590971779</v>
      </c>
      <c r="F581" s="12">
        <v>395.34</v>
      </c>
      <c r="G581">
        <f t="shared" ca="1" si="27"/>
        <v>2.8744927633160842</v>
      </c>
      <c r="H581" t="str">
        <f t="shared" ca="1" si="28"/>
        <v/>
      </c>
      <c r="I581" t="str">
        <f t="shared" si="29"/>
        <v>Weekend sale</v>
      </c>
    </row>
    <row r="582" spans="1:9" x14ac:dyDescent="0.3">
      <c r="A582" s="10">
        <v>45687.805495480774</v>
      </c>
      <c r="B582" t="s">
        <v>34</v>
      </c>
      <c r="C582" t="s">
        <v>33</v>
      </c>
      <c r="D582" t="s">
        <v>62</v>
      </c>
      <c r="E582" s="10">
        <v>45688.619943936319</v>
      </c>
      <c r="F582" s="12">
        <v>219.87</v>
      </c>
      <c r="G582">
        <f t="shared" ca="1" si="27"/>
        <v>0.81444845554506173</v>
      </c>
      <c r="H582" t="str">
        <f t="shared" ca="1" si="28"/>
        <v>Excellent handling</v>
      </c>
      <c r="I582" t="str">
        <f t="shared" si="29"/>
        <v/>
      </c>
    </row>
    <row r="583" spans="1:9" x14ac:dyDescent="0.3">
      <c r="A583" s="10">
        <v>45690.709915602696</v>
      </c>
      <c r="B583" t="s">
        <v>32</v>
      </c>
      <c r="C583" t="s">
        <v>29</v>
      </c>
      <c r="D583" t="s">
        <v>68</v>
      </c>
      <c r="E583" s="10">
        <v>45692.164004609367</v>
      </c>
      <c r="F583" s="12">
        <v>66.31</v>
      </c>
      <c r="G583">
        <f t="shared" ca="1" si="27"/>
        <v>1.4540890066709835</v>
      </c>
      <c r="H583" t="str">
        <f t="shared" ca="1" si="28"/>
        <v>Excellent handling</v>
      </c>
      <c r="I583" t="str">
        <f t="shared" si="29"/>
        <v>Weekend sale</v>
      </c>
    </row>
    <row r="584" spans="1:9" x14ac:dyDescent="0.3">
      <c r="A584" s="10">
        <v>45694.174197575834</v>
      </c>
      <c r="B584" t="s">
        <v>21</v>
      </c>
      <c r="C584" t="s">
        <v>15</v>
      </c>
      <c r="D584" t="s">
        <v>61</v>
      </c>
      <c r="E584" s="10">
        <v>45696.714005426657</v>
      </c>
      <c r="F584" s="12">
        <v>227.99</v>
      </c>
      <c r="G584">
        <f t="shared" ca="1" si="27"/>
        <v>2.5398078508223989</v>
      </c>
      <c r="H584" t="str">
        <f t="shared" ca="1" si="28"/>
        <v/>
      </c>
      <c r="I584" t="str">
        <f t="shared" si="29"/>
        <v/>
      </c>
    </row>
    <row r="585" spans="1:9" x14ac:dyDescent="0.3">
      <c r="A585" s="10">
        <v>45629.161190323022</v>
      </c>
      <c r="B585" t="s">
        <v>31</v>
      </c>
      <c r="C585" t="s">
        <v>29</v>
      </c>
      <c r="D585" t="s">
        <v>61</v>
      </c>
      <c r="E585" s="10">
        <v>45632.100369008112</v>
      </c>
      <c r="F585" s="12">
        <v>485.67</v>
      </c>
      <c r="G585">
        <f t="shared" ca="1" si="27"/>
        <v>2.9391786850901553</v>
      </c>
      <c r="H585" t="str">
        <f t="shared" ca="1" si="28"/>
        <v/>
      </c>
      <c r="I585" t="str">
        <f t="shared" si="29"/>
        <v/>
      </c>
    </row>
    <row r="586" spans="1:9" x14ac:dyDescent="0.3">
      <c r="A586" s="10">
        <v>45664.315798489835</v>
      </c>
      <c r="B586" t="s">
        <v>49</v>
      </c>
      <c r="C586" t="s">
        <v>48</v>
      </c>
      <c r="D586" t="s">
        <v>63</v>
      </c>
      <c r="E586" s="10">
        <v>45667.382265287219</v>
      </c>
      <c r="F586" s="12">
        <v>622.39</v>
      </c>
      <c r="G586">
        <f t="shared" ca="1" si="27"/>
        <v>3.0664667973833275</v>
      </c>
      <c r="H586" t="str">
        <f t="shared" ca="1" si="28"/>
        <v/>
      </c>
      <c r="I586" t="str">
        <f t="shared" si="29"/>
        <v/>
      </c>
    </row>
    <row r="587" spans="1:9" x14ac:dyDescent="0.3">
      <c r="A587" s="10">
        <v>45635.94436729727</v>
      </c>
      <c r="B587" t="s">
        <v>51</v>
      </c>
      <c r="C587" t="s">
        <v>48</v>
      </c>
      <c r="D587" t="s">
        <v>69</v>
      </c>
      <c r="E587" s="10">
        <v>45636.489929195166</v>
      </c>
      <c r="F587" s="12">
        <v>603.59</v>
      </c>
      <c r="G587">
        <f t="shared" ca="1" si="27"/>
        <v>0.54556189789582277</v>
      </c>
      <c r="H587" t="str">
        <f t="shared" ca="1" si="28"/>
        <v>Excellent handling</v>
      </c>
      <c r="I587" t="str">
        <f t="shared" si="29"/>
        <v/>
      </c>
    </row>
    <row r="588" spans="1:9" x14ac:dyDescent="0.3">
      <c r="A588" s="10">
        <v>45642.362170671797</v>
      </c>
      <c r="B588" t="s">
        <v>44</v>
      </c>
      <c r="C588" t="s">
        <v>42</v>
      </c>
      <c r="D588" t="s">
        <v>67</v>
      </c>
      <c r="E588" s="10">
        <v>45644.64575372231</v>
      </c>
      <c r="F588" s="12">
        <v>750.26</v>
      </c>
      <c r="G588">
        <f t="shared" ca="1" si="27"/>
        <v>2.2835830505136983</v>
      </c>
      <c r="H588" t="str">
        <f t="shared" ca="1" si="28"/>
        <v/>
      </c>
      <c r="I588" t="str">
        <f t="shared" si="29"/>
        <v/>
      </c>
    </row>
    <row r="589" spans="1:9" x14ac:dyDescent="0.3">
      <c r="A589" s="10">
        <v>45633.271264241615</v>
      </c>
      <c r="B589" t="s">
        <v>19</v>
      </c>
      <c r="C589" t="s">
        <v>15</v>
      </c>
      <c r="D589" t="s">
        <v>63</v>
      </c>
      <c r="E589" s="10">
        <v>45634.240338677373</v>
      </c>
      <c r="F589" s="12">
        <v>605.58000000000004</v>
      </c>
      <c r="G589">
        <f t="shared" ca="1" si="27"/>
        <v>0.96907443575764773</v>
      </c>
      <c r="H589" t="str">
        <f t="shared" ca="1" si="28"/>
        <v>Excellent handling</v>
      </c>
      <c r="I589" t="str">
        <f t="shared" si="29"/>
        <v>Weekend sale</v>
      </c>
    </row>
    <row r="590" spans="1:9" x14ac:dyDescent="0.3">
      <c r="A590" s="10">
        <v>45639.925418095219</v>
      </c>
      <c r="B590" t="s">
        <v>20</v>
      </c>
      <c r="C590" t="s">
        <v>15</v>
      </c>
      <c r="D590" t="s">
        <v>64</v>
      </c>
      <c r="E590" s="10">
        <v>45642.250561029447</v>
      </c>
      <c r="F590" s="12">
        <v>664.8</v>
      </c>
      <c r="G590">
        <f t="shared" ca="1" si="27"/>
        <v>2.3251429342271877</v>
      </c>
      <c r="H590" t="str">
        <f t="shared" ca="1" si="28"/>
        <v/>
      </c>
      <c r="I590" t="str">
        <f t="shared" si="29"/>
        <v/>
      </c>
    </row>
    <row r="591" spans="1:9" x14ac:dyDescent="0.3">
      <c r="A591" s="10">
        <v>45651.704533998185</v>
      </c>
      <c r="B591" t="s">
        <v>55</v>
      </c>
      <c r="C591" t="s">
        <v>52</v>
      </c>
      <c r="D591" t="s">
        <v>67</v>
      </c>
      <c r="E591" s="10" t="s">
        <v>72</v>
      </c>
      <c r="F591" s="12">
        <v>117.16</v>
      </c>
      <c r="G591">
        <f t="shared" ca="1" si="27"/>
        <v>403.29546600181493</v>
      </c>
      <c r="H591" t="str">
        <f t="shared" ca="1" si="28"/>
        <v>Bad handling</v>
      </c>
      <c r="I591" t="str">
        <f t="shared" si="29"/>
        <v/>
      </c>
    </row>
    <row r="592" spans="1:9" x14ac:dyDescent="0.3">
      <c r="A592" s="10">
        <v>45631.048350653575</v>
      </c>
      <c r="B592" t="s">
        <v>12</v>
      </c>
      <c r="C592" t="s">
        <v>9</v>
      </c>
      <c r="D592" t="s">
        <v>62</v>
      </c>
      <c r="E592" s="10">
        <v>45632.138188643868</v>
      </c>
      <c r="F592" s="12">
        <v>725.04</v>
      </c>
      <c r="G592">
        <f t="shared" ca="1" si="27"/>
        <v>1.089837990293745</v>
      </c>
      <c r="H592" t="str">
        <f t="shared" ca="1" si="28"/>
        <v>Excellent handling</v>
      </c>
      <c r="I592" t="str">
        <f t="shared" si="29"/>
        <v/>
      </c>
    </row>
    <row r="593" spans="1:9" x14ac:dyDescent="0.3">
      <c r="A593" s="10">
        <v>45667.915411621565</v>
      </c>
      <c r="B593" t="s">
        <v>27</v>
      </c>
      <c r="C593" t="s">
        <v>22</v>
      </c>
      <c r="D593" t="s">
        <v>65</v>
      </c>
      <c r="E593" s="10">
        <v>45668.768182389504</v>
      </c>
      <c r="F593" s="12">
        <v>188.67</v>
      </c>
      <c r="G593">
        <f t="shared" ca="1" si="27"/>
        <v>0.85277076793863671</v>
      </c>
      <c r="H593" t="str">
        <f t="shared" ca="1" si="28"/>
        <v>Excellent handling</v>
      </c>
      <c r="I593" t="str">
        <f t="shared" si="29"/>
        <v/>
      </c>
    </row>
    <row r="594" spans="1:9" x14ac:dyDescent="0.3">
      <c r="A594" s="10">
        <v>45641.581038144359</v>
      </c>
      <c r="B594" t="s">
        <v>50</v>
      </c>
      <c r="C594" t="s">
        <v>48</v>
      </c>
      <c r="D594" t="s">
        <v>64</v>
      </c>
      <c r="E594" s="10">
        <v>45642.368149813192</v>
      </c>
      <c r="F594" s="12">
        <v>667.15</v>
      </c>
      <c r="G594">
        <f t="shared" ca="1" si="27"/>
        <v>0.78711166883294936</v>
      </c>
      <c r="H594" t="str">
        <f t="shared" ca="1" si="28"/>
        <v>Excellent handling</v>
      </c>
      <c r="I594" t="str">
        <f t="shared" si="29"/>
        <v>Weekend sale</v>
      </c>
    </row>
    <row r="595" spans="1:9" x14ac:dyDescent="0.3">
      <c r="A595" s="10">
        <v>45683.549281310545</v>
      </c>
      <c r="B595" t="s">
        <v>10</v>
      </c>
      <c r="C595" t="s">
        <v>9</v>
      </c>
      <c r="D595" t="s">
        <v>61</v>
      </c>
      <c r="E595" s="10">
        <v>45685.593531632578</v>
      </c>
      <c r="F595" s="12">
        <v>134.79</v>
      </c>
      <c r="G595">
        <f t="shared" ca="1" si="27"/>
        <v>2.0442503220328945</v>
      </c>
      <c r="H595" t="str">
        <f t="shared" ca="1" si="28"/>
        <v/>
      </c>
      <c r="I595" t="str">
        <f t="shared" si="29"/>
        <v>Weekend sale</v>
      </c>
    </row>
    <row r="596" spans="1:9" x14ac:dyDescent="0.3">
      <c r="A596" s="10">
        <v>45660.785278276104</v>
      </c>
      <c r="B596" t="s">
        <v>13</v>
      </c>
      <c r="C596" t="s">
        <v>9</v>
      </c>
      <c r="D596" t="s">
        <v>65</v>
      </c>
      <c r="E596" s="10">
        <v>45662.714715734881</v>
      </c>
      <c r="F596" s="12">
        <v>260.51</v>
      </c>
      <c r="G596">
        <f t="shared" ca="1" si="27"/>
        <v>1.9294374587771017</v>
      </c>
      <c r="H596" t="str">
        <f t="shared" ca="1" si="28"/>
        <v>Excellent handling</v>
      </c>
      <c r="I596" t="str">
        <f t="shared" si="29"/>
        <v/>
      </c>
    </row>
    <row r="597" spans="1:9" x14ac:dyDescent="0.3">
      <c r="A597" s="10">
        <v>45643.530087360276</v>
      </c>
      <c r="B597" t="s">
        <v>24</v>
      </c>
      <c r="C597" t="s">
        <v>22</v>
      </c>
      <c r="D597" t="s">
        <v>61</v>
      </c>
      <c r="E597" s="10">
        <v>45646.124674583996</v>
      </c>
      <c r="F597" s="12">
        <v>687.01</v>
      </c>
      <c r="G597">
        <f t="shared" ca="1" si="27"/>
        <v>2.5945872237207368</v>
      </c>
      <c r="H597" t="str">
        <f t="shared" ca="1" si="28"/>
        <v/>
      </c>
      <c r="I597" t="str">
        <f t="shared" si="29"/>
        <v/>
      </c>
    </row>
    <row r="598" spans="1:9" x14ac:dyDescent="0.3">
      <c r="A598" s="10">
        <v>45659.822026383459</v>
      </c>
      <c r="B598" t="s">
        <v>43</v>
      </c>
      <c r="C598" t="s">
        <v>42</v>
      </c>
      <c r="D598" t="s">
        <v>62</v>
      </c>
      <c r="E598" s="10">
        <v>45661.088762828826</v>
      </c>
      <c r="F598" s="12">
        <v>76.900000000000006</v>
      </c>
      <c r="G598">
        <f t="shared" ca="1" si="27"/>
        <v>1.266736445366405</v>
      </c>
      <c r="H598" t="str">
        <f t="shared" ca="1" si="28"/>
        <v>Excellent handling</v>
      </c>
      <c r="I598" t="str">
        <f t="shared" si="29"/>
        <v/>
      </c>
    </row>
    <row r="599" spans="1:9" x14ac:dyDescent="0.3">
      <c r="A599" s="10">
        <v>45644.026652143155</v>
      </c>
      <c r="B599" t="s">
        <v>35</v>
      </c>
      <c r="C599" t="s">
        <v>33</v>
      </c>
      <c r="D599" t="s">
        <v>67</v>
      </c>
      <c r="E599" s="10">
        <v>45645.218306856259</v>
      </c>
      <c r="F599" s="12">
        <v>803.32</v>
      </c>
      <c r="G599">
        <f t="shared" ca="1" si="27"/>
        <v>1.1916547131040716</v>
      </c>
      <c r="H599" t="str">
        <f t="shared" ca="1" si="28"/>
        <v>Excellent handling</v>
      </c>
      <c r="I599" t="str">
        <f t="shared" si="29"/>
        <v/>
      </c>
    </row>
    <row r="600" spans="1:9" x14ac:dyDescent="0.3">
      <c r="A600" s="10">
        <v>45637.994272299919</v>
      </c>
      <c r="B600" t="s">
        <v>30</v>
      </c>
      <c r="C600" t="s">
        <v>29</v>
      </c>
      <c r="D600" t="s">
        <v>68</v>
      </c>
      <c r="E600" s="10">
        <v>45639.734593573325</v>
      </c>
      <c r="F600" s="12">
        <v>813.4</v>
      </c>
      <c r="G600">
        <f t="shared" ca="1" si="27"/>
        <v>1.7403212734061526</v>
      </c>
      <c r="H600" t="str">
        <f t="shared" ca="1" si="28"/>
        <v>Excellent handling</v>
      </c>
      <c r="I600" t="str">
        <f t="shared" si="29"/>
        <v/>
      </c>
    </row>
    <row r="601" spans="1:9" x14ac:dyDescent="0.3">
      <c r="A601" s="10">
        <v>45652.190329561767</v>
      </c>
      <c r="B601" t="s">
        <v>55</v>
      </c>
      <c r="C601" t="s">
        <v>52</v>
      </c>
      <c r="D601" t="s">
        <v>67</v>
      </c>
      <c r="E601" s="10" t="s">
        <v>72</v>
      </c>
      <c r="F601" s="12">
        <v>26.01</v>
      </c>
      <c r="G601">
        <f t="shared" ca="1" si="27"/>
        <v>402.8096704382333</v>
      </c>
      <c r="H601" t="str">
        <f t="shared" ca="1" si="28"/>
        <v>Bad handling</v>
      </c>
      <c r="I601" t="str">
        <f t="shared" si="29"/>
        <v/>
      </c>
    </row>
    <row r="602" spans="1:9" x14ac:dyDescent="0.3">
      <c r="A602" s="10">
        <v>45650.118763894345</v>
      </c>
      <c r="B602" t="s">
        <v>56</v>
      </c>
      <c r="C602" t="s">
        <v>52</v>
      </c>
      <c r="D602" t="s">
        <v>67</v>
      </c>
      <c r="E602" s="10">
        <v>45652.823693142767</v>
      </c>
      <c r="F602" s="12">
        <v>803.67</v>
      </c>
      <c r="G602">
        <f t="shared" ca="1" si="27"/>
        <v>2.7049292484225589</v>
      </c>
      <c r="H602" t="str">
        <f t="shared" ca="1" si="28"/>
        <v/>
      </c>
      <c r="I602" t="str">
        <f t="shared" si="29"/>
        <v/>
      </c>
    </row>
    <row r="603" spans="1:9" x14ac:dyDescent="0.3">
      <c r="A603" s="10">
        <v>45660.264899289468</v>
      </c>
      <c r="B603" t="s">
        <v>14</v>
      </c>
      <c r="C603" t="s">
        <v>9</v>
      </c>
      <c r="D603" t="s">
        <v>61</v>
      </c>
      <c r="E603" s="10">
        <v>45662.389637153043</v>
      </c>
      <c r="F603" s="12">
        <v>175.13</v>
      </c>
      <c r="G603">
        <f t="shared" ca="1" si="27"/>
        <v>2.1247378635744099</v>
      </c>
      <c r="H603" t="str">
        <f t="shared" ca="1" si="28"/>
        <v/>
      </c>
      <c r="I603" t="str">
        <f t="shared" si="29"/>
        <v/>
      </c>
    </row>
    <row r="604" spans="1:9" x14ac:dyDescent="0.3">
      <c r="A604" s="10">
        <v>45665.223584125757</v>
      </c>
      <c r="B604" t="s">
        <v>55</v>
      </c>
      <c r="C604" t="s">
        <v>52</v>
      </c>
      <c r="D604" t="s">
        <v>67</v>
      </c>
      <c r="E604" s="10">
        <v>45667.900501683951</v>
      </c>
      <c r="F604" s="12">
        <v>466.48</v>
      </c>
      <c r="G604">
        <f t="shared" ca="1" si="27"/>
        <v>2.6769175581939635</v>
      </c>
      <c r="H604" t="str">
        <f t="shared" ca="1" si="28"/>
        <v/>
      </c>
      <c r="I604" t="str">
        <f t="shared" si="29"/>
        <v/>
      </c>
    </row>
    <row r="605" spans="1:9" x14ac:dyDescent="0.3">
      <c r="A605" s="10">
        <v>45658.549498212451</v>
      </c>
      <c r="B605" t="s">
        <v>47</v>
      </c>
      <c r="C605" t="s">
        <v>45</v>
      </c>
      <c r="D605" t="s">
        <v>60</v>
      </c>
      <c r="E605" s="10">
        <v>45661.178266450232</v>
      </c>
      <c r="F605" s="12">
        <v>591.41999999999996</v>
      </c>
      <c r="G605">
        <f t="shared" ca="1" si="27"/>
        <v>2.628768237780605</v>
      </c>
      <c r="H605" t="str">
        <f t="shared" ca="1" si="28"/>
        <v/>
      </c>
      <c r="I605" t="str">
        <f t="shared" si="29"/>
        <v/>
      </c>
    </row>
    <row r="606" spans="1:9" x14ac:dyDescent="0.3">
      <c r="A606" s="10">
        <v>45632.025693971686</v>
      </c>
      <c r="B606" t="s">
        <v>46</v>
      </c>
      <c r="C606" t="s">
        <v>45</v>
      </c>
      <c r="D606" t="s">
        <v>64</v>
      </c>
      <c r="E606" s="10">
        <v>45632.856930292932</v>
      </c>
      <c r="F606" s="12">
        <v>219.15</v>
      </c>
      <c r="G606">
        <f t="shared" ca="1" si="27"/>
        <v>0.83123632124625146</v>
      </c>
      <c r="H606" t="str">
        <f t="shared" ca="1" si="28"/>
        <v>Excellent handling</v>
      </c>
      <c r="I606" t="str">
        <f t="shared" si="29"/>
        <v/>
      </c>
    </row>
    <row r="607" spans="1:9" x14ac:dyDescent="0.3">
      <c r="A607" s="10">
        <v>45655.267837071937</v>
      </c>
      <c r="B607" t="s">
        <v>11</v>
      </c>
      <c r="C607" t="s">
        <v>9</v>
      </c>
      <c r="D607" t="s">
        <v>67</v>
      </c>
      <c r="E607" s="10">
        <v>45660.06075180351</v>
      </c>
      <c r="F607" s="12">
        <v>710.84</v>
      </c>
      <c r="G607">
        <f t="shared" ca="1" si="27"/>
        <v>4.7929147315735463</v>
      </c>
      <c r="H607" t="str">
        <f t="shared" ca="1" si="28"/>
        <v>Bad handling</v>
      </c>
      <c r="I607" t="str">
        <f t="shared" si="29"/>
        <v>Weekend sale</v>
      </c>
    </row>
    <row r="608" spans="1:9" x14ac:dyDescent="0.3">
      <c r="A608" s="10">
        <v>45666.616070540207</v>
      </c>
      <c r="B608" t="s">
        <v>11</v>
      </c>
      <c r="C608" t="s">
        <v>9</v>
      </c>
      <c r="D608" t="s">
        <v>67</v>
      </c>
      <c r="E608" s="10">
        <v>45669.491475392497</v>
      </c>
      <c r="F608" s="12">
        <v>729.1</v>
      </c>
      <c r="G608">
        <f t="shared" ca="1" si="27"/>
        <v>2.8754048522896483</v>
      </c>
      <c r="H608" t="str">
        <f t="shared" ca="1" si="28"/>
        <v/>
      </c>
      <c r="I608" t="str">
        <f t="shared" si="29"/>
        <v/>
      </c>
    </row>
    <row r="609" spans="1:9" x14ac:dyDescent="0.3">
      <c r="A609" s="10">
        <v>45679.698200353712</v>
      </c>
      <c r="B609" t="s">
        <v>23</v>
      </c>
      <c r="C609" t="s">
        <v>22</v>
      </c>
      <c r="D609" t="s">
        <v>67</v>
      </c>
      <c r="E609" s="10">
        <v>45682.315424786422</v>
      </c>
      <c r="F609" s="12">
        <v>695.79</v>
      </c>
      <c r="G609">
        <f t="shared" ca="1" si="27"/>
        <v>2.6172244327099179</v>
      </c>
      <c r="H609" t="str">
        <f t="shared" ca="1" si="28"/>
        <v/>
      </c>
      <c r="I609" t="str">
        <f t="shared" si="29"/>
        <v/>
      </c>
    </row>
    <row r="610" spans="1:9" x14ac:dyDescent="0.3">
      <c r="A610" s="10">
        <v>45633.566180975497</v>
      </c>
      <c r="B610" t="s">
        <v>13</v>
      </c>
      <c r="C610" t="s">
        <v>9</v>
      </c>
      <c r="D610" t="s">
        <v>65</v>
      </c>
      <c r="E610" s="10">
        <v>45638.057138367221</v>
      </c>
      <c r="F610" s="12">
        <v>40.25</v>
      </c>
      <c r="G610">
        <f t="shared" ca="1" si="27"/>
        <v>4.4909573917248053</v>
      </c>
      <c r="H610" t="str">
        <f t="shared" ca="1" si="28"/>
        <v>Bad handling</v>
      </c>
      <c r="I610" t="str">
        <f t="shared" si="29"/>
        <v>Weekend sale</v>
      </c>
    </row>
    <row r="611" spans="1:9" x14ac:dyDescent="0.3">
      <c r="A611" s="10">
        <v>45668.259091226166</v>
      </c>
      <c r="B611" t="s">
        <v>35</v>
      </c>
      <c r="C611" t="s">
        <v>33</v>
      </c>
      <c r="D611" t="s">
        <v>67</v>
      </c>
      <c r="E611" s="10">
        <v>45669.738163184957</v>
      </c>
      <c r="F611" s="12">
        <v>770.12</v>
      </c>
      <c r="G611">
        <f t="shared" ca="1" si="27"/>
        <v>1.4790719587908825</v>
      </c>
      <c r="H611" t="str">
        <f t="shared" ca="1" si="28"/>
        <v>Excellent handling</v>
      </c>
      <c r="I611" t="str">
        <f t="shared" si="29"/>
        <v>Weekend sale</v>
      </c>
    </row>
    <row r="612" spans="1:9" x14ac:dyDescent="0.3">
      <c r="A612" s="10">
        <v>45636.339716164475</v>
      </c>
      <c r="B612" t="s">
        <v>56</v>
      </c>
      <c r="C612" t="s">
        <v>52</v>
      </c>
      <c r="D612" t="s">
        <v>67</v>
      </c>
      <c r="E612" s="10">
        <v>45639.028752270613</v>
      </c>
      <c r="F612" s="12">
        <v>161.46</v>
      </c>
      <c r="G612">
        <f t="shared" ca="1" si="27"/>
        <v>2.6890361061377916</v>
      </c>
      <c r="H612" t="str">
        <f t="shared" ca="1" si="28"/>
        <v/>
      </c>
      <c r="I612" t="str">
        <f t="shared" si="29"/>
        <v/>
      </c>
    </row>
    <row r="613" spans="1:9" x14ac:dyDescent="0.3">
      <c r="A613" s="10">
        <v>45670.029810946704</v>
      </c>
      <c r="B613" t="s">
        <v>31</v>
      </c>
      <c r="C613" t="s">
        <v>29</v>
      </c>
      <c r="D613" t="s">
        <v>61</v>
      </c>
      <c r="E613" s="10">
        <v>45670.639774673793</v>
      </c>
      <c r="F613" s="12">
        <v>401.48</v>
      </c>
      <c r="G613">
        <f t="shared" ca="1" si="27"/>
        <v>0.60996372708905255</v>
      </c>
      <c r="H613" t="str">
        <f t="shared" ca="1" si="28"/>
        <v>Excellent handling</v>
      </c>
      <c r="I613" t="str">
        <f t="shared" si="29"/>
        <v/>
      </c>
    </row>
    <row r="614" spans="1:9" x14ac:dyDescent="0.3">
      <c r="A614" s="10">
        <v>45666.345850054364</v>
      </c>
      <c r="B614" t="s">
        <v>24</v>
      </c>
      <c r="C614" t="s">
        <v>22</v>
      </c>
      <c r="D614" t="s">
        <v>61</v>
      </c>
      <c r="E614" s="10">
        <v>45666.625516031185</v>
      </c>
      <c r="F614" s="12">
        <v>372.59</v>
      </c>
      <c r="G614">
        <f t="shared" ca="1" si="27"/>
        <v>0.27966597682097927</v>
      </c>
      <c r="H614" t="str">
        <f t="shared" ca="1" si="28"/>
        <v>Excellent handling</v>
      </c>
      <c r="I614" t="str">
        <f t="shared" si="29"/>
        <v/>
      </c>
    </row>
    <row r="615" spans="1:9" x14ac:dyDescent="0.3">
      <c r="A615" s="10">
        <v>45627.296831966618</v>
      </c>
      <c r="B615" t="s">
        <v>30</v>
      </c>
      <c r="C615" t="s">
        <v>29</v>
      </c>
      <c r="D615" t="s">
        <v>68</v>
      </c>
      <c r="E615" s="10">
        <v>45631.277587046396</v>
      </c>
      <c r="F615" s="12">
        <v>202.87</v>
      </c>
      <c r="G615">
        <f t="shared" ca="1" si="27"/>
        <v>3.9807550797777367</v>
      </c>
      <c r="H615" t="str">
        <f t="shared" ca="1" si="28"/>
        <v/>
      </c>
      <c r="I615" t="str">
        <f t="shared" si="29"/>
        <v>Weekend sale</v>
      </c>
    </row>
    <row r="616" spans="1:9" x14ac:dyDescent="0.3">
      <c r="A616" s="10">
        <v>45672.171036225831</v>
      </c>
      <c r="B616" t="s">
        <v>36</v>
      </c>
      <c r="C616" t="s">
        <v>33</v>
      </c>
      <c r="D616" t="s">
        <v>68</v>
      </c>
      <c r="E616" s="10">
        <v>45673.505687644421</v>
      </c>
      <c r="F616" s="12">
        <v>352.67</v>
      </c>
      <c r="G616">
        <f t="shared" ca="1" si="27"/>
        <v>1.3346514185905107</v>
      </c>
      <c r="H616" t="str">
        <f t="shared" ca="1" si="28"/>
        <v>Excellent handling</v>
      </c>
      <c r="I616" t="str">
        <f t="shared" si="29"/>
        <v/>
      </c>
    </row>
    <row r="617" spans="1:9" x14ac:dyDescent="0.3">
      <c r="A617" s="10">
        <v>45660.313776685762</v>
      </c>
      <c r="B617" t="s">
        <v>40</v>
      </c>
      <c r="C617" t="s">
        <v>37</v>
      </c>
      <c r="D617" t="s">
        <v>66</v>
      </c>
      <c r="E617" s="10">
        <v>45660.864467671454</v>
      </c>
      <c r="F617" s="12">
        <v>211.64</v>
      </c>
      <c r="G617">
        <f t="shared" ca="1" si="27"/>
        <v>0.55069098569219932</v>
      </c>
      <c r="H617" t="str">
        <f t="shared" ca="1" si="28"/>
        <v>Excellent handling</v>
      </c>
      <c r="I617" t="str">
        <f t="shared" si="29"/>
        <v/>
      </c>
    </row>
    <row r="618" spans="1:9" x14ac:dyDescent="0.3">
      <c r="A618" s="10">
        <v>45668.46041021758</v>
      </c>
      <c r="B618" t="s">
        <v>20</v>
      </c>
      <c r="C618" t="s">
        <v>15</v>
      </c>
      <c r="D618" t="s">
        <v>64</v>
      </c>
      <c r="E618" s="10" t="s">
        <v>73</v>
      </c>
      <c r="F618" s="12">
        <v>53.65</v>
      </c>
      <c r="G618">
        <f t="shared" ca="1" si="27"/>
        <v>386.53958978242008</v>
      </c>
      <c r="H618" t="str">
        <f t="shared" ca="1" si="28"/>
        <v>Bad handling</v>
      </c>
      <c r="I618" t="str">
        <f t="shared" si="29"/>
        <v>Weekend sale</v>
      </c>
    </row>
    <row r="619" spans="1:9" x14ac:dyDescent="0.3">
      <c r="A619" s="10">
        <v>45668.299372348505</v>
      </c>
      <c r="B619" t="s">
        <v>14</v>
      </c>
      <c r="C619" t="s">
        <v>9</v>
      </c>
      <c r="D619" t="s">
        <v>61</v>
      </c>
      <c r="E619" s="10">
        <v>45669.485052137716</v>
      </c>
      <c r="F619" s="12">
        <v>324.2</v>
      </c>
      <c r="G619">
        <f t="shared" ca="1" si="27"/>
        <v>1.1856797892105533</v>
      </c>
      <c r="H619" t="str">
        <f t="shared" ca="1" si="28"/>
        <v>Excellent handling</v>
      </c>
      <c r="I619" t="str">
        <f t="shared" si="29"/>
        <v>Weekend sale</v>
      </c>
    </row>
    <row r="620" spans="1:9" x14ac:dyDescent="0.3">
      <c r="A620" s="10">
        <v>45646.874493025018</v>
      </c>
      <c r="B620" t="s">
        <v>18</v>
      </c>
      <c r="C620" t="s">
        <v>15</v>
      </c>
      <c r="D620" t="s">
        <v>64</v>
      </c>
      <c r="E620" s="10">
        <v>45648.739420979662</v>
      </c>
      <c r="F620" s="12">
        <v>706.59</v>
      </c>
      <c r="G620">
        <f t="shared" ca="1" si="27"/>
        <v>1.8649279546443722</v>
      </c>
      <c r="H620" t="str">
        <f t="shared" ca="1" si="28"/>
        <v>Excellent handling</v>
      </c>
      <c r="I620" t="str">
        <f t="shared" si="29"/>
        <v/>
      </c>
    </row>
    <row r="621" spans="1:9" x14ac:dyDescent="0.3">
      <c r="A621" s="10">
        <v>45663.074799039139</v>
      </c>
      <c r="B621" t="s">
        <v>43</v>
      </c>
      <c r="C621" t="s">
        <v>42</v>
      </c>
      <c r="D621" t="s">
        <v>62</v>
      </c>
      <c r="E621" s="10">
        <v>45664.655320241545</v>
      </c>
      <c r="F621" s="12">
        <v>27.69</v>
      </c>
      <c r="G621">
        <f t="shared" ca="1" si="27"/>
        <v>1.5805212024060893</v>
      </c>
      <c r="H621" t="str">
        <f t="shared" ca="1" si="28"/>
        <v>Excellent handling</v>
      </c>
      <c r="I621" t="str">
        <f t="shared" si="29"/>
        <v/>
      </c>
    </row>
    <row r="622" spans="1:9" x14ac:dyDescent="0.3">
      <c r="A622" s="10">
        <v>45653.205489623957</v>
      </c>
      <c r="B622" t="s">
        <v>18</v>
      </c>
      <c r="C622" t="s">
        <v>15</v>
      </c>
      <c r="D622" t="s">
        <v>64</v>
      </c>
      <c r="E622" s="10">
        <v>45655.242149208068</v>
      </c>
      <c r="F622" s="12">
        <v>193.14</v>
      </c>
      <c r="G622">
        <f t="shared" ca="1" si="27"/>
        <v>2.0366595841114759</v>
      </c>
      <c r="H622" t="str">
        <f t="shared" ca="1" si="28"/>
        <v/>
      </c>
      <c r="I622" t="str">
        <f t="shared" si="29"/>
        <v/>
      </c>
    </row>
    <row r="623" spans="1:9" x14ac:dyDescent="0.3">
      <c r="A623" s="10">
        <v>45684.337849341129</v>
      </c>
      <c r="B623" t="s">
        <v>24</v>
      </c>
      <c r="C623" t="s">
        <v>22</v>
      </c>
      <c r="D623" t="s">
        <v>61</v>
      </c>
      <c r="E623" s="10">
        <v>45685.613026440216</v>
      </c>
      <c r="F623" s="12">
        <v>285.52999999999997</v>
      </c>
      <c r="G623">
        <f t="shared" ca="1" si="27"/>
        <v>1.2751770990871591</v>
      </c>
      <c r="H623" t="str">
        <f t="shared" ca="1" si="28"/>
        <v>Excellent handling</v>
      </c>
      <c r="I623" t="str">
        <f t="shared" si="29"/>
        <v/>
      </c>
    </row>
    <row r="624" spans="1:9" x14ac:dyDescent="0.3">
      <c r="A624" s="10">
        <v>45634.696000482829</v>
      </c>
      <c r="B624" t="s">
        <v>35</v>
      </c>
      <c r="C624" t="s">
        <v>33</v>
      </c>
      <c r="D624" t="s">
        <v>67</v>
      </c>
      <c r="E624" s="10" t="s">
        <v>72</v>
      </c>
      <c r="F624" s="12">
        <v>241.52</v>
      </c>
      <c r="G624">
        <f t="shared" ca="1" si="27"/>
        <v>420.30399951717118</v>
      </c>
      <c r="H624" t="str">
        <f t="shared" ca="1" si="28"/>
        <v>Bad handling</v>
      </c>
      <c r="I624" t="str">
        <f t="shared" si="29"/>
        <v>Weekend sale</v>
      </c>
    </row>
    <row r="625" spans="1:9" x14ac:dyDescent="0.3">
      <c r="A625" s="10">
        <v>45661.395101841539</v>
      </c>
      <c r="B625" t="s">
        <v>19</v>
      </c>
      <c r="C625" t="s">
        <v>15</v>
      </c>
      <c r="D625" t="s">
        <v>63</v>
      </c>
      <c r="E625" s="10">
        <v>45666.808397640416</v>
      </c>
      <c r="F625" s="12">
        <v>705</v>
      </c>
      <c r="G625">
        <f t="shared" ca="1" si="27"/>
        <v>5.4132957988767885</v>
      </c>
      <c r="H625" t="str">
        <f t="shared" ca="1" si="28"/>
        <v>Bad handling</v>
      </c>
      <c r="I625" t="str">
        <f t="shared" si="29"/>
        <v>Weekend sale</v>
      </c>
    </row>
    <row r="626" spans="1:9" x14ac:dyDescent="0.3">
      <c r="A626" s="10">
        <v>45682.079262411331</v>
      </c>
      <c r="B626" t="s">
        <v>19</v>
      </c>
      <c r="C626" t="s">
        <v>15</v>
      </c>
      <c r="D626" t="s">
        <v>63</v>
      </c>
      <c r="E626" s="10">
        <v>45686.513952060865</v>
      </c>
      <c r="F626" s="12">
        <v>191.93</v>
      </c>
      <c r="G626">
        <f t="shared" ca="1" si="27"/>
        <v>4.4346896495335386</v>
      </c>
      <c r="H626" t="str">
        <f t="shared" ca="1" si="28"/>
        <v>Bad handling</v>
      </c>
      <c r="I626" t="str">
        <f t="shared" si="29"/>
        <v>Weekend sale</v>
      </c>
    </row>
    <row r="627" spans="1:9" x14ac:dyDescent="0.3">
      <c r="A627" s="10">
        <v>45628.168468859243</v>
      </c>
      <c r="B627" t="s">
        <v>53</v>
      </c>
      <c r="C627" t="s">
        <v>52</v>
      </c>
      <c r="D627" t="s">
        <v>66</v>
      </c>
      <c r="E627" s="10">
        <v>45633.573874648995</v>
      </c>
      <c r="F627" s="12">
        <v>92.09</v>
      </c>
      <c r="G627">
        <f t="shared" ca="1" si="27"/>
        <v>5.4054057897519669</v>
      </c>
      <c r="H627" t="str">
        <f t="shared" ca="1" si="28"/>
        <v>Bad handling</v>
      </c>
      <c r="I627" t="str">
        <f t="shared" si="29"/>
        <v/>
      </c>
    </row>
    <row r="628" spans="1:9" x14ac:dyDescent="0.3">
      <c r="A628" s="10">
        <v>45631.803656021249</v>
      </c>
      <c r="B628" t="s">
        <v>23</v>
      </c>
      <c r="C628" t="s">
        <v>22</v>
      </c>
      <c r="D628" t="s">
        <v>67</v>
      </c>
      <c r="E628" s="10">
        <v>45634.166492017794</v>
      </c>
      <c r="F628" s="12">
        <v>86.46</v>
      </c>
      <c r="G628">
        <f t="shared" ca="1" si="27"/>
        <v>2.3628359965441632</v>
      </c>
      <c r="H628" t="str">
        <f t="shared" ca="1" si="28"/>
        <v/>
      </c>
      <c r="I628" t="str">
        <f t="shared" si="29"/>
        <v/>
      </c>
    </row>
    <row r="629" spans="1:9" x14ac:dyDescent="0.3">
      <c r="A629" s="10">
        <v>45678.665040137865</v>
      </c>
      <c r="B629" t="s">
        <v>14</v>
      </c>
      <c r="C629" t="s">
        <v>9</v>
      </c>
      <c r="D629" t="s">
        <v>61</v>
      </c>
      <c r="E629" s="10">
        <v>45682.728488705601</v>
      </c>
      <c r="F629" s="12">
        <v>338.55</v>
      </c>
      <c r="G629">
        <f t="shared" ca="1" si="27"/>
        <v>4.0634485677364864</v>
      </c>
      <c r="H629" t="str">
        <f t="shared" ca="1" si="28"/>
        <v>Bad handling</v>
      </c>
      <c r="I629" t="str">
        <f t="shared" si="29"/>
        <v/>
      </c>
    </row>
    <row r="630" spans="1:9" x14ac:dyDescent="0.3">
      <c r="A630" s="10">
        <v>45681.085615241471</v>
      </c>
      <c r="B630" t="s">
        <v>50</v>
      </c>
      <c r="C630" t="s">
        <v>48</v>
      </c>
      <c r="D630" t="s">
        <v>64</v>
      </c>
      <c r="E630" s="10">
        <v>45681.69237065057</v>
      </c>
      <c r="F630" s="12">
        <v>525.39</v>
      </c>
      <c r="G630">
        <f t="shared" ca="1" si="27"/>
        <v>0.60675540909869596</v>
      </c>
      <c r="H630" t="str">
        <f t="shared" ca="1" si="28"/>
        <v>Excellent handling</v>
      </c>
      <c r="I630" t="str">
        <f t="shared" si="29"/>
        <v/>
      </c>
    </row>
  </sheetData>
  <conditionalFormatting sqref="B2:B630">
    <cfRule type="expression" dxfId="3" priority="1">
      <formula>OR(HOUR(A2)=10,HOUR(A2)=11)</formula>
    </cfRule>
  </conditionalFormatting>
  <conditionalFormatting sqref="F2:F630">
    <cfRule type="expression" dxfId="2" priority="2">
      <formula>AND(A2&gt;DATE(2025,1,1),F2&gt;=500)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CD83E-FA5F-404F-900A-639FB3B3D8FE}">
  <dimension ref="A1:B11"/>
  <sheetViews>
    <sheetView workbookViewId="0"/>
  </sheetViews>
  <sheetFormatPr defaultRowHeight="14.4" x14ac:dyDescent="0.3"/>
  <cols>
    <col min="1" max="1" width="20.6640625" bestFit="1" customWidth="1"/>
    <col min="2" max="2" width="23" bestFit="1" customWidth="1"/>
  </cols>
  <sheetData>
    <row r="1" spans="1:2" x14ac:dyDescent="0.3">
      <c r="A1" s="11" t="s">
        <v>7</v>
      </c>
      <c r="B1" s="11" t="s">
        <v>71</v>
      </c>
    </row>
    <row r="2" spans="1:2" x14ac:dyDescent="0.3">
      <c r="A2" t="s">
        <v>22</v>
      </c>
      <c r="B2" s="12">
        <f>SUMIFS(Stationery!F$2:F$630,Stationery!C$2:C$630,A2,Stationery!A$2:A$630,"&gt;=1/10/2025",Stationery!A$2:A$630,"&lt;=1/20/2025")</f>
        <v>0</v>
      </c>
    </row>
    <row r="3" spans="1:2" x14ac:dyDescent="0.3">
      <c r="A3" t="s">
        <v>52</v>
      </c>
      <c r="B3" s="12">
        <f>SUMIFS(Stationery!F$2:F$630,Stationery!C$2:C$630,A3,Stationery!A$2:A$630,"&gt;=1/10/2025",Stationery!A$2:A$630,"&lt;=1/20/2025")</f>
        <v>0</v>
      </c>
    </row>
    <row r="4" spans="1:2" x14ac:dyDescent="0.3">
      <c r="A4" t="s">
        <v>48</v>
      </c>
      <c r="B4" s="12">
        <f>SUMIFS(Stationery!F$2:F$630,Stationery!C$2:C$630,A4,Stationery!A$2:A$630,"&gt;=1/10/2025",Stationery!A$2:A$630,"&lt;=1/20/2025")</f>
        <v>0</v>
      </c>
    </row>
    <row r="5" spans="1:2" x14ac:dyDescent="0.3">
      <c r="A5" t="s">
        <v>9</v>
      </c>
      <c r="B5" s="12">
        <f>SUMIFS(Stationery!F$2:F$630,Stationery!C$2:C$630,A5,Stationery!A$2:A$630,"&gt;=1/10/2025",Stationery!A$2:A$630,"&lt;=1/20/2025")</f>
        <v>0</v>
      </c>
    </row>
    <row r="6" spans="1:2" x14ac:dyDescent="0.3">
      <c r="A6" t="s">
        <v>15</v>
      </c>
      <c r="B6" s="12">
        <f>SUMIFS(Stationery!F$2:F$630,Stationery!C$2:C$630,A6,Stationery!A$2:A$630,"&gt;=1/10/2025",Stationery!A$2:A$630,"&lt;=1/20/2025")</f>
        <v>0</v>
      </c>
    </row>
    <row r="7" spans="1:2" x14ac:dyDescent="0.3">
      <c r="A7" t="s">
        <v>33</v>
      </c>
      <c r="B7" s="12">
        <f>SUMIFS(Stationery!F$2:F$630,Stationery!C$2:C$630,A7,Stationery!A$2:A$630,"&gt;=1/10/2025",Stationery!A$2:A$630,"&lt;=1/20/2025")</f>
        <v>0</v>
      </c>
    </row>
    <row r="8" spans="1:2" x14ac:dyDescent="0.3">
      <c r="A8" t="s">
        <v>42</v>
      </c>
      <c r="B8" s="12">
        <f>SUMIFS(Stationery!F$2:F$630,Stationery!C$2:C$630,A8,Stationery!A$2:A$630,"&gt;=1/10/2025",Stationery!A$2:A$630,"&lt;=1/20/2025")</f>
        <v>0</v>
      </c>
    </row>
    <row r="9" spans="1:2" x14ac:dyDescent="0.3">
      <c r="A9" t="s">
        <v>29</v>
      </c>
      <c r="B9" s="12">
        <f>SUMIFS(Stationery!F$2:F$630,Stationery!C$2:C$630,A9,Stationery!A$2:A$630,"&gt;=1/10/2025",Stationery!A$2:A$630,"&lt;=1/20/2025")</f>
        <v>0</v>
      </c>
    </row>
    <row r="10" spans="1:2" x14ac:dyDescent="0.3">
      <c r="A10" t="s">
        <v>37</v>
      </c>
      <c r="B10" s="12">
        <f>SUMIFS(Stationery!F$2:F$630,Stationery!C$2:C$630,A10,Stationery!A$2:A$630,"&gt;=1/10/2025",Stationery!A$2:A$630,"&lt;=1/20/2025")</f>
        <v>0</v>
      </c>
    </row>
    <row r="11" spans="1:2" x14ac:dyDescent="0.3">
      <c r="A11" t="s">
        <v>45</v>
      </c>
      <c r="B11" s="12">
        <f>SUMIFS(Stationery!F$2:F$630,Stationery!C$2:C$630,A11,Stationery!A$2:A$630,"&gt;=1/10/2025",Stationery!A$2:A$630,"&lt;=1/20/2025")</f>
        <v>0</v>
      </c>
    </row>
  </sheetData>
  <sortState xmlns:xlrd2="http://schemas.microsoft.com/office/spreadsheetml/2017/richdata2" ref="A2:B11">
    <sortCondition ref="A3:A1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Case development</vt:lpstr>
      <vt:lpstr>Stationery</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dc:creator>
  <cp:lastModifiedBy>PAVEL ANDREEV</cp:lastModifiedBy>
  <dcterms:created xsi:type="dcterms:W3CDTF">2015-06-05T18:17:20Z</dcterms:created>
  <dcterms:modified xsi:type="dcterms:W3CDTF">2026-02-02T10:30:19Z</dcterms:modified>
</cp:coreProperties>
</file>
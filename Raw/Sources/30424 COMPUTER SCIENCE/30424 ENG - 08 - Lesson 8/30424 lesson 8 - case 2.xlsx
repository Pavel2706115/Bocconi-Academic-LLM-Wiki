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bocconi-my.sharepoint.com/personal/pavel_andreev_studbocconi_it/Documents/30424 COMPUTER SCIENCE/30424 ENG - 08 - Lesson 8/"/>
    </mc:Choice>
  </mc:AlternateContent>
  <xr:revisionPtr revIDLastSave="96" documentId="13_ncr:1_{4FDED7AC-2C99-4D78-A543-92FE8FA5FFA1}" xr6:coauthVersionLast="47" xr6:coauthVersionMax="47" xr10:uidLastSave="{29A11252-FFB0-4BB8-A3D1-F54EC1B804F3}"/>
  <bookViews>
    <workbookView xWindow="-108" yWindow="-108" windowWidth="23256" windowHeight="12456" activeTab="1" xr2:uid="{00000000-000D-0000-FFFF-FFFF00000000}"/>
  </bookViews>
  <sheets>
    <sheet name="Stationery" sheetId="10" r:id="rId1"/>
    <sheet name="Analysis" sheetId="11" r:id="rId2"/>
  </sheets>
  <definedNames>
    <definedName name="_xlnm._FilterDatabase" localSheetId="0" hidden="1">Stationery!$A$1:$F$630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1" l="1"/>
  <c r="C4" i="11"/>
  <c r="C5" i="11"/>
  <c r="C6" i="11"/>
  <c r="C7" i="11"/>
  <c r="C8" i="11"/>
  <c r="C9" i="11"/>
  <c r="C10" i="11"/>
  <c r="C11" i="11"/>
  <c r="C12" i="11"/>
  <c r="I3" i="10" l="1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0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7" i="10"/>
  <c r="I388" i="10"/>
  <c r="I389" i="10"/>
  <c r="I390" i="10"/>
  <c r="I391" i="10"/>
  <c r="I392" i="10"/>
  <c r="I393" i="10"/>
  <c r="I394" i="10"/>
  <c r="I395" i="10"/>
  <c r="I396" i="10"/>
  <c r="I397" i="10"/>
  <c r="I398" i="10"/>
  <c r="I399" i="10"/>
  <c r="I400" i="10"/>
  <c r="I401" i="10"/>
  <c r="I402" i="10"/>
  <c r="I403" i="10"/>
  <c r="I404" i="10"/>
  <c r="I405" i="10"/>
  <c r="I406" i="10"/>
  <c r="I407" i="10"/>
  <c r="I408" i="10"/>
  <c r="I409" i="10"/>
  <c r="I410" i="10"/>
  <c r="I411" i="10"/>
  <c r="I412" i="10"/>
  <c r="I413" i="10"/>
  <c r="I414" i="10"/>
  <c r="I415" i="10"/>
  <c r="I416" i="10"/>
  <c r="I417" i="10"/>
  <c r="I418" i="10"/>
  <c r="I419" i="10"/>
  <c r="I420" i="10"/>
  <c r="I421" i="10"/>
  <c r="I422" i="10"/>
  <c r="I423" i="10"/>
  <c r="I424" i="10"/>
  <c r="I425" i="10"/>
  <c r="I426" i="10"/>
  <c r="I427" i="10"/>
  <c r="I428" i="10"/>
  <c r="I429" i="10"/>
  <c r="I430" i="10"/>
  <c r="I431" i="10"/>
  <c r="I432" i="10"/>
  <c r="I433" i="10"/>
  <c r="I434" i="10"/>
  <c r="I435" i="10"/>
  <c r="I436" i="10"/>
  <c r="I437" i="10"/>
  <c r="I438" i="10"/>
  <c r="I439" i="10"/>
  <c r="I440" i="10"/>
  <c r="I441" i="10"/>
  <c r="I442" i="10"/>
  <c r="I443" i="10"/>
  <c r="I444" i="10"/>
  <c r="I445" i="10"/>
  <c r="I446" i="10"/>
  <c r="I447" i="10"/>
  <c r="I448" i="10"/>
  <c r="I449" i="10"/>
  <c r="I450" i="10"/>
  <c r="I451" i="10"/>
  <c r="I452" i="10"/>
  <c r="I453" i="10"/>
  <c r="I454" i="10"/>
  <c r="I455" i="10"/>
  <c r="I456" i="10"/>
  <c r="I457" i="10"/>
  <c r="I458" i="10"/>
  <c r="I459" i="10"/>
  <c r="I460" i="10"/>
  <c r="I461" i="10"/>
  <c r="I462" i="10"/>
  <c r="I463" i="10"/>
  <c r="I464" i="10"/>
  <c r="I465" i="10"/>
  <c r="I466" i="10"/>
  <c r="I467" i="10"/>
  <c r="I468" i="10"/>
  <c r="I469" i="10"/>
  <c r="I470" i="10"/>
  <c r="I471" i="10"/>
  <c r="I472" i="10"/>
  <c r="I473" i="10"/>
  <c r="I474" i="10"/>
  <c r="I475" i="10"/>
  <c r="I476" i="10"/>
  <c r="I477" i="10"/>
  <c r="I478" i="10"/>
  <c r="I479" i="10"/>
  <c r="I480" i="10"/>
  <c r="I481" i="10"/>
  <c r="I482" i="10"/>
  <c r="I483" i="10"/>
  <c r="I484" i="10"/>
  <c r="I485" i="10"/>
  <c r="I486" i="10"/>
  <c r="I487" i="10"/>
  <c r="I488" i="10"/>
  <c r="I489" i="10"/>
  <c r="I490" i="10"/>
  <c r="I491" i="10"/>
  <c r="I492" i="10"/>
  <c r="I493" i="10"/>
  <c r="I494" i="10"/>
  <c r="I495" i="10"/>
  <c r="I496" i="10"/>
  <c r="I497" i="10"/>
  <c r="I498" i="10"/>
  <c r="I499" i="10"/>
  <c r="I500" i="10"/>
  <c r="I501" i="10"/>
  <c r="I502" i="10"/>
  <c r="I503" i="10"/>
  <c r="I504" i="10"/>
  <c r="I505" i="10"/>
  <c r="I506" i="10"/>
  <c r="I507" i="10"/>
  <c r="I508" i="10"/>
  <c r="I509" i="10"/>
  <c r="I510" i="10"/>
  <c r="I511" i="10"/>
  <c r="I512" i="10"/>
  <c r="I513" i="10"/>
  <c r="I514" i="10"/>
  <c r="I515" i="10"/>
  <c r="I516" i="10"/>
  <c r="I517" i="10"/>
  <c r="I518" i="10"/>
  <c r="I519" i="10"/>
  <c r="I520" i="10"/>
  <c r="I521" i="10"/>
  <c r="I522" i="10"/>
  <c r="I523" i="10"/>
  <c r="I524" i="10"/>
  <c r="I525" i="10"/>
  <c r="I526" i="10"/>
  <c r="I527" i="10"/>
  <c r="I528" i="10"/>
  <c r="I529" i="10"/>
  <c r="I530" i="10"/>
  <c r="I531" i="10"/>
  <c r="I532" i="10"/>
  <c r="I533" i="10"/>
  <c r="I534" i="10"/>
  <c r="I535" i="10"/>
  <c r="I536" i="10"/>
  <c r="I537" i="10"/>
  <c r="I538" i="10"/>
  <c r="I539" i="10"/>
  <c r="I540" i="10"/>
  <c r="I541" i="10"/>
  <c r="I542" i="10"/>
  <c r="I543" i="10"/>
  <c r="I544" i="10"/>
  <c r="I545" i="10"/>
  <c r="I546" i="10"/>
  <c r="I547" i="10"/>
  <c r="I548" i="10"/>
  <c r="I549" i="10"/>
  <c r="I550" i="10"/>
  <c r="I551" i="10"/>
  <c r="I552" i="10"/>
  <c r="I553" i="10"/>
  <c r="I554" i="10"/>
  <c r="I555" i="10"/>
  <c r="I556" i="10"/>
  <c r="I557" i="10"/>
  <c r="I558" i="10"/>
  <c r="I559" i="10"/>
  <c r="I560" i="10"/>
  <c r="I561" i="10"/>
  <c r="I562" i="10"/>
  <c r="I563" i="10"/>
  <c r="I564" i="10"/>
  <c r="I565" i="10"/>
  <c r="I566" i="10"/>
  <c r="I567" i="10"/>
  <c r="I568" i="10"/>
  <c r="I569" i="10"/>
  <c r="I570" i="10"/>
  <c r="I571" i="10"/>
  <c r="I572" i="10"/>
  <c r="I573" i="10"/>
  <c r="I574" i="10"/>
  <c r="I575" i="10"/>
  <c r="I576" i="10"/>
  <c r="I577" i="10"/>
  <c r="I578" i="10"/>
  <c r="I579" i="10"/>
  <c r="I580" i="10"/>
  <c r="I581" i="10"/>
  <c r="I582" i="10"/>
  <c r="I583" i="10"/>
  <c r="I584" i="10"/>
  <c r="I585" i="10"/>
  <c r="I586" i="10"/>
  <c r="I587" i="10"/>
  <c r="I588" i="10"/>
  <c r="I589" i="10"/>
  <c r="I590" i="10"/>
  <c r="I591" i="10"/>
  <c r="I592" i="10"/>
  <c r="I593" i="10"/>
  <c r="I594" i="10"/>
  <c r="I595" i="10"/>
  <c r="I596" i="10"/>
  <c r="I597" i="10"/>
  <c r="I598" i="10"/>
  <c r="I599" i="10"/>
  <c r="I600" i="10"/>
  <c r="I601" i="10"/>
  <c r="I602" i="10"/>
  <c r="I603" i="10"/>
  <c r="I604" i="10"/>
  <c r="I605" i="10"/>
  <c r="I606" i="10"/>
  <c r="I607" i="10"/>
  <c r="I608" i="10"/>
  <c r="I609" i="10"/>
  <c r="I610" i="10"/>
  <c r="I611" i="10"/>
  <c r="I612" i="10"/>
  <c r="I613" i="10"/>
  <c r="I614" i="10"/>
  <c r="I615" i="10"/>
  <c r="I616" i="10"/>
  <c r="I617" i="10"/>
  <c r="I618" i="10"/>
  <c r="I619" i="10"/>
  <c r="I620" i="10"/>
  <c r="I621" i="10"/>
  <c r="I622" i="10"/>
  <c r="I623" i="10"/>
  <c r="I624" i="10"/>
  <c r="I625" i="10"/>
  <c r="I626" i="10"/>
  <c r="I627" i="10"/>
  <c r="I628" i="10"/>
  <c r="I629" i="10"/>
  <c r="I630" i="10"/>
  <c r="I2" i="10"/>
  <c r="G3" i="10"/>
  <c r="H3" i="10" s="1" a="1"/>
  <c r="H3" i="10" s="1"/>
  <c r="G4" i="10"/>
  <c r="H4" i="10" s="1" a="1"/>
  <c r="H4" i="10" s="1"/>
  <c r="G5" i="10"/>
  <c r="H5" i="10" s="1" a="1"/>
  <c r="H5" i="10" s="1"/>
  <c r="G6" i="10"/>
  <c r="H6" i="10" s="1" a="1"/>
  <c r="H6" i="10" s="1"/>
  <c r="G7" i="10"/>
  <c r="H7" i="10" s="1" a="1"/>
  <c r="H7" i="10" s="1"/>
  <c r="G8" i="10"/>
  <c r="H8" i="10" s="1" a="1"/>
  <c r="H8" i="10" s="1"/>
  <c r="G9" i="10"/>
  <c r="H9" i="10" s="1" a="1"/>
  <c r="H9" i="10" s="1"/>
  <c r="G10" i="10"/>
  <c r="H10" i="10" s="1" a="1"/>
  <c r="H10" i="10" s="1"/>
  <c r="G11" i="10"/>
  <c r="H11" i="10" s="1" a="1"/>
  <c r="H11" i="10" s="1"/>
  <c r="G12" i="10"/>
  <c r="H12" i="10" s="1" a="1"/>
  <c r="H12" i="10" s="1"/>
  <c r="G13" i="10"/>
  <c r="H13" i="10" s="1" a="1"/>
  <c r="H13" i="10" s="1"/>
  <c r="G14" i="10"/>
  <c r="H14" i="10" s="1" a="1"/>
  <c r="H14" i="10" s="1"/>
  <c r="G15" i="10"/>
  <c r="H15" i="10" s="1" a="1"/>
  <c r="H15" i="10" s="1"/>
  <c r="G16" i="10"/>
  <c r="H16" i="10" s="1" a="1"/>
  <c r="H16" i="10" s="1"/>
  <c r="G17" i="10"/>
  <c r="H17" i="10" s="1" a="1"/>
  <c r="H17" i="10" s="1"/>
  <c r="G18" i="10"/>
  <c r="H18" i="10" s="1" a="1"/>
  <c r="H18" i="10" s="1"/>
  <c r="G19" i="10"/>
  <c r="H19" i="10" s="1" a="1"/>
  <c r="H19" i="10" s="1"/>
  <c r="G20" i="10"/>
  <c r="H20" i="10" s="1" a="1"/>
  <c r="H20" i="10" s="1"/>
  <c r="G21" i="10"/>
  <c r="H21" i="10" s="1" a="1"/>
  <c r="H21" i="10" s="1"/>
  <c r="G22" i="10"/>
  <c r="H22" i="10" s="1" a="1"/>
  <c r="H22" i="10" s="1"/>
  <c r="G23" i="10"/>
  <c r="H23" i="10" s="1" a="1"/>
  <c r="H23" i="10" s="1"/>
  <c r="G24" i="10"/>
  <c r="H24" i="10" s="1" a="1"/>
  <c r="H24" i="10" s="1"/>
  <c r="G25" i="10"/>
  <c r="H25" i="10" s="1" a="1"/>
  <c r="H25" i="10" s="1"/>
  <c r="G26" i="10"/>
  <c r="H26" i="10" s="1" a="1"/>
  <c r="H26" i="10" s="1"/>
  <c r="G27" i="10"/>
  <c r="H27" i="10" s="1" a="1"/>
  <c r="H27" i="10" s="1"/>
  <c r="G28" i="10"/>
  <c r="H28" i="10" s="1" a="1"/>
  <c r="H28" i="10" s="1"/>
  <c r="G29" i="10"/>
  <c r="H29" i="10" s="1" a="1"/>
  <c r="H29" i="10" s="1"/>
  <c r="G30" i="10"/>
  <c r="H30" i="10" s="1" a="1"/>
  <c r="H30" i="10" s="1"/>
  <c r="G31" i="10"/>
  <c r="H31" i="10" s="1" a="1"/>
  <c r="H31" i="10" s="1"/>
  <c r="G32" i="10"/>
  <c r="H32" i="10" s="1" a="1"/>
  <c r="H32" i="10" s="1"/>
  <c r="G33" i="10"/>
  <c r="H33" i="10" s="1" a="1"/>
  <c r="H33" i="10" s="1"/>
  <c r="G34" i="10"/>
  <c r="H34" i="10" s="1" a="1"/>
  <c r="H34" i="10" s="1"/>
  <c r="G35" i="10"/>
  <c r="H35" i="10" s="1" a="1"/>
  <c r="H35" i="10" s="1"/>
  <c r="G36" i="10"/>
  <c r="H36" i="10" s="1" a="1"/>
  <c r="H36" i="10" s="1"/>
  <c r="G37" i="10"/>
  <c r="H37" i="10" s="1" a="1"/>
  <c r="H37" i="10" s="1"/>
  <c r="G38" i="10"/>
  <c r="H38" i="10" s="1" a="1"/>
  <c r="H38" i="10" s="1"/>
  <c r="G39" i="10"/>
  <c r="H39" i="10" s="1" a="1"/>
  <c r="H39" i="10" s="1"/>
  <c r="G40" i="10"/>
  <c r="H40" i="10" s="1" a="1"/>
  <c r="H40" i="10" s="1"/>
  <c r="G41" i="10"/>
  <c r="H41" i="10" s="1" a="1"/>
  <c r="H41" i="10" s="1"/>
  <c r="G42" i="10"/>
  <c r="H42" i="10" s="1" a="1"/>
  <c r="H42" i="10" s="1"/>
  <c r="G43" i="10"/>
  <c r="H43" i="10" s="1" a="1"/>
  <c r="H43" i="10" s="1"/>
  <c r="G44" i="10"/>
  <c r="H44" i="10" s="1" a="1"/>
  <c r="H44" i="10" s="1"/>
  <c r="G45" i="10"/>
  <c r="H45" i="10" s="1" a="1"/>
  <c r="H45" i="10" s="1"/>
  <c r="G46" i="10"/>
  <c r="H46" i="10" s="1" a="1"/>
  <c r="H46" i="10" s="1"/>
  <c r="G47" i="10"/>
  <c r="H47" i="10" s="1" a="1"/>
  <c r="H47" i="10" s="1"/>
  <c r="G48" i="10"/>
  <c r="H48" i="10" s="1" a="1"/>
  <c r="H48" i="10" s="1"/>
  <c r="G49" i="10"/>
  <c r="H49" i="10" s="1" a="1"/>
  <c r="H49" i="10" s="1"/>
  <c r="G50" i="10"/>
  <c r="H50" i="10" s="1" a="1"/>
  <c r="H50" i="10" s="1"/>
  <c r="G51" i="10"/>
  <c r="H51" i="10" s="1" a="1"/>
  <c r="H51" i="10" s="1"/>
  <c r="G52" i="10"/>
  <c r="H52" i="10" s="1" a="1"/>
  <c r="H52" i="10" s="1"/>
  <c r="G53" i="10"/>
  <c r="H53" i="10" s="1" a="1"/>
  <c r="H53" i="10" s="1"/>
  <c r="G54" i="10"/>
  <c r="H54" i="10" s="1" a="1"/>
  <c r="H54" i="10" s="1"/>
  <c r="G55" i="10"/>
  <c r="H55" i="10" s="1" a="1"/>
  <c r="H55" i="10" s="1"/>
  <c r="G56" i="10"/>
  <c r="H56" i="10" s="1" a="1"/>
  <c r="H56" i="10" s="1"/>
  <c r="G57" i="10"/>
  <c r="H57" i="10" s="1" a="1"/>
  <c r="H57" i="10" s="1"/>
  <c r="G58" i="10"/>
  <c r="H58" i="10" s="1" a="1"/>
  <c r="H58" i="10" s="1"/>
  <c r="G59" i="10"/>
  <c r="H59" i="10" s="1" a="1"/>
  <c r="H59" i="10" s="1"/>
  <c r="G60" i="10"/>
  <c r="H60" i="10" s="1" a="1"/>
  <c r="H60" i="10" s="1"/>
  <c r="G61" i="10"/>
  <c r="H61" i="10" s="1" a="1"/>
  <c r="H61" i="10" s="1"/>
  <c r="G62" i="10"/>
  <c r="H62" i="10" s="1" a="1"/>
  <c r="H62" i="10" s="1"/>
  <c r="G63" i="10"/>
  <c r="H63" i="10" s="1" a="1"/>
  <c r="H63" i="10" s="1"/>
  <c r="G64" i="10"/>
  <c r="H64" i="10" s="1" a="1"/>
  <c r="H64" i="10" s="1"/>
  <c r="G65" i="10"/>
  <c r="H65" i="10" s="1" a="1"/>
  <c r="H65" i="10" s="1"/>
  <c r="G66" i="10"/>
  <c r="H66" i="10" s="1" a="1"/>
  <c r="H66" i="10" s="1"/>
  <c r="G67" i="10"/>
  <c r="H67" i="10" s="1" a="1"/>
  <c r="H67" i="10" s="1"/>
  <c r="G68" i="10"/>
  <c r="H68" i="10" s="1" a="1"/>
  <c r="H68" i="10" s="1"/>
  <c r="G69" i="10"/>
  <c r="H69" i="10" s="1" a="1"/>
  <c r="H69" i="10" s="1"/>
  <c r="G70" i="10"/>
  <c r="H70" i="10" s="1" a="1"/>
  <c r="H70" i="10" s="1"/>
  <c r="G71" i="10"/>
  <c r="H71" i="10" s="1" a="1"/>
  <c r="H71" i="10" s="1"/>
  <c r="G72" i="10"/>
  <c r="H72" i="10" s="1" a="1"/>
  <c r="H72" i="10" s="1"/>
  <c r="G73" i="10"/>
  <c r="H73" i="10" s="1" a="1"/>
  <c r="H73" i="10" s="1"/>
  <c r="G74" i="10"/>
  <c r="H74" i="10" s="1" a="1"/>
  <c r="H74" i="10" s="1"/>
  <c r="G75" i="10"/>
  <c r="H75" i="10" s="1" a="1"/>
  <c r="H75" i="10" s="1"/>
  <c r="G76" i="10"/>
  <c r="H76" i="10" s="1" a="1"/>
  <c r="H76" i="10" s="1"/>
  <c r="G77" i="10"/>
  <c r="H77" i="10" s="1" a="1"/>
  <c r="H77" i="10" s="1"/>
  <c r="G78" i="10"/>
  <c r="H78" i="10" s="1" a="1"/>
  <c r="H78" i="10" s="1"/>
  <c r="G79" i="10"/>
  <c r="H79" i="10" s="1" a="1"/>
  <c r="H79" i="10" s="1"/>
  <c r="G80" i="10"/>
  <c r="H80" i="10" s="1" a="1"/>
  <c r="H80" i="10" s="1"/>
  <c r="G81" i="10"/>
  <c r="H81" i="10" s="1" a="1"/>
  <c r="H81" i="10" s="1"/>
  <c r="G82" i="10"/>
  <c r="H82" i="10" s="1" a="1"/>
  <c r="H82" i="10" s="1"/>
  <c r="G83" i="10"/>
  <c r="H83" i="10" s="1" a="1"/>
  <c r="H83" i="10" s="1"/>
  <c r="G84" i="10"/>
  <c r="H84" i="10" s="1" a="1"/>
  <c r="H84" i="10" s="1"/>
  <c r="G85" i="10"/>
  <c r="H85" i="10" s="1" a="1"/>
  <c r="H85" i="10" s="1"/>
  <c r="G86" i="10"/>
  <c r="H86" i="10" s="1" a="1"/>
  <c r="H86" i="10" s="1"/>
  <c r="G87" i="10"/>
  <c r="H87" i="10" s="1" a="1"/>
  <c r="H87" i="10" s="1"/>
  <c r="G88" i="10"/>
  <c r="H88" i="10" s="1" a="1"/>
  <c r="H88" i="10" s="1"/>
  <c r="G89" i="10"/>
  <c r="H89" i="10" s="1" a="1"/>
  <c r="H89" i="10" s="1"/>
  <c r="G90" i="10"/>
  <c r="H90" i="10" s="1" a="1"/>
  <c r="H90" i="10" s="1"/>
  <c r="G91" i="10"/>
  <c r="H91" i="10" s="1" a="1"/>
  <c r="H91" i="10" s="1"/>
  <c r="G92" i="10"/>
  <c r="H92" i="10" s="1" a="1"/>
  <c r="H92" i="10" s="1"/>
  <c r="G93" i="10"/>
  <c r="H93" i="10" s="1" a="1"/>
  <c r="H93" i="10" s="1"/>
  <c r="G94" i="10"/>
  <c r="H94" i="10" s="1" a="1"/>
  <c r="H94" i="10" s="1"/>
  <c r="G95" i="10"/>
  <c r="H95" i="10" s="1" a="1"/>
  <c r="H95" i="10" s="1"/>
  <c r="G96" i="10"/>
  <c r="H96" i="10" s="1" a="1"/>
  <c r="H96" i="10" s="1"/>
  <c r="G97" i="10"/>
  <c r="H97" i="10" s="1" a="1"/>
  <c r="H97" i="10" s="1"/>
  <c r="G98" i="10"/>
  <c r="H98" i="10" s="1" a="1"/>
  <c r="H98" i="10" s="1"/>
  <c r="G99" i="10"/>
  <c r="H99" i="10" s="1" a="1"/>
  <c r="H99" i="10" s="1"/>
  <c r="G100" i="10"/>
  <c r="H100" i="10" s="1" a="1"/>
  <c r="H100" i="10" s="1"/>
  <c r="G101" i="10"/>
  <c r="H101" i="10" s="1" a="1"/>
  <c r="H101" i="10" s="1"/>
  <c r="G102" i="10"/>
  <c r="H102" i="10" s="1" a="1"/>
  <c r="H102" i="10" s="1"/>
  <c r="G103" i="10"/>
  <c r="H103" i="10" s="1" a="1"/>
  <c r="H103" i="10" s="1"/>
  <c r="G104" i="10"/>
  <c r="H104" i="10" s="1" a="1"/>
  <c r="H104" i="10" s="1"/>
  <c r="G105" i="10"/>
  <c r="H105" i="10" s="1" a="1"/>
  <c r="H105" i="10" s="1"/>
  <c r="G106" i="10"/>
  <c r="H106" i="10" s="1" a="1"/>
  <c r="H106" i="10" s="1"/>
  <c r="G107" i="10"/>
  <c r="H107" i="10" s="1" a="1"/>
  <c r="H107" i="10" s="1"/>
  <c r="G108" i="10"/>
  <c r="H108" i="10" s="1" a="1"/>
  <c r="H108" i="10" s="1"/>
  <c r="G109" i="10"/>
  <c r="H109" i="10" s="1" a="1"/>
  <c r="H109" i="10" s="1"/>
  <c r="G110" i="10"/>
  <c r="H110" i="10" s="1" a="1"/>
  <c r="H110" i="10" s="1"/>
  <c r="G111" i="10"/>
  <c r="H111" i="10" s="1" a="1"/>
  <c r="H111" i="10" s="1"/>
  <c r="G112" i="10"/>
  <c r="H112" i="10" s="1" a="1"/>
  <c r="H112" i="10" s="1"/>
  <c r="G113" i="10"/>
  <c r="H113" i="10" s="1" a="1"/>
  <c r="H113" i="10" s="1"/>
  <c r="G114" i="10"/>
  <c r="H114" i="10" s="1" a="1"/>
  <c r="H114" i="10" s="1"/>
  <c r="G115" i="10"/>
  <c r="H115" i="10" s="1" a="1"/>
  <c r="H115" i="10" s="1"/>
  <c r="G116" i="10"/>
  <c r="H116" i="10" s="1" a="1"/>
  <c r="H116" i="10" s="1"/>
  <c r="G117" i="10"/>
  <c r="H117" i="10" s="1" a="1"/>
  <c r="H117" i="10" s="1"/>
  <c r="G118" i="10"/>
  <c r="H118" i="10" s="1" a="1"/>
  <c r="H118" i="10" s="1"/>
  <c r="G119" i="10"/>
  <c r="H119" i="10" s="1" a="1"/>
  <c r="H119" i="10" s="1"/>
  <c r="G120" i="10"/>
  <c r="H120" i="10" s="1" a="1"/>
  <c r="H120" i="10" s="1"/>
  <c r="G121" i="10"/>
  <c r="H121" i="10" s="1" a="1"/>
  <c r="H121" i="10" s="1"/>
  <c r="G122" i="10"/>
  <c r="H122" i="10" s="1" a="1"/>
  <c r="H122" i="10" s="1"/>
  <c r="G123" i="10"/>
  <c r="H123" i="10" s="1" a="1"/>
  <c r="H123" i="10" s="1"/>
  <c r="G124" i="10"/>
  <c r="H124" i="10" s="1" a="1"/>
  <c r="H124" i="10" s="1"/>
  <c r="G125" i="10"/>
  <c r="H125" i="10" s="1" a="1"/>
  <c r="H125" i="10" s="1"/>
  <c r="G126" i="10"/>
  <c r="H126" i="10" s="1" a="1"/>
  <c r="H126" i="10" s="1"/>
  <c r="G127" i="10"/>
  <c r="H127" i="10" s="1" a="1"/>
  <c r="H127" i="10" s="1"/>
  <c r="G128" i="10"/>
  <c r="H128" i="10" s="1" a="1"/>
  <c r="H128" i="10" s="1"/>
  <c r="G129" i="10"/>
  <c r="H129" i="10" s="1" a="1"/>
  <c r="H129" i="10" s="1"/>
  <c r="G130" i="10"/>
  <c r="H130" i="10" s="1" a="1"/>
  <c r="H130" i="10" s="1"/>
  <c r="G131" i="10"/>
  <c r="H131" i="10" s="1" a="1"/>
  <c r="H131" i="10" s="1"/>
  <c r="G132" i="10"/>
  <c r="H132" i="10" s="1" a="1"/>
  <c r="H132" i="10" s="1"/>
  <c r="G133" i="10"/>
  <c r="H133" i="10" s="1" a="1"/>
  <c r="H133" i="10" s="1"/>
  <c r="G134" i="10"/>
  <c r="H134" i="10" s="1" a="1"/>
  <c r="H134" i="10" s="1"/>
  <c r="G135" i="10"/>
  <c r="H135" i="10" s="1" a="1"/>
  <c r="H135" i="10" s="1"/>
  <c r="G136" i="10"/>
  <c r="H136" i="10" s="1" a="1"/>
  <c r="H136" i="10" s="1"/>
  <c r="G137" i="10"/>
  <c r="H137" i="10" s="1" a="1"/>
  <c r="H137" i="10" s="1"/>
  <c r="G138" i="10"/>
  <c r="H138" i="10" s="1" a="1"/>
  <c r="H138" i="10" s="1"/>
  <c r="G139" i="10"/>
  <c r="H139" i="10" s="1" a="1"/>
  <c r="H139" i="10" s="1"/>
  <c r="G140" i="10"/>
  <c r="H140" i="10" s="1" a="1"/>
  <c r="H140" i="10" s="1"/>
  <c r="G141" i="10"/>
  <c r="H141" i="10" s="1" a="1"/>
  <c r="H141" i="10" s="1"/>
  <c r="G142" i="10"/>
  <c r="H142" i="10" s="1" a="1"/>
  <c r="H142" i="10" s="1"/>
  <c r="G143" i="10"/>
  <c r="H143" i="10" s="1" a="1"/>
  <c r="H143" i="10" s="1"/>
  <c r="G144" i="10"/>
  <c r="H144" i="10" s="1" a="1"/>
  <c r="H144" i="10" s="1"/>
  <c r="G145" i="10"/>
  <c r="H145" i="10" s="1" a="1"/>
  <c r="H145" i="10" s="1"/>
  <c r="G146" i="10"/>
  <c r="H146" i="10" s="1" a="1"/>
  <c r="H146" i="10" s="1"/>
  <c r="G147" i="10"/>
  <c r="H147" i="10" s="1" a="1"/>
  <c r="H147" i="10" s="1"/>
  <c r="G148" i="10"/>
  <c r="H148" i="10" s="1" a="1"/>
  <c r="H148" i="10" s="1"/>
  <c r="G149" i="10"/>
  <c r="H149" i="10" s="1" a="1"/>
  <c r="H149" i="10" s="1"/>
  <c r="G150" i="10"/>
  <c r="H150" i="10" s="1" a="1"/>
  <c r="H150" i="10" s="1"/>
  <c r="G151" i="10"/>
  <c r="H151" i="10" s="1" a="1"/>
  <c r="H151" i="10" s="1"/>
  <c r="G152" i="10"/>
  <c r="H152" i="10" s="1" a="1"/>
  <c r="H152" i="10" s="1"/>
  <c r="G153" i="10"/>
  <c r="H153" i="10" s="1" a="1"/>
  <c r="H153" i="10" s="1"/>
  <c r="G154" i="10"/>
  <c r="H154" i="10" s="1" a="1"/>
  <c r="H154" i="10" s="1"/>
  <c r="G155" i="10"/>
  <c r="H155" i="10" s="1" a="1"/>
  <c r="H155" i="10" s="1"/>
  <c r="G156" i="10"/>
  <c r="H156" i="10" s="1" a="1"/>
  <c r="H156" i="10" s="1"/>
  <c r="G157" i="10"/>
  <c r="H157" i="10" s="1" a="1"/>
  <c r="H157" i="10" s="1"/>
  <c r="G158" i="10"/>
  <c r="H158" i="10" s="1" a="1"/>
  <c r="H158" i="10" s="1"/>
  <c r="G159" i="10"/>
  <c r="H159" i="10" s="1" a="1"/>
  <c r="H159" i="10" s="1"/>
  <c r="G160" i="10"/>
  <c r="H160" i="10" s="1" a="1"/>
  <c r="H160" i="10" s="1"/>
  <c r="G161" i="10"/>
  <c r="H161" i="10" s="1" a="1"/>
  <c r="H161" i="10" s="1"/>
  <c r="G162" i="10"/>
  <c r="H162" i="10" s="1" a="1"/>
  <c r="H162" i="10" s="1"/>
  <c r="G163" i="10"/>
  <c r="H163" i="10" s="1" a="1"/>
  <c r="H163" i="10" s="1"/>
  <c r="G164" i="10"/>
  <c r="H164" i="10" s="1" a="1"/>
  <c r="H164" i="10" s="1"/>
  <c r="G165" i="10"/>
  <c r="H165" i="10" s="1" a="1"/>
  <c r="H165" i="10" s="1"/>
  <c r="G166" i="10"/>
  <c r="H166" i="10" s="1" a="1"/>
  <c r="H166" i="10" s="1"/>
  <c r="G167" i="10"/>
  <c r="H167" i="10" s="1" a="1"/>
  <c r="H167" i="10" s="1"/>
  <c r="G168" i="10"/>
  <c r="H168" i="10" s="1" a="1"/>
  <c r="H168" i="10" s="1"/>
  <c r="G169" i="10"/>
  <c r="H169" i="10" s="1" a="1"/>
  <c r="H169" i="10" s="1"/>
  <c r="G170" i="10"/>
  <c r="H170" i="10" s="1" a="1"/>
  <c r="H170" i="10" s="1"/>
  <c r="G171" i="10"/>
  <c r="H171" i="10" s="1" a="1"/>
  <c r="H171" i="10" s="1"/>
  <c r="G172" i="10"/>
  <c r="H172" i="10" s="1" a="1"/>
  <c r="H172" i="10" s="1"/>
  <c r="G173" i="10"/>
  <c r="H173" i="10" s="1" a="1"/>
  <c r="H173" i="10" s="1"/>
  <c r="G174" i="10"/>
  <c r="H174" i="10" s="1" a="1"/>
  <c r="H174" i="10" s="1"/>
  <c r="G175" i="10"/>
  <c r="H175" i="10" s="1" a="1"/>
  <c r="H175" i="10" s="1"/>
  <c r="G176" i="10"/>
  <c r="H176" i="10" s="1" a="1"/>
  <c r="H176" i="10" s="1"/>
  <c r="G177" i="10"/>
  <c r="H177" i="10" s="1" a="1"/>
  <c r="H177" i="10" s="1"/>
  <c r="G178" i="10"/>
  <c r="H178" i="10" s="1" a="1"/>
  <c r="H178" i="10" s="1"/>
  <c r="G179" i="10"/>
  <c r="H179" i="10" s="1" a="1"/>
  <c r="H179" i="10" s="1"/>
  <c r="G180" i="10"/>
  <c r="H180" i="10" s="1" a="1"/>
  <c r="H180" i="10" s="1"/>
  <c r="G181" i="10"/>
  <c r="H181" i="10" s="1" a="1"/>
  <c r="H181" i="10" s="1"/>
  <c r="G182" i="10"/>
  <c r="H182" i="10" s="1" a="1"/>
  <c r="H182" i="10" s="1"/>
  <c r="G183" i="10"/>
  <c r="H183" i="10" s="1" a="1"/>
  <c r="H183" i="10" s="1"/>
  <c r="G184" i="10"/>
  <c r="H184" i="10" s="1" a="1"/>
  <c r="H184" i="10" s="1"/>
  <c r="G185" i="10"/>
  <c r="H185" i="10" s="1" a="1"/>
  <c r="H185" i="10" s="1"/>
  <c r="G186" i="10"/>
  <c r="H186" i="10" s="1" a="1"/>
  <c r="H186" i="10" s="1"/>
  <c r="G187" i="10"/>
  <c r="H187" i="10" s="1" a="1"/>
  <c r="H187" i="10" s="1"/>
  <c r="G188" i="10"/>
  <c r="H188" i="10" s="1" a="1"/>
  <c r="H188" i="10" s="1"/>
  <c r="G189" i="10"/>
  <c r="H189" i="10" s="1" a="1"/>
  <c r="H189" i="10" s="1"/>
  <c r="G190" i="10"/>
  <c r="H190" i="10" s="1" a="1"/>
  <c r="H190" i="10" s="1"/>
  <c r="G191" i="10"/>
  <c r="H191" i="10" s="1" a="1"/>
  <c r="H191" i="10" s="1"/>
  <c r="G192" i="10"/>
  <c r="H192" i="10" s="1" a="1"/>
  <c r="H192" i="10" s="1"/>
  <c r="G193" i="10"/>
  <c r="H193" i="10" s="1" a="1"/>
  <c r="H193" i="10" s="1"/>
  <c r="G194" i="10"/>
  <c r="H194" i="10" s="1" a="1"/>
  <c r="H194" i="10" s="1"/>
  <c r="G195" i="10"/>
  <c r="H195" i="10" s="1" a="1"/>
  <c r="H195" i="10" s="1"/>
  <c r="G196" i="10"/>
  <c r="H196" i="10" s="1" a="1"/>
  <c r="H196" i="10" s="1"/>
  <c r="G197" i="10"/>
  <c r="H197" i="10" s="1" a="1"/>
  <c r="H197" i="10" s="1"/>
  <c r="G198" i="10"/>
  <c r="H198" i="10" s="1" a="1"/>
  <c r="H198" i="10" s="1"/>
  <c r="G199" i="10"/>
  <c r="H199" i="10" s="1" a="1"/>
  <c r="H199" i="10" s="1"/>
  <c r="G200" i="10"/>
  <c r="H200" i="10" s="1" a="1"/>
  <c r="H200" i="10" s="1"/>
  <c r="G201" i="10"/>
  <c r="H201" i="10" s="1" a="1"/>
  <c r="H201" i="10" s="1"/>
  <c r="G202" i="10"/>
  <c r="H202" i="10" s="1" a="1"/>
  <c r="H202" i="10" s="1"/>
  <c r="G203" i="10"/>
  <c r="H203" i="10" s="1" a="1"/>
  <c r="H203" i="10" s="1"/>
  <c r="G204" i="10"/>
  <c r="H204" i="10" s="1" a="1"/>
  <c r="H204" i="10" s="1"/>
  <c r="G205" i="10"/>
  <c r="H205" i="10" s="1" a="1"/>
  <c r="H205" i="10" s="1"/>
  <c r="G206" i="10"/>
  <c r="H206" i="10" s="1" a="1"/>
  <c r="H206" i="10" s="1"/>
  <c r="G207" i="10"/>
  <c r="H207" i="10" s="1" a="1"/>
  <c r="H207" i="10" s="1"/>
  <c r="G208" i="10"/>
  <c r="H208" i="10" s="1" a="1"/>
  <c r="H208" i="10" s="1"/>
  <c r="G209" i="10"/>
  <c r="H209" i="10" s="1" a="1"/>
  <c r="H209" i="10" s="1"/>
  <c r="G210" i="10"/>
  <c r="H210" i="10" s="1" a="1"/>
  <c r="H210" i="10" s="1"/>
  <c r="G211" i="10"/>
  <c r="H211" i="10" s="1" a="1"/>
  <c r="H211" i="10" s="1"/>
  <c r="G212" i="10"/>
  <c r="H212" i="10" s="1" a="1"/>
  <c r="H212" i="10" s="1"/>
  <c r="G213" i="10"/>
  <c r="H213" i="10" s="1" a="1"/>
  <c r="H213" i="10" s="1"/>
  <c r="G214" i="10"/>
  <c r="H214" i="10" s="1" a="1"/>
  <c r="H214" i="10" s="1"/>
  <c r="G215" i="10"/>
  <c r="H215" i="10" s="1" a="1"/>
  <c r="H215" i="10" s="1"/>
  <c r="G216" i="10"/>
  <c r="H216" i="10" s="1" a="1"/>
  <c r="H216" i="10" s="1"/>
  <c r="G217" i="10"/>
  <c r="H217" i="10" s="1" a="1"/>
  <c r="H217" i="10" s="1"/>
  <c r="G218" i="10"/>
  <c r="H218" i="10" s="1" a="1"/>
  <c r="H218" i="10" s="1"/>
  <c r="G219" i="10"/>
  <c r="H219" i="10" s="1" a="1"/>
  <c r="H219" i="10" s="1"/>
  <c r="G220" i="10"/>
  <c r="H220" i="10" s="1" a="1"/>
  <c r="H220" i="10" s="1"/>
  <c r="G221" i="10"/>
  <c r="H221" i="10" s="1" a="1"/>
  <c r="H221" i="10" s="1"/>
  <c r="G222" i="10"/>
  <c r="H222" i="10" s="1" a="1"/>
  <c r="H222" i="10" s="1"/>
  <c r="G223" i="10"/>
  <c r="H223" i="10" s="1" a="1"/>
  <c r="H223" i="10" s="1"/>
  <c r="G224" i="10"/>
  <c r="H224" i="10" s="1" a="1"/>
  <c r="H224" i="10" s="1"/>
  <c r="G225" i="10"/>
  <c r="H225" i="10" s="1" a="1"/>
  <c r="H225" i="10" s="1"/>
  <c r="G226" i="10"/>
  <c r="H226" i="10" s="1" a="1"/>
  <c r="H226" i="10" s="1"/>
  <c r="G227" i="10"/>
  <c r="H227" i="10" s="1" a="1"/>
  <c r="H227" i="10" s="1"/>
  <c r="G228" i="10"/>
  <c r="H228" i="10" s="1" a="1"/>
  <c r="H228" i="10" s="1"/>
  <c r="G229" i="10"/>
  <c r="H229" i="10" s="1" a="1"/>
  <c r="H229" i="10" s="1"/>
  <c r="G230" i="10"/>
  <c r="H230" i="10" s="1" a="1"/>
  <c r="H230" i="10" s="1"/>
  <c r="G231" i="10"/>
  <c r="H231" i="10" s="1" a="1"/>
  <c r="H231" i="10" s="1"/>
  <c r="G232" i="10"/>
  <c r="H232" i="10" s="1" a="1"/>
  <c r="H232" i="10" s="1"/>
  <c r="G233" i="10"/>
  <c r="H233" i="10" s="1" a="1"/>
  <c r="H233" i="10" s="1"/>
  <c r="G234" i="10"/>
  <c r="H234" i="10" s="1" a="1"/>
  <c r="H234" i="10" s="1"/>
  <c r="G235" i="10"/>
  <c r="H235" i="10" s="1" a="1"/>
  <c r="H235" i="10" s="1"/>
  <c r="G236" i="10"/>
  <c r="H236" i="10" s="1" a="1"/>
  <c r="H236" i="10" s="1"/>
  <c r="G237" i="10"/>
  <c r="H237" i="10" s="1" a="1"/>
  <c r="H237" i="10" s="1"/>
  <c r="G238" i="10"/>
  <c r="H238" i="10" s="1" a="1"/>
  <c r="H238" i="10" s="1"/>
  <c r="G239" i="10"/>
  <c r="H239" i="10" s="1" a="1"/>
  <c r="H239" i="10" s="1"/>
  <c r="G240" i="10"/>
  <c r="H240" i="10" s="1" a="1"/>
  <c r="H240" i="10" s="1"/>
  <c r="G241" i="10"/>
  <c r="H241" i="10" s="1" a="1"/>
  <c r="H241" i="10" s="1"/>
  <c r="G242" i="10"/>
  <c r="H242" i="10" s="1" a="1"/>
  <c r="H242" i="10" s="1"/>
  <c r="G243" i="10"/>
  <c r="H243" i="10" s="1" a="1"/>
  <c r="H243" i="10" s="1"/>
  <c r="G244" i="10"/>
  <c r="H244" i="10" s="1" a="1"/>
  <c r="H244" i="10" s="1"/>
  <c r="G245" i="10"/>
  <c r="H245" i="10" s="1" a="1"/>
  <c r="H245" i="10" s="1"/>
  <c r="G246" i="10"/>
  <c r="H246" i="10" s="1" a="1"/>
  <c r="H246" i="10" s="1"/>
  <c r="G247" i="10"/>
  <c r="H247" i="10" s="1" a="1"/>
  <c r="H247" i="10" s="1"/>
  <c r="G248" i="10"/>
  <c r="H248" i="10" s="1" a="1"/>
  <c r="H248" i="10" s="1"/>
  <c r="G249" i="10"/>
  <c r="H249" i="10" s="1" a="1"/>
  <c r="H249" i="10" s="1"/>
  <c r="G250" i="10"/>
  <c r="H250" i="10" s="1" a="1"/>
  <c r="H250" i="10" s="1"/>
  <c r="G251" i="10"/>
  <c r="H251" i="10" s="1" a="1"/>
  <c r="H251" i="10" s="1"/>
  <c r="G252" i="10"/>
  <c r="H252" i="10" s="1" a="1"/>
  <c r="H252" i="10" s="1"/>
  <c r="G253" i="10"/>
  <c r="H253" i="10" s="1" a="1"/>
  <c r="H253" i="10" s="1"/>
  <c r="G254" i="10"/>
  <c r="H254" i="10" s="1" a="1"/>
  <c r="H254" i="10" s="1"/>
  <c r="G255" i="10"/>
  <c r="H255" i="10" s="1" a="1"/>
  <c r="H255" i="10" s="1"/>
  <c r="G256" i="10"/>
  <c r="H256" i="10" s="1" a="1"/>
  <c r="H256" i="10" s="1"/>
  <c r="G257" i="10"/>
  <c r="H257" i="10" s="1" a="1"/>
  <c r="H257" i="10" s="1"/>
  <c r="G258" i="10"/>
  <c r="H258" i="10" s="1" a="1"/>
  <c r="H258" i="10" s="1"/>
  <c r="G259" i="10"/>
  <c r="H259" i="10" s="1" a="1"/>
  <c r="H259" i="10" s="1"/>
  <c r="G260" i="10"/>
  <c r="H260" i="10" s="1" a="1"/>
  <c r="H260" i="10" s="1"/>
  <c r="G261" i="10"/>
  <c r="H261" i="10" s="1" a="1"/>
  <c r="H261" i="10" s="1"/>
  <c r="G262" i="10"/>
  <c r="H262" i="10" s="1" a="1"/>
  <c r="H262" i="10" s="1"/>
  <c r="G263" i="10"/>
  <c r="H263" i="10" s="1" a="1"/>
  <c r="H263" i="10" s="1"/>
  <c r="G264" i="10"/>
  <c r="H264" i="10" s="1" a="1"/>
  <c r="H264" i="10" s="1"/>
  <c r="G265" i="10"/>
  <c r="H265" i="10" s="1" a="1"/>
  <c r="H265" i="10" s="1"/>
  <c r="G266" i="10"/>
  <c r="H266" i="10" s="1" a="1"/>
  <c r="H266" i="10" s="1"/>
  <c r="G267" i="10"/>
  <c r="H267" i="10" s="1" a="1"/>
  <c r="H267" i="10" s="1"/>
  <c r="G268" i="10"/>
  <c r="H268" i="10" s="1" a="1"/>
  <c r="H268" i="10" s="1"/>
  <c r="G269" i="10"/>
  <c r="H269" i="10" s="1" a="1"/>
  <c r="H269" i="10" s="1"/>
  <c r="G270" i="10"/>
  <c r="H270" i="10" s="1" a="1"/>
  <c r="H270" i="10" s="1"/>
  <c r="G271" i="10"/>
  <c r="H271" i="10" s="1" a="1"/>
  <c r="H271" i="10" s="1"/>
  <c r="G272" i="10"/>
  <c r="H272" i="10" s="1" a="1"/>
  <c r="H272" i="10" s="1"/>
  <c r="G273" i="10"/>
  <c r="H273" i="10" s="1" a="1"/>
  <c r="H273" i="10" s="1"/>
  <c r="G274" i="10"/>
  <c r="H274" i="10" s="1" a="1"/>
  <c r="H274" i="10" s="1"/>
  <c r="G275" i="10"/>
  <c r="H275" i="10" s="1" a="1"/>
  <c r="H275" i="10" s="1"/>
  <c r="G276" i="10"/>
  <c r="H276" i="10" s="1" a="1"/>
  <c r="H276" i="10" s="1"/>
  <c r="G277" i="10"/>
  <c r="H277" i="10" s="1" a="1"/>
  <c r="H277" i="10" s="1"/>
  <c r="G278" i="10"/>
  <c r="H278" i="10" s="1" a="1"/>
  <c r="H278" i="10" s="1"/>
  <c r="G279" i="10"/>
  <c r="H279" i="10" s="1" a="1"/>
  <c r="H279" i="10" s="1"/>
  <c r="G280" i="10"/>
  <c r="H280" i="10" s="1" a="1"/>
  <c r="H280" i="10" s="1"/>
  <c r="G281" i="10"/>
  <c r="H281" i="10" s="1" a="1"/>
  <c r="H281" i="10" s="1"/>
  <c r="G282" i="10"/>
  <c r="H282" i="10" s="1" a="1"/>
  <c r="H282" i="10" s="1"/>
  <c r="G283" i="10"/>
  <c r="H283" i="10" s="1" a="1"/>
  <c r="H283" i="10" s="1"/>
  <c r="G284" i="10"/>
  <c r="H284" i="10" s="1" a="1"/>
  <c r="H284" i="10" s="1"/>
  <c r="G285" i="10"/>
  <c r="H285" i="10" s="1" a="1"/>
  <c r="H285" i="10" s="1"/>
  <c r="G286" i="10"/>
  <c r="H286" i="10" s="1" a="1"/>
  <c r="H286" i="10" s="1"/>
  <c r="G287" i="10"/>
  <c r="H287" i="10" s="1" a="1"/>
  <c r="H287" i="10" s="1"/>
  <c r="G288" i="10"/>
  <c r="H288" i="10" s="1" a="1"/>
  <c r="H288" i="10" s="1"/>
  <c r="G289" i="10"/>
  <c r="H289" i="10" s="1" a="1"/>
  <c r="H289" i="10" s="1"/>
  <c r="G290" i="10"/>
  <c r="H290" i="10" s="1" a="1"/>
  <c r="H290" i="10" s="1"/>
  <c r="G291" i="10"/>
  <c r="H291" i="10" s="1" a="1"/>
  <c r="H291" i="10" s="1"/>
  <c r="G292" i="10"/>
  <c r="H292" i="10" s="1" a="1"/>
  <c r="H292" i="10" s="1"/>
  <c r="G293" i="10"/>
  <c r="H293" i="10" s="1" a="1"/>
  <c r="H293" i="10" s="1"/>
  <c r="G294" i="10"/>
  <c r="H294" i="10" s="1" a="1"/>
  <c r="H294" i="10" s="1"/>
  <c r="G295" i="10"/>
  <c r="H295" i="10" s="1" a="1"/>
  <c r="H295" i="10" s="1"/>
  <c r="G296" i="10"/>
  <c r="H296" i="10" s="1" a="1"/>
  <c r="H296" i="10" s="1"/>
  <c r="G297" i="10"/>
  <c r="H297" i="10" s="1" a="1"/>
  <c r="H297" i="10" s="1"/>
  <c r="G298" i="10"/>
  <c r="H298" i="10" s="1" a="1"/>
  <c r="H298" i="10" s="1"/>
  <c r="G299" i="10"/>
  <c r="H299" i="10" s="1" a="1"/>
  <c r="H299" i="10" s="1"/>
  <c r="G300" i="10"/>
  <c r="H300" i="10" s="1" a="1"/>
  <c r="H300" i="10" s="1"/>
  <c r="G301" i="10"/>
  <c r="H301" i="10" s="1" a="1"/>
  <c r="H301" i="10" s="1"/>
  <c r="G302" i="10"/>
  <c r="H302" i="10" s="1" a="1"/>
  <c r="H302" i="10" s="1"/>
  <c r="G303" i="10"/>
  <c r="H303" i="10" s="1" a="1"/>
  <c r="H303" i="10" s="1"/>
  <c r="G304" i="10"/>
  <c r="H304" i="10" s="1" a="1"/>
  <c r="H304" i="10" s="1"/>
  <c r="G305" i="10"/>
  <c r="H305" i="10" s="1" a="1"/>
  <c r="H305" i="10" s="1"/>
  <c r="G306" i="10"/>
  <c r="H306" i="10" s="1" a="1"/>
  <c r="H306" i="10" s="1"/>
  <c r="G307" i="10"/>
  <c r="H307" i="10" s="1" a="1"/>
  <c r="H307" i="10" s="1"/>
  <c r="G308" i="10"/>
  <c r="H308" i="10" s="1" a="1"/>
  <c r="H308" i="10" s="1"/>
  <c r="G309" i="10"/>
  <c r="H309" i="10" s="1" a="1"/>
  <c r="H309" i="10" s="1"/>
  <c r="G310" i="10"/>
  <c r="H310" i="10" s="1" a="1"/>
  <c r="H310" i="10" s="1"/>
  <c r="G311" i="10"/>
  <c r="H311" i="10" s="1" a="1"/>
  <c r="H311" i="10" s="1"/>
  <c r="G312" i="10"/>
  <c r="H312" i="10" s="1" a="1"/>
  <c r="H312" i="10" s="1"/>
  <c r="G313" i="10"/>
  <c r="H313" i="10" s="1" a="1"/>
  <c r="H313" i="10" s="1"/>
  <c r="G314" i="10"/>
  <c r="H314" i="10" s="1" a="1"/>
  <c r="H314" i="10" s="1"/>
  <c r="G315" i="10"/>
  <c r="H315" i="10" s="1" a="1"/>
  <c r="H315" i="10" s="1"/>
  <c r="G316" i="10"/>
  <c r="H316" i="10" s="1" a="1"/>
  <c r="H316" i="10" s="1"/>
  <c r="G317" i="10"/>
  <c r="H317" i="10" s="1" a="1"/>
  <c r="H317" i="10" s="1"/>
  <c r="G318" i="10"/>
  <c r="H318" i="10" s="1" a="1"/>
  <c r="H318" i="10" s="1"/>
  <c r="G319" i="10"/>
  <c r="H319" i="10" s="1" a="1"/>
  <c r="H319" i="10" s="1"/>
  <c r="G320" i="10"/>
  <c r="H320" i="10" s="1" a="1"/>
  <c r="H320" i="10" s="1"/>
  <c r="G321" i="10"/>
  <c r="H321" i="10" s="1" a="1"/>
  <c r="H321" i="10" s="1"/>
  <c r="G322" i="10"/>
  <c r="H322" i="10" s="1" a="1"/>
  <c r="H322" i="10" s="1"/>
  <c r="G323" i="10"/>
  <c r="H323" i="10" s="1" a="1"/>
  <c r="H323" i="10" s="1"/>
  <c r="G324" i="10"/>
  <c r="H324" i="10" s="1" a="1"/>
  <c r="H324" i="10" s="1"/>
  <c r="G325" i="10"/>
  <c r="H325" i="10" s="1" a="1"/>
  <c r="H325" i="10" s="1"/>
  <c r="G326" i="10"/>
  <c r="H326" i="10" s="1" a="1"/>
  <c r="H326" i="10" s="1"/>
  <c r="G327" i="10"/>
  <c r="H327" i="10" s="1" a="1"/>
  <c r="H327" i="10" s="1"/>
  <c r="G328" i="10"/>
  <c r="H328" i="10" s="1" a="1"/>
  <c r="H328" i="10" s="1"/>
  <c r="G329" i="10"/>
  <c r="H329" i="10" s="1" a="1"/>
  <c r="H329" i="10" s="1"/>
  <c r="G330" i="10"/>
  <c r="H330" i="10" s="1" a="1"/>
  <c r="H330" i="10" s="1"/>
  <c r="G331" i="10"/>
  <c r="H331" i="10" s="1" a="1"/>
  <c r="H331" i="10" s="1"/>
  <c r="G332" i="10"/>
  <c r="H332" i="10" s="1" a="1"/>
  <c r="H332" i="10" s="1"/>
  <c r="G333" i="10"/>
  <c r="H333" i="10" s="1" a="1"/>
  <c r="H333" i="10" s="1"/>
  <c r="G334" i="10"/>
  <c r="H334" i="10" s="1" a="1"/>
  <c r="H334" i="10" s="1"/>
  <c r="G335" i="10"/>
  <c r="H335" i="10" s="1" a="1"/>
  <c r="H335" i="10" s="1"/>
  <c r="G336" i="10"/>
  <c r="H336" i="10" s="1" a="1"/>
  <c r="H336" i="10" s="1"/>
  <c r="G337" i="10"/>
  <c r="H337" i="10" s="1" a="1"/>
  <c r="H337" i="10" s="1"/>
  <c r="G338" i="10"/>
  <c r="H338" i="10" s="1" a="1"/>
  <c r="H338" i="10" s="1"/>
  <c r="G339" i="10"/>
  <c r="H339" i="10" s="1" a="1"/>
  <c r="H339" i="10" s="1"/>
  <c r="G340" i="10"/>
  <c r="H340" i="10" s="1" a="1"/>
  <c r="H340" i="10" s="1"/>
  <c r="G341" i="10"/>
  <c r="H341" i="10" s="1" a="1"/>
  <c r="H341" i="10" s="1"/>
  <c r="G342" i="10"/>
  <c r="H342" i="10" s="1" a="1"/>
  <c r="H342" i="10" s="1"/>
  <c r="G343" i="10"/>
  <c r="H343" i="10" s="1" a="1"/>
  <c r="H343" i="10" s="1"/>
  <c r="G344" i="10"/>
  <c r="H344" i="10" s="1" a="1"/>
  <c r="H344" i="10" s="1"/>
  <c r="G345" i="10"/>
  <c r="H345" i="10" s="1" a="1"/>
  <c r="H345" i="10" s="1"/>
  <c r="G346" i="10"/>
  <c r="H346" i="10" s="1" a="1"/>
  <c r="H346" i="10" s="1"/>
  <c r="G347" i="10"/>
  <c r="H347" i="10" s="1" a="1"/>
  <c r="H347" i="10" s="1"/>
  <c r="G348" i="10"/>
  <c r="H348" i="10" s="1" a="1"/>
  <c r="H348" i="10" s="1"/>
  <c r="G349" i="10"/>
  <c r="H349" i="10" s="1" a="1"/>
  <c r="H349" i="10" s="1"/>
  <c r="G350" i="10"/>
  <c r="H350" i="10" s="1" a="1"/>
  <c r="H350" i="10" s="1"/>
  <c r="G351" i="10"/>
  <c r="H351" i="10" s="1" a="1"/>
  <c r="H351" i="10" s="1"/>
  <c r="G352" i="10"/>
  <c r="H352" i="10" s="1" a="1"/>
  <c r="H352" i="10" s="1"/>
  <c r="G353" i="10"/>
  <c r="H353" i="10" s="1" a="1"/>
  <c r="H353" i="10" s="1"/>
  <c r="G354" i="10"/>
  <c r="H354" i="10" s="1" a="1"/>
  <c r="H354" i="10" s="1"/>
  <c r="G355" i="10"/>
  <c r="H355" i="10" s="1" a="1"/>
  <c r="H355" i="10" s="1"/>
  <c r="G356" i="10"/>
  <c r="H356" i="10" s="1" a="1"/>
  <c r="H356" i="10" s="1"/>
  <c r="G357" i="10"/>
  <c r="H357" i="10" s="1" a="1"/>
  <c r="H357" i="10" s="1"/>
  <c r="G358" i="10"/>
  <c r="H358" i="10" s="1" a="1"/>
  <c r="H358" i="10" s="1"/>
  <c r="G359" i="10"/>
  <c r="H359" i="10" s="1" a="1"/>
  <c r="H359" i="10" s="1"/>
  <c r="G360" i="10"/>
  <c r="H360" i="10" s="1" a="1"/>
  <c r="H360" i="10" s="1"/>
  <c r="G361" i="10"/>
  <c r="H361" i="10" s="1" a="1"/>
  <c r="H361" i="10" s="1"/>
  <c r="G362" i="10"/>
  <c r="H362" i="10" s="1" a="1"/>
  <c r="H362" i="10" s="1"/>
  <c r="G363" i="10"/>
  <c r="H363" i="10" s="1" a="1"/>
  <c r="H363" i="10" s="1"/>
  <c r="G364" i="10"/>
  <c r="H364" i="10" s="1" a="1"/>
  <c r="H364" i="10" s="1"/>
  <c r="G365" i="10"/>
  <c r="H365" i="10" s="1" a="1"/>
  <c r="H365" i="10" s="1"/>
  <c r="G366" i="10"/>
  <c r="H366" i="10" s="1" a="1"/>
  <c r="H366" i="10" s="1"/>
  <c r="G367" i="10"/>
  <c r="H367" i="10" s="1" a="1"/>
  <c r="H367" i="10" s="1"/>
  <c r="G368" i="10"/>
  <c r="H368" i="10" s="1" a="1"/>
  <c r="H368" i="10" s="1"/>
  <c r="G369" i="10"/>
  <c r="H369" i="10" s="1" a="1"/>
  <c r="H369" i="10" s="1"/>
  <c r="G370" i="10"/>
  <c r="H370" i="10" s="1" a="1"/>
  <c r="H370" i="10" s="1"/>
  <c r="G371" i="10"/>
  <c r="H371" i="10" s="1" a="1"/>
  <c r="H371" i="10" s="1"/>
  <c r="G372" i="10"/>
  <c r="H372" i="10" s="1" a="1"/>
  <c r="H372" i="10" s="1"/>
  <c r="G373" i="10"/>
  <c r="H373" i="10" s="1" a="1"/>
  <c r="H373" i="10" s="1"/>
  <c r="G374" i="10"/>
  <c r="H374" i="10" s="1" a="1"/>
  <c r="H374" i="10" s="1"/>
  <c r="G375" i="10"/>
  <c r="H375" i="10" s="1" a="1"/>
  <c r="H375" i="10" s="1"/>
  <c r="G376" i="10"/>
  <c r="H376" i="10" s="1" a="1"/>
  <c r="H376" i="10" s="1"/>
  <c r="G377" i="10"/>
  <c r="H377" i="10" s="1" a="1"/>
  <c r="H377" i="10" s="1"/>
  <c r="G378" i="10"/>
  <c r="H378" i="10" s="1" a="1"/>
  <c r="H378" i="10" s="1"/>
  <c r="G379" i="10"/>
  <c r="H379" i="10" s="1" a="1"/>
  <c r="H379" i="10" s="1"/>
  <c r="G380" i="10"/>
  <c r="H380" i="10" s="1" a="1"/>
  <c r="H380" i="10" s="1"/>
  <c r="G381" i="10"/>
  <c r="H381" i="10" s="1" a="1"/>
  <c r="H381" i="10" s="1"/>
  <c r="G382" i="10"/>
  <c r="H382" i="10" s="1" a="1"/>
  <c r="H382" i="10" s="1"/>
  <c r="G383" i="10"/>
  <c r="H383" i="10" s="1" a="1"/>
  <c r="H383" i="10" s="1"/>
  <c r="G384" i="10"/>
  <c r="H384" i="10" s="1" a="1"/>
  <c r="H384" i="10" s="1"/>
  <c r="G385" i="10"/>
  <c r="H385" i="10" s="1" a="1"/>
  <c r="H385" i="10" s="1"/>
  <c r="G386" i="10"/>
  <c r="H386" i="10" s="1" a="1"/>
  <c r="H386" i="10" s="1"/>
  <c r="G387" i="10"/>
  <c r="H387" i="10" s="1" a="1"/>
  <c r="H387" i="10" s="1"/>
  <c r="G388" i="10"/>
  <c r="H388" i="10" s="1" a="1"/>
  <c r="H388" i="10" s="1"/>
  <c r="G389" i="10"/>
  <c r="H389" i="10" s="1" a="1"/>
  <c r="H389" i="10" s="1"/>
  <c r="G390" i="10"/>
  <c r="H390" i="10" s="1" a="1"/>
  <c r="H390" i="10" s="1"/>
  <c r="G391" i="10"/>
  <c r="H391" i="10" s="1" a="1"/>
  <c r="H391" i="10" s="1"/>
  <c r="G392" i="10"/>
  <c r="H392" i="10" s="1" a="1"/>
  <c r="H392" i="10" s="1"/>
  <c r="G393" i="10"/>
  <c r="H393" i="10" s="1" a="1"/>
  <c r="H393" i="10" s="1"/>
  <c r="G394" i="10"/>
  <c r="H394" i="10" s="1" a="1"/>
  <c r="H394" i="10" s="1"/>
  <c r="G395" i="10"/>
  <c r="H395" i="10" s="1" a="1"/>
  <c r="H395" i="10" s="1"/>
  <c r="G396" i="10"/>
  <c r="H396" i="10" s="1" a="1"/>
  <c r="H396" i="10" s="1"/>
  <c r="G397" i="10"/>
  <c r="H397" i="10" s="1" a="1"/>
  <c r="H397" i="10" s="1"/>
  <c r="G398" i="10"/>
  <c r="H398" i="10" s="1" a="1"/>
  <c r="H398" i="10" s="1"/>
  <c r="G399" i="10"/>
  <c r="H399" i="10" s="1" a="1"/>
  <c r="H399" i="10" s="1"/>
  <c r="G400" i="10"/>
  <c r="H400" i="10" s="1" a="1"/>
  <c r="H400" i="10" s="1"/>
  <c r="G401" i="10"/>
  <c r="H401" i="10" s="1" a="1"/>
  <c r="H401" i="10" s="1"/>
  <c r="G402" i="10"/>
  <c r="H402" i="10" s="1" a="1"/>
  <c r="H402" i="10" s="1"/>
  <c r="G403" i="10"/>
  <c r="H403" i="10" s="1" a="1"/>
  <c r="H403" i="10" s="1"/>
  <c r="G404" i="10"/>
  <c r="H404" i="10" s="1" a="1"/>
  <c r="H404" i="10" s="1"/>
  <c r="G405" i="10"/>
  <c r="H405" i="10" s="1" a="1"/>
  <c r="H405" i="10" s="1"/>
  <c r="G406" i="10"/>
  <c r="H406" i="10" s="1" a="1"/>
  <c r="H406" i="10" s="1"/>
  <c r="G407" i="10"/>
  <c r="H407" i="10" s="1" a="1"/>
  <c r="H407" i="10" s="1"/>
  <c r="G408" i="10"/>
  <c r="H408" i="10" s="1" a="1"/>
  <c r="H408" i="10" s="1"/>
  <c r="G409" i="10"/>
  <c r="H409" i="10" s="1" a="1"/>
  <c r="H409" i="10" s="1"/>
  <c r="G410" i="10"/>
  <c r="H410" i="10" s="1" a="1"/>
  <c r="H410" i="10" s="1"/>
  <c r="G411" i="10"/>
  <c r="H411" i="10" s="1" a="1"/>
  <c r="H411" i="10" s="1"/>
  <c r="G412" i="10"/>
  <c r="H412" i="10" s="1" a="1"/>
  <c r="H412" i="10" s="1"/>
  <c r="G413" i="10"/>
  <c r="H413" i="10" s="1" a="1"/>
  <c r="H413" i="10" s="1"/>
  <c r="G414" i="10"/>
  <c r="H414" i="10" s="1" a="1"/>
  <c r="H414" i="10" s="1"/>
  <c r="G415" i="10"/>
  <c r="H415" i="10" s="1" a="1"/>
  <c r="H415" i="10" s="1"/>
  <c r="G416" i="10"/>
  <c r="H416" i="10" s="1" a="1"/>
  <c r="H416" i="10" s="1"/>
  <c r="G417" i="10"/>
  <c r="H417" i="10" s="1" a="1"/>
  <c r="H417" i="10" s="1"/>
  <c r="G418" i="10"/>
  <c r="H418" i="10" s="1" a="1"/>
  <c r="H418" i="10" s="1"/>
  <c r="G419" i="10"/>
  <c r="H419" i="10" s="1" a="1"/>
  <c r="H419" i="10" s="1"/>
  <c r="G420" i="10"/>
  <c r="H420" i="10" s="1" a="1"/>
  <c r="H420" i="10" s="1"/>
  <c r="G421" i="10"/>
  <c r="H421" i="10" s="1" a="1"/>
  <c r="H421" i="10" s="1"/>
  <c r="G422" i="10"/>
  <c r="H422" i="10" s="1" a="1"/>
  <c r="H422" i="10" s="1"/>
  <c r="G423" i="10"/>
  <c r="H423" i="10" s="1" a="1"/>
  <c r="H423" i="10" s="1"/>
  <c r="G424" i="10"/>
  <c r="H424" i="10" s="1" a="1"/>
  <c r="H424" i="10" s="1"/>
  <c r="G425" i="10"/>
  <c r="H425" i="10" s="1" a="1"/>
  <c r="H425" i="10" s="1"/>
  <c r="G426" i="10"/>
  <c r="H426" i="10" s="1" a="1"/>
  <c r="H426" i="10" s="1"/>
  <c r="G427" i="10"/>
  <c r="H427" i="10" s="1" a="1"/>
  <c r="H427" i="10" s="1"/>
  <c r="G428" i="10"/>
  <c r="H428" i="10" s="1" a="1"/>
  <c r="H428" i="10" s="1"/>
  <c r="G429" i="10"/>
  <c r="H429" i="10" s="1" a="1"/>
  <c r="H429" i="10" s="1"/>
  <c r="G430" i="10"/>
  <c r="H430" i="10" s="1" a="1"/>
  <c r="H430" i="10" s="1"/>
  <c r="G431" i="10"/>
  <c r="H431" i="10" s="1" a="1"/>
  <c r="H431" i="10" s="1"/>
  <c r="G432" i="10"/>
  <c r="H432" i="10" s="1" a="1"/>
  <c r="H432" i="10" s="1"/>
  <c r="G433" i="10"/>
  <c r="H433" i="10" s="1" a="1"/>
  <c r="H433" i="10" s="1"/>
  <c r="G434" i="10"/>
  <c r="H434" i="10" s="1" a="1"/>
  <c r="H434" i="10" s="1"/>
  <c r="G435" i="10"/>
  <c r="H435" i="10" s="1" a="1"/>
  <c r="H435" i="10" s="1"/>
  <c r="G436" i="10"/>
  <c r="H436" i="10" s="1" a="1"/>
  <c r="H436" i="10" s="1"/>
  <c r="G437" i="10"/>
  <c r="H437" i="10" s="1" a="1"/>
  <c r="H437" i="10" s="1"/>
  <c r="G438" i="10"/>
  <c r="H438" i="10" s="1" a="1"/>
  <c r="H438" i="10" s="1"/>
  <c r="G439" i="10"/>
  <c r="H439" i="10" s="1" a="1"/>
  <c r="H439" i="10" s="1"/>
  <c r="G440" i="10"/>
  <c r="H440" i="10" s="1" a="1"/>
  <c r="H440" i="10" s="1"/>
  <c r="G441" i="10"/>
  <c r="H441" i="10" s="1" a="1"/>
  <c r="H441" i="10" s="1"/>
  <c r="G442" i="10"/>
  <c r="H442" i="10" s="1" a="1"/>
  <c r="H442" i="10" s="1"/>
  <c r="G443" i="10"/>
  <c r="H443" i="10" s="1" a="1"/>
  <c r="H443" i="10" s="1"/>
  <c r="G444" i="10"/>
  <c r="H444" i="10" s="1" a="1"/>
  <c r="H444" i="10" s="1"/>
  <c r="G445" i="10"/>
  <c r="H445" i="10" s="1" a="1"/>
  <c r="H445" i="10" s="1"/>
  <c r="G446" i="10"/>
  <c r="H446" i="10" s="1" a="1"/>
  <c r="H446" i="10" s="1"/>
  <c r="G447" i="10"/>
  <c r="H447" i="10" s="1" a="1"/>
  <c r="H447" i="10" s="1"/>
  <c r="G448" i="10"/>
  <c r="H448" i="10" s="1" a="1"/>
  <c r="H448" i="10" s="1"/>
  <c r="G449" i="10"/>
  <c r="H449" i="10" s="1" a="1"/>
  <c r="H449" i="10" s="1"/>
  <c r="G450" i="10"/>
  <c r="H450" i="10" s="1" a="1"/>
  <c r="H450" i="10" s="1"/>
  <c r="G451" i="10"/>
  <c r="H451" i="10" s="1" a="1"/>
  <c r="H451" i="10" s="1"/>
  <c r="G452" i="10"/>
  <c r="H452" i="10" s="1" a="1"/>
  <c r="H452" i="10" s="1"/>
  <c r="G453" i="10"/>
  <c r="H453" i="10" s="1" a="1"/>
  <c r="H453" i="10" s="1"/>
  <c r="G454" i="10"/>
  <c r="H454" i="10" s="1" a="1"/>
  <c r="H454" i="10" s="1"/>
  <c r="G455" i="10"/>
  <c r="H455" i="10" s="1" a="1"/>
  <c r="H455" i="10" s="1"/>
  <c r="G456" i="10"/>
  <c r="H456" i="10" s="1" a="1"/>
  <c r="H456" i="10" s="1"/>
  <c r="G457" i="10"/>
  <c r="H457" i="10" s="1" a="1"/>
  <c r="H457" i="10" s="1"/>
  <c r="G458" i="10"/>
  <c r="H458" i="10" s="1" a="1"/>
  <c r="H458" i="10" s="1"/>
  <c r="G459" i="10"/>
  <c r="H459" i="10" s="1" a="1"/>
  <c r="H459" i="10" s="1"/>
  <c r="G460" i="10"/>
  <c r="H460" i="10" s="1" a="1"/>
  <c r="H460" i="10" s="1"/>
  <c r="G461" i="10"/>
  <c r="H461" i="10" s="1" a="1"/>
  <c r="H461" i="10" s="1"/>
  <c r="G462" i="10"/>
  <c r="H462" i="10" s="1" a="1"/>
  <c r="H462" i="10" s="1"/>
  <c r="G463" i="10"/>
  <c r="H463" i="10" s="1" a="1"/>
  <c r="H463" i="10" s="1"/>
  <c r="G464" i="10"/>
  <c r="H464" i="10" s="1" a="1"/>
  <c r="H464" i="10" s="1"/>
  <c r="G465" i="10"/>
  <c r="H465" i="10" s="1" a="1"/>
  <c r="H465" i="10" s="1"/>
  <c r="G466" i="10"/>
  <c r="H466" i="10" s="1" a="1"/>
  <c r="H466" i="10" s="1"/>
  <c r="G467" i="10"/>
  <c r="H467" i="10" s="1" a="1"/>
  <c r="H467" i="10" s="1"/>
  <c r="G468" i="10"/>
  <c r="H468" i="10" s="1" a="1"/>
  <c r="H468" i="10" s="1"/>
  <c r="G469" i="10"/>
  <c r="H469" i="10" s="1" a="1"/>
  <c r="H469" i="10" s="1"/>
  <c r="G470" i="10"/>
  <c r="H470" i="10" s="1" a="1"/>
  <c r="H470" i="10" s="1"/>
  <c r="G471" i="10"/>
  <c r="H471" i="10" s="1" a="1"/>
  <c r="H471" i="10" s="1"/>
  <c r="G472" i="10"/>
  <c r="H472" i="10" s="1" a="1"/>
  <c r="H472" i="10" s="1"/>
  <c r="G473" i="10"/>
  <c r="H473" i="10" s="1" a="1"/>
  <c r="H473" i="10" s="1"/>
  <c r="G474" i="10"/>
  <c r="H474" i="10" s="1" a="1"/>
  <c r="H474" i="10" s="1"/>
  <c r="G475" i="10"/>
  <c r="H475" i="10" s="1" a="1"/>
  <c r="H475" i="10" s="1"/>
  <c r="G476" i="10"/>
  <c r="H476" i="10" s="1" a="1"/>
  <c r="H476" i="10" s="1"/>
  <c r="G477" i="10"/>
  <c r="H477" i="10" s="1" a="1"/>
  <c r="H477" i="10" s="1"/>
  <c r="G478" i="10"/>
  <c r="H478" i="10" s="1" a="1"/>
  <c r="H478" i="10" s="1"/>
  <c r="G479" i="10"/>
  <c r="H479" i="10" s="1" a="1"/>
  <c r="H479" i="10" s="1"/>
  <c r="G480" i="10"/>
  <c r="H480" i="10" s="1" a="1"/>
  <c r="H480" i="10" s="1"/>
  <c r="G481" i="10"/>
  <c r="H481" i="10" s="1" a="1"/>
  <c r="H481" i="10" s="1"/>
  <c r="G482" i="10"/>
  <c r="H482" i="10" s="1" a="1"/>
  <c r="H482" i="10" s="1"/>
  <c r="G483" i="10"/>
  <c r="H483" i="10" s="1" a="1"/>
  <c r="H483" i="10" s="1"/>
  <c r="G484" i="10"/>
  <c r="H484" i="10" s="1" a="1"/>
  <c r="H484" i="10" s="1"/>
  <c r="G485" i="10"/>
  <c r="H485" i="10" s="1" a="1"/>
  <c r="H485" i="10" s="1"/>
  <c r="G486" i="10"/>
  <c r="H486" i="10" s="1" a="1"/>
  <c r="H486" i="10" s="1"/>
  <c r="G487" i="10"/>
  <c r="H487" i="10" s="1" a="1"/>
  <c r="H487" i="10" s="1"/>
  <c r="G488" i="10"/>
  <c r="H488" i="10" s="1" a="1"/>
  <c r="H488" i="10" s="1"/>
  <c r="G489" i="10"/>
  <c r="H489" i="10" s="1" a="1"/>
  <c r="H489" i="10" s="1"/>
  <c r="G490" i="10"/>
  <c r="H490" i="10" s="1" a="1"/>
  <c r="H490" i="10" s="1"/>
  <c r="G491" i="10"/>
  <c r="H491" i="10" s="1" a="1"/>
  <c r="H491" i="10" s="1"/>
  <c r="G492" i="10"/>
  <c r="H492" i="10" s="1" a="1"/>
  <c r="H492" i="10" s="1"/>
  <c r="G493" i="10"/>
  <c r="H493" i="10" s="1" a="1"/>
  <c r="H493" i="10" s="1"/>
  <c r="G494" i="10"/>
  <c r="H494" i="10" s="1" a="1"/>
  <c r="H494" i="10" s="1"/>
  <c r="G495" i="10"/>
  <c r="H495" i="10" s="1" a="1"/>
  <c r="H495" i="10" s="1"/>
  <c r="G496" i="10"/>
  <c r="H496" i="10" s="1" a="1"/>
  <c r="H496" i="10" s="1"/>
  <c r="G497" i="10"/>
  <c r="H497" i="10" s="1" a="1"/>
  <c r="H497" i="10" s="1"/>
  <c r="G498" i="10"/>
  <c r="H498" i="10" s="1" a="1"/>
  <c r="H498" i="10" s="1"/>
  <c r="G499" i="10"/>
  <c r="H499" i="10" s="1" a="1"/>
  <c r="H499" i="10" s="1"/>
  <c r="G500" i="10"/>
  <c r="H500" i="10" s="1" a="1"/>
  <c r="H500" i="10" s="1"/>
  <c r="G501" i="10"/>
  <c r="H501" i="10" s="1" a="1"/>
  <c r="H501" i="10" s="1"/>
  <c r="G502" i="10"/>
  <c r="H502" i="10" s="1" a="1"/>
  <c r="H502" i="10" s="1"/>
  <c r="G503" i="10"/>
  <c r="H503" i="10" s="1" a="1"/>
  <c r="H503" i="10" s="1"/>
  <c r="G504" i="10"/>
  <c r="H504" i="10" s="1" a="1"/>
  <c r="H504" i="10" s="1"/>
  <c r="G505" i="10"/>
  <c r="H505" i="10" s="1" a="1"/>
  <c r="H505" i="10" s="1"/>
  <c r="G506" i="10"/>
  <c r="H506" i="10" s="1" a="1"/>
  <c r="H506" i="10" s="1"/>
  <c r="G507" i="10"/>
  <c r="H507" i="10" s="1" a="1"/>
  <c r="H507" i="10" s="1"/>
  <c r="G508" i="10"/>
  <c r="H508" i="10" s="1" a="1"/>
  <c r="H508" i="10" s="1"/>
  <c r="G509" i="10"/>
  <c r="H509" i="10" s="1" a="1"/>
  <c r="H509" i="10" s="1"/>
  <c r="G510" i="10"/>
  <c r="H510" i="10" s="1" a="1"/>
  <c r="H510" i="10" s="1"/>
  <c r="G511" i="10"/>
  <c r="H511" i="10" s="1" a="1"/>
  <c r="H511" i="10" s="1"/>
  <c r="G512" i="10"/>
  <c r="H512" i="10" s="1" a="1"/>
  <c r="H512" i="10" s="1"/>
  <c r="G513" i="10"/>
  <c r="H513" i="10" s="1" a="1"/>
  <c r="H513" i="10" s="1"/>
  <c r="G514" i="10"/>
  <c r="H514" i="10" s="1" a="1"/>
  <c r="H514" i="10" s="1"/>
  <c r="G515" i="10"/>
  <c r="H515" i="10" s="1" a="1"/>
  <c r="H515" i="10" s="1"/>
  <c r="G516" i="10"/>
  <c r="H516" i="10" s="1" a="1"/>
  <c r="H516" i="10" s="1"/>
  <c r="G517" i="10"/>
  <c r="H517" i="10" s="1" a="1"/>
  <c r="H517" i="10" s="1"/>
  <c r="G518" i="10"/>
  <c r="H518" i="10" s="1" a="1"/>
  <c r="H518" i="10" s="1"/>
  <c r="G519" i="10"/>
  <c r="H519" i="10" s="1" a="1"/>
  <c r="H519" i="10" s="1"/>
  <c r="G520" i="10"/>
  <c r="H520" i="10" s="1" a="1"/>
  <c r="H520" i="10" s="1"/>
  <c r="G521" i="10"/>
  <c r="H521" i="10" s="1" a="1"/>
  <c r="H521" i="10" s="1"/>
  <c r="G522" i="10"/>
  <c r="H522" i="10" s="1" a="1"/>
  <c r="H522" i="10" s="1"/>
  <c r="G523" i="10"/>
  <c r="H523" i="10" s="1" a="1"/>
  <c r="H523" i="10" s="1"/>
  <c r="G524" i="10"/>
  <c r="H524" i="10" s="1" a="1"/>
  <c r="H524" i="10" s="1"/>
  <c r="G525" i="10"/>
  <c r="H525" i="10" s="1" a="1"/>
  <c r="H525" i="10" s="1"/>
  <c r="G526" i="10"/>
  <c r="H526" i="10" s="1" a="1"/>
  <c r="H526" i="10" s="1"/>
  <c r="G527" i="10"/>
  <c r="H527" i="10" s="1" a="1"/>
  <c r="H527" i="10" s="1"/>
  <c r="G528" i="10"/>
  <c r="H528" i="10" s="1" a="1"/>
  <c r="H528" i="10" s="1"/>
  <c r="G529" i="10"/>
  <c r="H529" i="10" s="1" a="1"/>
  <c r="H529" i="10" s="1"/>
  <c r="G530" i="10"/>
  <c r="H530" i="10" s="1" a="1"/>
  <c r="H530" i="10" s="1"/>
  <c r="G531" i="10"/>
  <c r="H531" i="10" s="1" a="1"/>
  <c r="H531" i="10" s="1"/>
  <c r="G532" i="10"/>
  <c r="H532" i="10" s="1" a="1"/>
  <c r="H532" i="10" s="1"/>
  <c r="G533" i="10"/>
  <c r="H533" i="10" s="1" a="1"/>
  <c r="H533" i="10" s="1"/>
  <c r="G534" i="10"/>
  <c r="H534" i="10" s="1" a="1"/>
  <c r="H534" i="10" s="1"/>
  <c r="G535" i="10"/>
  <c r="H535" i="10" s="1" a="1"/>
  <c r="H535" i="10" s="1"/>
  <c r="G536" i="10"/>
  <c r="H536" i="10" s="1" a="1"/>
  <c r="H536" i="10" s="1"/>
  <c r="G537" i="10"/>
  <c r="H537" i="10" s="1" a="1"/>
  <c r="H537" i="10" s="1"/>
  <c r="G538" i="10"/>
  <c r="H538" i="10" s="1" a="1"/>
  <c r="H538" i="10" s="1"/>
  <c r="G539" i="10"/>
  <c r="H539" i="10" s="1" a="1"/>
  <c r="H539" i="10" s="1"/>
  <c r="G540" i="10"/>
  <c r="H540" i="10" s="1" a="1"/>
  <c r="H540" i="10" s="1"/>
  <c r="G541" i="10"/>
  <c r="H541" i="10" s="1" a="1"/>
  <c r="H541" i="10" s="1"/>
  <c r="G542" i="10"/>
  <c r="H542" i="10" s="1" a="1"/>
  <c r="H542" i="10" s="1"/>
  <c r="G543" i="10"/>
  <c r="H543" i="10" s="1" a="1"/>
  <c r="H543" i="10" s="1"/>
  <c r="G544" i="10"/>
  <c r="H544" i="10" s="1" a="1"/>
  <c r="H544" i="10" s="1"/>
  <c r="G545" i="10"/>
  <c r="H545" i="10" s="1" a="1"/>
  <c r="H545" i="10" s="1"/>
  <c r="G546" i="10"/>
  <c r="H546" i="10" s="1" a="1"/>
  <c r="H546" i="10" s="1"/>
  <c r="G547" i="10"/>
  <c r="H547" i="10" s="1" a="1"/>
  <c r="H547" i="10" s="1"/>
  <c r="G548" i="10"/>
  <c r="H548" i="10" s="1" a="1"/>
  <c r="H548" i="10" s="1"/>
  <c r="G549" i="10"/>
  <c r="H549" i="10" s="1" a="1"/>
  <c r="H549" i="10" s="1"/>
  <c r="G550" i="10"/>
  <c r="H550" i="10" s="1" a="1"/>
  <c r="H550" i="10" s="1"/>
  <c r="G551" i="10"/>
  <c r="H551" i="10" s="1" a="1"/>
  <c r="H551" i="10" s="1"/>
  <c r="G552" i="10"/>
  <c r="H552" i="10" s="1" a="1"/>
  <c r="H552" i="10" s="1"/>
  <c r="G553" i="10"/>
  <c r="H553" i="10" s="1" a="1"/>
  <c r="H553" i="10" s="1"/>
  <c r="G554" i="10"/>
  <c r="H554" i="10" s="1" a="1"/>
  <c r="H554" i="10" s="1"/>
  <c r="G555" i="10"/>
  <c r="H555" i="10" s="1" a="1"/>
  <c r="H555" i="10" s="1"/>
  <c r="G556" i="10"/>
  <c r="H556" i="10" s="1" a="1"/>
  <c r="H556" i="10" s="1"/>
  <c r="G557" i="10"/>
  <c r="H557" i="10" s="1" a="1"/>
  <c r="H557" i="10" s="1"/>
  <c r="G558" i="10"/>
  <c r="H558" i="10" s="1" a="1"/>
  <c r="H558" i="10" s="1"/>
  <c r="G559" i="10"/>
  <c r="H559" i="10" s="1" a="1"/>
  <c r="H559" i="10" s="1"/>
  <c r="G560" i="10"/>
  <c r="H560" i="10" s="1" a="1"/>
  <c r="H560" i="10" s="1"/>
  <c r="G561" i="10"/>
  <c r="H561" i="10" s="1" a="1"/>
  <c r="H561" i="10" s="1"/>
  <c r="G562" i="10"/>
  <c r="H562" i="10" s="1" a="1"/>
  <c r="H562" i="10" s="1"/>
  <c r="G563" i="10"/>
  <c r="H563" i="10" s="1" a="1"/>
  <c r="H563" i="10" s="1"/>
  <c r="G564" i="10"/>
  <c r="H564" i="10" s="1" a="1"/>
  <c r="H564" i="10" s="1"/>
  <c r="G565" i="10"/>
  <c r="H565" i="10" s="1" a="1"/>
  <c r="H565" i="10" s="1"/>
  <c r="G566" i="10"/>
  <c r="H566" i="10" s="1" a="1"/>
  <c r="H566" i="10" s="1"/>
  <c r="G567" i="10"/>
  <c r="H567" i="10" s="1" a="1"/>
  <c r="H567" i="10" s="1"/>
  <c r="G568" i="10"/>
  <c r="H568" i="10" s="1" a="1"/>
  <c r="H568" i="10" s="1"/>
  <c r="G569" i="10"/>
  <c r="H569" i="10" s="1" a="1"/>
  <c r="H569" i="10" s="1"/>
  <c r="G570" i="10"/>
  <c r="H570" i="10" s="1" a="1"/>
  <c r="H570" i="10" s="1"/>
  <c r="G571" i="10"/>
  <c r="H571" i="10" s="1" a="1"/>
  <c r="H571" i="10" s="1"/>
  <c r="G572" i="10"/>
  <c r="H572" i="10" s="1" a="1"/>
  <c r="H572" i="10" s="1"/>
  <c r="G573" i="10"/>
  <c r="H573" i="10" s="1" a="1"/>
  <c r="H573" i="10" s="1"/>
  <c r="G574" i="10"/>
  <c r="H574" i="10" s="1" a="1"/>
  <c r="H574" i="10" s="1"/>
  <c r="G575" i="10"/>
  <c r="H575" i="10" s="1" a="1"/>
  <c r="H575" i="10" s="1"/>
  <c r="G576" i="10"/>
  <c r="H576" i="10" s="1" a="1"/>
  <c r="H576" i="10" s="1"/>
  <c r="G577" i="10"/>
  <c r="H577" i="10" s="1" a="1"/>
  <c r="H577" i="10" s="1"/>
  <c r="G578" i="10"/>
  <c r="H578" i="10" s="1" a="1"/>
  <c r="H578" i="10" s="1"/>
  <c r="G579" i="10"/>
  <c r="H579" i="10" s="1" a="1"/>
  <c r="H579" i="10" s="1"/>
  <c r="G580" i="10"/>
  <c r="H580" i="10" s="1" a="1"/>
  <c r="H580" i="10" s="1"/>
  <c r="G581" i="10"/>
  <c r="H581" i="10" s="1" a="1"/>
  <c r="H581" i="10" s="1"/>
  <c r="G582" i="10"/>
  <c r="H582" i="10" s="1" a="1"/>
  <c r="H582" i="10" s="1"/>
  <c r="G583" i="10"/>
  <c r="H583" i="10" s="1" a="1"/>
  <c r="H583" i="10" s="1"/>
  <c r="G584" i="10"/>
  <c r="H584" i="10" s="1" a="1"/>
  <c r="H584" i="10" s="1"/>
  <c r="G585" i="10"/>
  <c r="H585" i="10" s="1" a="1"/>
  <c r="H585" i="10" s="1"/>
  <c r="G586" i="10"/>
  <c r="H586" i="10" s="1" a="1"/>
  <c r="H586" i="10" s="1"/>
  <c r="G587" i="10"/>
  <c r="H587" i="10" s="1" a="1"/>
  <c r="H587" i="10" s="1"/>
  <c r="G588" i="10"/>
  <c r="H588" i="10" s="1" a="1"/>
  <c r="H588" i="10" s="1"/>
  <c r="G589" i="10"/>
  <c r="H589" i="10" s="1" a="1"/>
  <c r="H589" i="10" s="1"/>
  <c r="G590" i="10"/>
  <c r="H590" i="10" s="1" a="1"/>
  <c r="H590" i="10" s="1"/>
  <c r="G591" i="10"/>
  <c r="H591" i="10" s="1" a="1"/>
  <c r="H591" i="10" s="1"/>
  <c r="G592" i="10"/>
  <c r="H592" i="10" s="1" a="1"/>
  <c r="H592" i="10" s="1"/>
  <c r="G593" i="10"/>
  <c r="H593" i="10" s="1" a="1"/>
  <c r="H593" i="10" s="1"/>
  <c r="G594" i="10"/>
  <c r="H594" i="10" s="1" a="1"/>
  <c r="H594" i="10" s="1"/>
  <c r="G595" i="10"/>
  <c r="H595" i="10" s="1" a="1"/>
  <c r="H595" i="10" s="1"/>
  <c r="G596" i="10"/>
  <c r="H596" i="10" s="1" a="1"/>
  <c r="H596" i="10" s="1"/>
  <c r="G597" i="10"/>
  <c r="H597" i="10" s="1" a="1"/>
  <c r="H597" i="10" s="1"/>
  <c r="G598" i="10"/>
  <c r="H598" i="10" s="1" a="1"/>
  <c r="H598" i="10" s="1"/>
  <c r="G599" i="10"/>
  <c r="H599" i="10" s="1" a="1"/>
  <c r="H599" i="10" s="1"/>
  <c r="G600" i="10"/>
  <c r="H600" i="10" s="1" a="1"/>
  <c r="H600" i="10" s="1"/>
  <c r="G601" i="10"/>
  <c r="H601" i="10" s="1" a="1"/>
  <c r="H601" i="10" s="1"/>
  <c r="G602" i="10"/>
  <c r="H602" i="10" s="1" a="1"/>
  <c r="H602" i="10" s="1"/>
  <c r="G603" i="10"/>
  <c r="H603" i="10" s="1" a="1"/>
  <c r="H603" i="10" s="1"/>
  <c r="G604" i="10"/>
  <c r="H604" i="10" s="1" a="1"/>
  <c r="H604" i="10" s="1"/>
  <c r="G605" i="10"/>
  <c r="H605" i="10" s="1" a="1"/>
  <c r="H605" i="10" s="1"/>
  <c r="G606" i="10"/>
  <c r="H606" i="10" s="1" a="1"/>
  <c r="H606" i="10" s="1"/>
  <c r="G607" i="10"/>
  <c r="H607" i="10" s="1" a="1"/>
  <c r="H607" i="10" s="1"/>
  <c r="G608" i="10"/>
  <c r="H608" i="10" s="1" a="1"/>
  <c r="H608" i="10" s="1"/>
  <c r="G609" i="10"/>
  <c r="H609" i="10" s="1" a="1"/>
  <c r="H609" i="10" s="1"/>
  <c r="G610" i="10"/>
  <c r="H610" i="10" s="1" a="1"/>
  <c r="H610" i="10" s="1"/>
  <c r="G611" i="10"/>
  <c r="H611" i="10" s="1" a="1"/>
  <c r="H611" i="10" s="1"/>
  <c r="G612" i="10"/>
  <c r="H612" i="10" s="1" a="1"/>
  <c r="H612" i="10" s="1"/>
  <c r="G613" i="10"/>
  <c r="H613" i="10" s="1" a="1"/>
  <c r="H613" i="10" s="1"/>
  <c r="G614" i="10"/>
  <c r="H614" i="10" s="1" a="1"/>
  <c r="H614" i="10" s="1"/>
  <c r="G615" i="10"/>
  <c r="H615" i="10" s="1" a="1"/>
  <c r="H615" i="10" s="1"/>
  <c r="G616" i="10"/>
  <c r="H616" i="10" s="1" a="1"/>
  <c r="H616" i="10" s="1"/>
  <c r="G617" i="10"/>
  <c r="H617" i="10" s="1" a="1"/>
  <c r="H617" i="10" s="1"/>
  <c r="G618" i="10"/>
  <c r="H618" i="10" s="1" a="1"/>
  <c r="H618" i="10" s="1"/>
  <c r="G619" i="10"/>
  <c r="H619" i="10" s="1" a="1"/>
  <c r="H619" i="10" s="1"/>
  <c r="G620" i="10"/>
  <c r="H620" i="10" s="1" a="1"/>
  <c r="H620" i="10" s="1"/>
  <c r="G621" i="10"/>
  <c r="H621" i="10" s="1" a="1"/>
  <c r="H621" i="10" s="1"/>
  <c r="G622" i="10"/>
  <c r="H622" i="10" s="1" a="1"/>
  <c r="H622" i="10" s="1"/>
  <c r="G623" i="10"/>
  <c r="H623" i="10" s="1" a="1"/>
  <c r="H623" i="10" s="1"/>
  <c r="G624" i="10"/>
  <c r="H624" i="10" s="1" a="1"/>
  <c r="H624" i="10" s="1"/>
  <c r="G625" i="10"/>
  <c r="H625" i="10" s="1" a="1"/>
  <c r="H625" i="10" s="1"/>
  <c r="G626" i="10"/>
  <c r="H626" i="10" s="1" a="1"/>
  <c r="H626" i="10" s="1"/>
  <c r="G627" i="10"/>
  <c r="H627" i="10" s="1" a="1"/>
  <c r="H627" i="10" s="1"/>
  <c r="G628" i="10"/>
  <c r="H628" i="10" s="1" a="1"/>
  <c r="H628" i="10" s="1"/>
  <c r="G629" i="10"/>
  <c r="H629" i="10" s="1" a="1"/>
  <c r="H629" i="10" s="1"/>
  <c r="G630" i="10"/>
  <c r="H630" i="10" s="1" a="1"/>
  <c r="H630" i="10" s="1"/>
  <c r="G2" i="10"/>
  <c r="H2" i="10" s="1" a="1"/>
  <c r="H2" i="10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<sst xmlns="http://schemas.openxmlformats.org/spreadsheetml/2006/main" count="1953" uniqueCount="71">
  <si>
    <t>Category</t>
  </si>
  <si>
    <t>Item</t>
  </si>
  <si>
    <t>Pen</t>
  </si>
  <si>
    <t>Micro-Ballpoint pen</t>
  </si>
  <si>
    <t>Maxi-ballpoint pen</t>
  </si>
  <si>
    <t>Midi-ballpoint pen</t>
  </si>
  <si>
    <t>Deluxe-Fountain pen</t>
  </si>
  <si>
    <t>Basic-Fountain pen</t>
  </si>
  <si>
    <t>Pencil</t>
  </si>
  <si>
    <t>B Pencil</t>
  </si>
  <si>
    <t>HB Pencil</t>
  </si>
  <si>
    <t>Pencil with rubber</t>
  </si>
  <si>
    <t>Blue/Red Pencil</t>
  </si>
  <si>
    <t>01-Refill pencil</t>
  </si>
  <si>
    <t>05-Refill pencil</t>
  </si>
  <si>
    <t>Blocknotes</t>
  </si>
  <si>
    <t>Maxi Blocknotes</t>
  </si>
  <si>
    <t>Med Blocknotes</t>
  </si>
  <si>
    <t>Mini Blocknotes</t>
  </si>
  <si>
    <t>White Blocknotes</t>
  </si>
  <si>
    <t>Catalogue Blocknotes</t>
  </si>
  <si>
    <t>Large-Spiral Blocknotes</t>
  </si>
  <si>
    <t>Rubber</t>
  </si>
  <si>
    <t>Soft-Pencil Rubber</t>
  </si>
  <si>
    <t>Hard-Pencil Rubber</t>
  </si>
  <si>
    <t>Pen/Pencil rubber</t>
  </si>
  <si>
    <t>Pencil Refill</t>
  </si>
  <si>
    <t>Refill HB Pencil</t>
  </si>
  <si>
    <t>Refill H Pencil</t>
  </si>
  <si>
    <t>Refill B Pencil</t>
  </si>
  <si>
    <t>Scotch</t>
  </si>
  <si>
    <t>Maxi scotch</t>
  </si>
  <si>
    <t>Micro scotch</t>
  </si>
  <si>
    <t>Double-sided tape</t>
  </si>
  <si>
    <t>Transparent tape</t>
  </si>
  <si>
    <t>Pencil Sharpener</t>
  </si>
  <si>
    <t>DeLuxe Pencil sharpener</t>
  </si>
  <si>
    <t>Basic Pencil sharpener</t>
  </si>
  <si>
    <t>Transparent folder</t>
  </si>
  <si>
    <t>Holed transparent folder</t>
  </si>
  <si>
    <t>Colored Transparent folder</t>
  </si>
  <si>
    <t>File folder</t>
  </si>
  <si>
    <t>Maxi file folder</t>
  </si>
  <si>
    <t>Med File Folder</t>
  </si>
  <si>
    <t>Mini File Folder</t>
  </si>
  <si>
    <t>Commercial envelope</t>
  </si>
  <si>
    <t>Large Commercial Envelope</t>
  </si>
  <si>
    <t>Medium Commercial Envelope</t>
  </si>
  <si>
    <t>Tight Commercial Envelope</t>
  </si>
  <si>
    <t>Small Commercial Envelope</t>
  </si>
  <si>
    <t>Sale date and time</t>
  </si>
  <si>
    <t>Shipment date and time</t>
  </si>
  <si>
    <t>Supplier</t>
  </si>
  <si>
    <t>Office Time</t>
  </si>
  <si>
    <t>Jovines</t>
  </si>
  <si>
    <t>World Office Supplier</t>
  </si>
  <si>
    <t>Joy</t>
  </si>
  <si>
    <t>Marins</t>
  </si>
  <si>
    <t>Atemlos</t>
  </si>
  <si>
    <t>Michels</t>
  </si>
  <si>
    <t>Juppers</t>
  </si>
  <si>
    <t>Tuscanian</t>
  </si>
  <si>
    <t>Brice</t>
  </si>
  <si>
    <t>Revenue</t>
  </si>
  <si>
    <t>Not shipped</t>
  </si>
  <si>
    <t>NA</t>
  </si>
  <si>
    <t>See order notes</t>
  </si>
  <si>
    <t>Days for shipping</t>
  </si>
  <si>
    <t>Shipping management</t>
  </si>
  <si>
    <t>Day check</t>
  </si>
  <si>
    <t>Total Revenues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</si>
</sst>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,##0.00\ &quot;€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0" borderId="1" xfId="0" applyFont="1" applyBorder="1"/>
    <xf numFmtId="165" fontId="0" fillId="0" borderId="0" xfId="0" applyNumberFormat="1"/>
    <xf numFmtId="0" fontId="2" fillId="0" borderId="1" xfId="0" applyFont="1" applyBorder="1"/>
    <xf numFmtId="2" fontId="0" fillId="0" borderId="0" xfId="0" applyNumberFormat="1"/>
    <xf numFmtId="0" fontId="1" fillId="0" borderId="2" xfId="0" applyFont="1" applyBorder="1"/>
    <xf numFmtId="0" fontId="2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17"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973A9-D13A-404F-B596-AA79C7B980AF}">
  <dimension ref="A1:I630"/>
  <sheetViews>
    <sheetView workbookViewId="0">
      <selection activeCell="F2" sqref="F2"/>
    </sheetView>
  </sheetViews>
  <sheetFormatPr defaultRowHeight="14.4" x14ac:dyDescent="0.3"/>
  <cols>
    <col min="1" max="1" width="20.88671875" customWidth="1"/>
    <col min="2" max="2" width="28.6640625" bestFit="1" customWidth="1"/>
    <col min="3" max="3" width="20.6640625" bestFit="1" customWidth="1"/>
    <col min="4" max="4" width="20.44140625" bestFit="1" customWidth="1"/>
    <col min="5" max="5" width="22.6640625" bestFit="1" customWidth="1"/>
    <col min="6" max="6" width="14.5546875" customWidth="1"/>
    <col min="7" max="7" width="18.33203125" bestFit="1" customWidth="1"/>
    <col min="8" max="8" width="20.21875" bestFit="1" customWidth="1"/>
    <col min="9" max="9" width="12.33203125" bestFit="1" customWidth="1"/>
  </cols>
  <sheetData>
    <row r="1" spans="1:9" x14ac:dyDescent="0.3">
      <c r="A1" s="2" t="s">
        <v>50</v>
      </c>
      <c r="B1" s="2" t="s">
        <v>1</v>
      </c>
      <c r="C1" s="2" t="s">
        <v>0</v>
      </c>
      <c r="D1" s="2" t="s">
        <v>52</v>
      </c>
      <c r="E1" s="2" t="s">
        <v>51</v>
      </c>
      <c r="F1" s="2" t="s">
        <v>63</v>
      </c>
      <c r="G1" s="4" t="s">
        <v>67</v>
      </c>
      <c r="H1" s="4" t="s">
        <v>68</v>
      </c>
      <c r="I1" s="4" t="s">
        <v>69</v>
      </c>
    </row>
    <row r="2" spans="1:9" x14ac:dyDescent="0.3">
      <c r="A2" s="1">
        <v>45694.240532021504</v>
      </c>
      <c r="B2" t="s">
        <v>32</v>
      </c>
      <c r="C2" t="s">
        <v>30</v>
      </c>
      <c r="D2" t="s">
        <v>58</v>
      </c>
      <c r="E2" s="1">
        <v>45698.424564901994</v>
      </c>
      <c r="F2" s="3">
        <v>88.71</v>
      </c>
      <c r="G2" s="5">
        <f ca="1">IF(ISTEXT(E2),TODAY(),E2)-A2</f>
        <v>4.1840328804901219</v>
      </c>
      <c r="H2" t="str" cm="1">
        <f t="array" aca="1" ref="H2" ca="1">_xlfn.IFS(G2&lt;2,"Excellent handling",AND(G2&gt;2,G2&lt;4)," ",G2&gt;4,"Bad handling")</f>
        <v>Bad handling</v>
      </c>
      <c r="I2" t="str">
        <f>IF(OR(WEEKDAY(A2)=7,WEEKDAY(A2)=1),"Weekend sale"," ")</f>
        <v xml:space="preserve"> </v>
      </c>
    </row>
    <row r="3" spans="1:9" x14ac:dyDescent="0.3">
      <c r="A3" s="1">
        <v>45679.006580086083</v>
      </c>
      <c r="B3" t="s">
        <v>46</v>
      </c>
      <c r="C3" t="s">
        <v>45</v>
      </c>
      <c r="D3" t="s">
        <v>59</v>
      </c>
      <c r="E3" s="1">
        <v>45681.594513430508</v>
      </c>
      <c r="F3" s="3">
        <v>499.26</v>
      </c>
      <c r="G3" s="5">
        <f t="shared" ref="G3:G66" ca="1" si="0">IF(ISTEXT(E3),TODAY(),E3)-A3</f>
        <v>2.5879333444245276</v>
      </c>
      <c r="H3" t="str" cm="1">
        <f t="array" aca="1" ref="H3" ca="1">_xlfn.IFS(G3&lt;2,"Excellent handling",AND(G3&gt;2,G3&lt;4)," ",G3&gt;4,"Bad handling")</f>
        <v xml:space="preserve"> </v>
      </c>
      <c r="I3" t="str">
        <f t="shared" ref="I3:I66" si="1">IF(OR(WEEKDAY(A3)=7,WEEKDAY(A3)=1),"Weekend sale"," ")</f>
        <v xml:space="preserve"> </v>
      </c>
    </row>
    <row r="4" spans="1:9" x14ac:dyDescent="0.3">
      <c r="A4" s="1">
        <v>45666.230552945832</v>
      </c>
      <c r="B4" t="s">
        <v>39</v>
      </c>
      <c r="C4" t="s">
        <v>38</v>
      </c>
      <c r="D4" t="s">
        <v>57</v>
      </c>
      <c r="E4" s="1">
        <v>45670.377443639612</v>
      </c>
      <c r="F4" s="3">
        <v>317.45</v>
      </c>
      <c r="G4" s="5">
        <f t="shared" ca="1" si="0"/>
        <v>4.1468906937807333</v>
      </c>
      <c r="H4" t="str" cm="1">
        <f t="array" aca="1" ref="H4" ca="1">_xlfn.IFS(G4&lt;2,"Excellent handling",AND(G4&gt;2,G4&lt;4)," ",G4&gt;4,"Bad handling")</f>
        <v>Bad handling</v>
      </c>
      <c r="I4" t="str">
        <f t="shared" si="1"/>
        <v xml:space="preserve"> </v>
      </c>
    </row>
    <row r="5" spans="1:9" x14ac:dyDescent="0.3">
      <c r="A5" s="1">
        <v>45634.197361109713</v>
      </c>
      <c r="B5" t="s">
        <v>16</v>
      </c>
      <c r="C5" t="s">
        <v>15</v>
      </c>
      <c r="D5" t="s">
        <v>60</v>
      </c>
      <c r="E5" s="1">
        <v>45637.853599038273</v>
      </c>
      <c r="F5" s="3">
        <v>168.33</v>
      </c>
      <c r="G5" s="5">
        <f t="shared" ca="1" si="0"/>
        <v>3.6562379285605857</v>
      </c>
      <c r="H5" t="str" cm="1">
        <f t="array" aca="1" ref="H5" ca="1">_xlfn.IFS(G5&lt;2,"Excellent handling",AND(G5&gt;2,G5&lt;4)," ",G5&gt;4,"Bad handling")</f>
        <v xml:space="preserve"> </v>
      </c>
      <c r="I5" t="str">
        <f t="shared" si="1"/>
        <v>Weekend sale</v>
      </c>
    </row>
    <row r="6" spans="1:9" x14ac:dyDescent="0.3">
      <c r="A6" s="1">
        <v>45632.443322974446</v>
      </c>
      <c r="B6" t="s">
        <v>4</v>
      </c>
      <c r="C6" t="s">
        <v>2</v>
      </c>
      <c r="D6" t="s">
        <v>60</v>
      </c>
      <c r="E6" s="1" t="s">
        <v>64</v>
      </c>
      <c r="F6" s="3">
        <v>500.76</v>
      </c>
      <c r="G6" s="5">
        <f t="shared" ca="1" si="0"/>
        <v>422.55667702555365</v>
      </c>
      <c r="H6" t="str" cm="1">
        <f t="array" aca="1" ref="H6" ca="1">_xlfn.IFS(G6&lt;2,"Excellent handling",AND(G6&gt;2,G6&lt;4)," ",G6&gt;4,"Bad handling")</f>
        <v>Bad handling</v>
      </c>
      <c r="I6" t="str">
        <f t="shared" si="1"/>
        <v xml:space="preserve"> </v>
      </c>
    </row>
    <row r="7" spans="1:9" x14ac:dyDescent="0.3">
      <c r="A7" s="1">
        <v>45666.310579776182</v>
      </c>
      <c r="B7" t="s">
        <v>4</v>
      </c>
      <c r="C7" t="s">
        <v>2</v>
      </c>
      <c r="D7" t="s">
        <v>60</v>
      </c>
      <c r="E7" s="1">
        <v>45668.707659947293</v>
      </c>
      <c r="F7" s="3">
        <v>378.66</v>
      </c>
      <c r="G7" s="5">
        <f t="shared" ca="1" si="0"/>
        <v>2.3970801711111562</v>
      </c>
      <c r="H7" t="str" cm="1">
        <f t="array" aca="1" ref="H7" ca="1">_xlfn.IFS(G7&lt;2,"Excellent handling",AND(G7&gt;2,G7&lt;4)," ",G7&gt;4,"Bad handling")</f>
        <v xml:space="preserve"> </v>
      </c>
      <c r="I7" t="str">
        <f t="shared" si="1"/>
        <v xml:space="preserve"> </v>
      </c>
    </row>
    <row r="8" spans="1:9" x14ac:dyDescent="0.3">
      <c r="A8" s="1">
        <v>45658.436799115523</v>
      </c>
      <c r="B8" t="s">
        <v>48</v>
      </c>
      <c r="C8" t="s">
        <v>45</v>
      </c>
      <c r="D8" t="s">
        <v>60</v>
      </c>
      <c r="E8" s="1">
        <v>45661.425813852467</v>
      </c>
      <c r="F8" s="3">
        <v>790.44</v>
      </c>
      <c r="G8" s="5">
        <f t="shared" ca="1" si="0"/>
        <v>2.9890147369442275</v>
      </c>
      <c r="H8" t="str" cm="1">
        <f t="array" aca="1" ref="H8" ca="1">_xlfn.IFS(G8&lt;2,"Excellent handling",AND(G8&gt;2,G8&lt;4)," ",G8&gt;4,"Bad handling")</f>
        <v xml:space="preserve"> </v>
      </c>
      <c r="I8" t="str">
        <f t="shared" si="1"/>
        <v xml:space="preserve"> </v>
      </c>
    </row>
    <row r="9" spans="1:9" x14ac:dyDescent="0.3">
      <c r="A9" s="1">
        <v>45653.18539213184</v>
      </c>
      <c r="B9" t="s">
        <v>3</v>
      </c>
      <c r="C9" t="s">
        <v>2</v>
      </c>
      <c r="D9" t="s">
        <v>54</v>
      </c>
      <c r="E9" s="1">
        <v>45655.069390086486</v>
      </c>
      <c r="F9" s="3">
        <v>546.04999999999995</v>
      </c>
      <c r="G9" s="5">
        <f t="shared" ca="1" si="0"/>
        <v>1.8839979546464747</v>
      </c>
      <c r="H9" t="str" cm="1">
        <f t="array" aca="1" ref="H9" ca="1">_xlfn.IFS(G9&lt;2,"Excellent handling",AND(G9&gt;2,G9&lt;4)," ",G9&gt;4,"Bad handling")</f>
        <v>Excellent handling</v>
      </c>
      <c r="I9" t="str">
        <f t="shared" si="1"/>
        <v xml:space="preserve"> </v>
      </c>
    </row>
    <row r="10" spans="1:9" x14ac:dyDescent="0.3">
      <c r="A10" s="1">
        <v>45647.889355620173</v>
      </c>
      <c r="B10" t="s">
        <v>43</v>
      </c>
      <c r="C10" t="s">
        <v>41</v>
      </c>
      <c r="D10" t="s">
        <v>57</v>
      </c>
      <c r="E10" s="1">
        <v>45649.304702662026</v>
      </c>
      <c r="F10" s="3">
        <v>291.64999999999998</v>
      </c>
      <c r="G10" s="5">
        <f t="shared" ca="1" si="0"/>
        <v>1.4153470418532379</v>
      </c>
      <c r="H10" t="str" cm="1">
        <f t="array" aca="1" ref="H10" ca="1">_xlfn.IFS(G10&lt;2,"Excellent handling",AND(G10&gt;2,G10&lt;4)," ",G10&gt;4,"Bad handling")</f>
        <v>Excellent handling</v>
      </c>
      <c r="I10" t="str">
        <f t="shared" si="1"/>
        <v>Weekend sale</v>
      </c>
    </row>
    <row r="11" spans="1:9" x14ac:dyDescent="0.3">
      <c r="A11" s="1">
        <v>45669.632696644621</v>
      </c>
      <c r="B11" t="s">
        <v>49</v>
      </c>
      <c r="C11" t="s">
        <v>45</v>
      </c>
      <c r="D11" t="s">
        <v>60</v>
      </c>
      <c r="E11" s="1">
        <v>45673.760294009728</v>
      </c>
      <c r="F11" s="3">
        <v>352.77</v>
      </c>
      <c r="G11" s="5">
        <f t="shared" ca="1" si="0"/>
        <v>4.1275973651063396</v>
      </c>
      <c r="H11" t="str" cm="1">
        <f t="array" aca="1" ref="H11" ca="1">_xlfn.IFS(G11&lt;2,"Excellent handling",AND(G11&gt;2,G11&lt;4)," ",G11&gt;4,"Bad handling")</f>
        <v>Bad handling</v>
      </c>
      <c r="I11" t="str">
        <f t="shared" si="1"/>
        <v>Weekend sale</v>
      </c>
    </row>
    <row r="12" spans="1:9" x14ac:dyDescent="0.3">
      <c r="A12" s="1">
        <v>45680.737845729986</v>
      </c>
      <c r="B12" t="s">
        <v>3</v>
      </c>
      <c r="C12" t="s">
        <v>2</v>
      </c>
      <c r="D12" t="s">
        <v>54</v>
      </c>
      <c r="E12" s="1">
        <v>45683.648537119501</v>
      </c>
      <c r="F12" s="3">
        <v>464.22</v>
      </c>
      <c r="G12" s="5">
        <f t="shared" ca="1" si="0"/>
        <v>2.9106913895157049</v>
      </c>
      <c r="H12" t="str" cm="1">
        <f t="array" aca="1" ref="H12" ca="1">_xlfn.IFS(G12&lt;2,"Excellent handling",AND(G12&gt;2,G12&lt;4)," ",G12&gt;4,"Bad handling")</f>
        <v xml:space="preserve"> </v>
      </c>
      <c r="I12" t="str">
        <f t="shared" si="1"/>
        <v xml:space="preserve"> </v>
      </c>
    </row>
    <row r="13" spans="1:9" x14ac:dyDescent="0.3">
      <c r="A13" s="1">
        <v>45661.00569578322</v>
      </c>
      <c r="B13" t="s">
        <v>31</v>
      </c>
      <c r="C13" t="s">
        <v>30</v>
      </c>
      <c r="D13" t="s">
        <v>56</v>
      </c>
      <c r="E13" s="1">
        <v>45663.884023309904</v>
      </c>
      <c r="F13" s="3">
        <v>494.87</v>
      </c>
      <c r="G13" s="5">
        <f t="shared" ca="1" si="0"/>
        <v>2.8783275266832788</v>
      </c>
      <c r="H13" t="str" cm="1">
        <f t="array" aca="1" ref="H13" ca="1">_xlfn.IFS(G13&lt;2,"Excellent handling",AND(G13&gt;2,G13&lt;4)," ",G13&gt;4,"Bad handling")</f>
        <v xml:space="preserve"> </v>
      </c>
      <c r="I13" t="str">
        <f t="shared" si="1"/>
        <v>Weekend sale</v>
      </c>
    </row>
    <row r="14" spans="1:9" x14ac:dyDescent="0.3">
      <c r="A14" s="1">
        <v>45651.331412037034</v>
      </c>
      <c r="B14" t="s">
        <v>4</v>
      </c>
      <c r="C14" t="s">
        <v>2</v>
      </c>
      <c r="D14" t="s">
        <v>60</v>
      </c>
      <c r="E14" s="1" t="s">
        <v>66</v>
      </c>
      <c r="F14" s="3">
        <v>568.46</v>
      </c>
      <c r="G14" s="5">
        <f t="shared" ca="1" si="0"/>
        <v>403.66858796296583</v>
      </c>
      <c r="H14" t="str" cm="1">
        <f t="array" aca="1" ref="H14" ca="1">_xlfn.IFS(G14&lt;2,"Excellent handling",AND(G14&gt;2,G14&lt;4)," ",G14&gt;4,"Bad handling")</f>
        <v>Bad handling</v>
      </c>
      <c r="I14" t="str">
        <f t="shared" si="1"/>
        <v xml:space="preserve"> </v>
      </c>
    </row>
    <row r="15" spans="1:9" x14ac:dyDescent="0.3">
      <c r="A15" s="1">
        <v>45644.617397206835</v>
      </c>
      <c r="B15" t="s">
        <v>19</v>
      </c>
      <c r="C15" t="s">
        <v>15</v>
      </c>
      <c r="D15" t="s">
        <v>58</v>
      </c>
      <c r="E15" s="1">
        <v>45647.2813713793</v>
      </c>
      <c r="F15" s="3">
        <v>512.26</v>
      </c>
      <c r="G15" s="5">
        <f t="shared" ca="1" si="0"/>
        <v>2.6639741724648047</v>
      </c>
      <c r="H15" t="str" cm="1">
        <f t="array" aca="1" ref="H15" ca="1">_xlfn.IFS(G15&lt;2,"Excellent handling",AND(G15&gt;2,G15&lt;4)," ",G15&gt;4,"Bad handling")</f>
        <v xml:space="preserve"> </v>
      </c>
      <c r="I15" t="str">
        <f t="shared" si="1"/>
        <v xml:space="preserve"> </v>
      </c>
    </row>
    <row r="16" spans="1:9" x14ac:dyDescent="0.3">
      <c r="A16" s="1">
        <v>45693.892824051436</v>
      </c>
      <c r="B16" t="s">
        <v>36</v>
      </c>
      <c r="C16" t="s">
        <v>35</v>
      </c>
      <c r="D16" t="s">
        <v>55</v>
      </c>
      <c r="E16" s="1">
        <v>45694.61413007645</v>
      </c>
      <c r="F16" s="3">
        <v>511.42</v>
      </c>
      <c r="G16" s="5">
        <f t="shared" ca="1" si="0"/>
        <v>0.72130602501420071</v>
      </c>
      <c r="H16" t="str" cm="1">
        <f t="array" aca="1" ref="H16" ca="1">_xlfn.IFS(G16&lt;2,"Excellent handling",AND(G16&gt;2,G16&lt;4)," ",G16&gt;4,"Bad handling")</f>
        <v>Excellent handling</v>
      </c>
      <c r="I16" t="str">
        <f t="shared" si="1"/>
        <v xml:space="preserve"> </v>
      </c>
    </row>
    <row r="17" spans="1:9" x14ac:dyDescent="0.3">
      <c r="A17" s="1">
        <v>45682.639962167625</v>
      </c>
      <c r="B17" t="s">
        <v>11</v>
      </c>
      <c r="C17" t="s">
        <v>8</v>
      </c>
      <c r="D17" t="s">
        <v>57</v>
      </c>
      <c r="E17" s="1">
        <v>45686.46563839673</v>
      </c>
      <c r="F17" s="3">
        <v>613.21</v>
      </c>
      <c r="G17" s="5">
        <f t="shared" ca="1" si="0"/>
        <v>3.8256762291057385</v>
      </c>
      <c r="H17" t="str" cm="1">
        <f t="array" aca="1" ref="H17" ca="1">_xlfn.IFS(G17&lt;2,"Excellent handling",AND(G17&gt;2,G17&lt;4)," ",G17&gt;4,"Bad handling")</f>
        <v xml:space="preserve"> </v>
      </c>
      <c r="I17" t="str">
        <f t="shared" si="1"/>
        <v>Weekend sale</v>
      </c>
    </row>
    <row r="18" spans="1:9" x14ac:dyDescent="0.3">
      <c r="A18" s="1">
        <v>45684.344778133855</v>
      </c>
      <c r="B18" t="s">
        <v>17</v>
      </c>
      <c r="C18" t="s">
        <v>15</v>
      </c>
      <c r="D18" t="s">
        <v>54</v>
      </c>
      <c r="E18" s="1">
        <v>45688.037558485863</v>
      </c>
      <c r="F18" s="3">
        <v>196.42</v>
      </c>
      <c r="G18" s="5">
        <f t="shared" ca="1" si="0"/>
        <v>3.6927803520084126</v>
      </c>
      <c r="H18" t="str" cm="1">
        <f t="array" aca="1" ref="H18" ca="1">_xlfn.IFS(G18&lt;2,"Excellent handling",AND(G18&gt;2,G18&lt;4)," ",G18&gt;4,"Bad handling")</f>
        <v xml:space="preserve"> </v>
      </c>
      <c r="I18" t="str">
        <f t="shared" si="1"/>
        <v xml:space="preserve"> </v>
      </c>
    </row>
    <row r="19" spans="1:9" x14ac:dyDescent="0.3">
      <c r="A19" s="1">
        <v>45663.608963590756</v>
      </c>
      <c r="B19" t="s">
        <v>34</v>
      </c>
      <c r="C19" t="s">
        <v>30</v>
      </c>
      <c r="D19" t="s">
        <v>61</v>
      </c>
      <c r="E19" s="1">
        <v>45666.903334005794</v>
      </c>
      <c r="F19" s="3">
        <v>627.66</v>
      </c>
      <c r="G19" s="5">
        <f t="shared" ca="1" si="0"/>
        <v>3.2943704150384292</v>
      </c>
      <c r="H19" t="str" cm="1">
        <f t="array" aca="1" ref="H19" ca="1">_xlfn.IFS(G19&lt;2,"Excellent handling",AND(G19&gt;2,G19&lt;4)," ",G19&gt;4,"Bad handling")</f>
        <v xml:space="preserve"> </v>
      </c>
      <c r="I19" t="str">
        <f t="shared" si="1"/>
        <v xml:space="preserve"> </v>
      </c>
    </row>
    <row r="20" spans="1:9" x14ac:dyDescent="0.3">
      <c r="A20" s="1">
        <v>45627.368751975853</v>
      </c>
      <c r="B20" t="s">
        <v>39</v>
      </c>
      <c r="C20" t="s">
        <v>38</v>
      </c>
      <c r="D20" t="s">
        <v>57</v>
      </c>
      <c r="E20" s="1">
        <v>45627.468785217614</v>
      </c>
      <c r="F20" s="3">
        <v>606.25</v>
      </c>
      <c r="G20" s="5">
        <f t="shared" ca="1" si="0"/>
        <v>0.10003324176068418</v>
      </c>
      <c r="H20" t="str" cm="1">
        <f t="array" aca="1" ref="H20" ca="1">_xlfn.IFS(G20&lt;2,"Excellent handling",AND(G20&gt;2,G20&lt;4)," ",G20&gt;4,"Bad handling")</f>
        <v>Excellent handling</v>
      </c>
      <c r="I20" t="str">
        <f t="shared" si="1"/>
        <v>Weekend sale</v>
      </c>
    </row>
    <row r="21" spans="1:9" x14ac:dyDescent="0.3">
      <c r="A21" s="1">
        <v>45652.901368666171</v>
      </c>
      <c r="B21" t="s">
        <v>48</v>
      </c>
      <c r="C21" t="s">
        <v>45</v>
      </c>
      <c r="D21" t="s">
        <v>60</v>
      </c>
      <c r="E21" s="1">
        <v>45653.706365539903</v>
      </c>
      <c r="F21" s="3">
        <v>558.38</v>
      </c>
      <c r="G21" s="5">
        <f t="shared" ca="1" si="0"/>
        <v>0.80499687373230699</v>
      </c>
      <c r="H21" t="str" cm="1">
        <f t="array" aca="1" ref="H21" ca="1">_xlfn.IFS(G21&lt;2,"Excellent handling",AND(G21&gt;2,G21&lt;4)," ",G21&gt;4,"Bad handling")</f>
        <v>Excellent handling</v>
      </c>
      <c r="I21" t="str">
        <f t="shared" si="1"/>
        <v xml:space="preserve"> </v>
      </c>
    </row>
    <row r="22" spans="1:9" x14ac:dyDescent="0.3">
      <c r="A22" s="1">
        <v>45662.877828659832</v>
      </c>
      <c r="B22" t="s">
        <v>23</v>
      </c>
      <c r="C22" t="s">
        <v>22</v>
      </c>
      <c r="D22" t="s">
        <v>61</v>
      </c>
      <c r="E22" s="1">
        <v>45665.759037680291</v>
      </c>
      <c r="F22" s="3">
        <v>687.35</v>
      </c>
      <c r="G22" s="5">
        <f t="shared" ca="1" si="0"/>
        <v>2.8812090204592096</v>
      </c>
      <c r="H22" t="str" cm="1">
        <f t="array" aca="1" ref="H22" ca="1">_xlfn.IFS(G22&lt;2,"Excellent handling",AND(G22&gt;2,G22&lt;4)," ",G22&gt;4,"Bad handling")</f>
        <v xml:space="preserve"> </v>
      </c>
      <c r="I22" t="str">
        <f t="shared" si="1"/>
        <v>Weekend sale</v>
      </c>
    </row>
    <row r="23" spans="1:9" x14ac:dyDescent="0.3">
      <c r="A23" s="1">
        <v>45655.145890862266</v>
      </c>
      <c r="B23" t="s">
        <v>24</v>
      </c>
      <c r="C23" t="s">
        <v>22</v>
      </c>
      <c r="D23" t="s">
        <v>54</v>
      </c>
      <c r="E23" s="1">
        <v>45658.193121405522</v>
      </c>
      <c r="F23" s="3">
        <v>148.22</v>
      </c>
      <c r="G23" s="5">
        <f t="shared" ca="1" si="0"/>
        <v>3.0472305432558642</v>
      </c>
      <c r="H23" t="str" cm="1">
        <f t="array" aca="1" ref="H23" ca="1">_xlfn.IFS(G23&lt;2,"Excellent handling",AND(G23&gt;2,G23&lt;4)," ",G23&gt;4,"Bad handling")</f>
        <v xml:space="preserve"> </v>
      </c>
      <c r="I23" t="str">
        <f t="shared" si="1"/>
        <v>Weekend sale</v>
      </c>
    </row>
    <row r="24" spans="1:9" x14ac:dyDescent="0.3">
      <c r="A24" s="1">
        <v>45643.453248432932</v>
      </c>
      <c r="B24" t="s">
        <v>49</v>
      </c>
      <c r="C24" t="s">
        <v>45</v>
      </c>
      <c r="D24" t="s">
        <v>60</v>
      </c>
      <c r="E24" s="1">
        <v>45648.38240963783</v>
      </c>
      <c r="F24" s="3">
        <v>560.09</v>
      </c>
      <c r="G24" s="5">
        <f t="shared" ca="1" si="0"/>
        <v>4.9291612048982643</v>
      </c>
      <c r="H24" t="str" cm="1">
        <f t="array" aca="1" ref="H24" ca="1">_xlfn.IFS(G24&lt;2,"Excellent handling",AND(G24&gt;2,G24&lt;4)," ",G24&gt;4,"Bad handling")</f>
        <v>Bad handling</v>
      </c>
      <c r="I24" t="str">
        <f t="shared" si="1"/>
        <v xml:space="preserve"> </v>
      </c>
    </row>
    <row r="25" spans="1:9" x14ac:dyDescent="0.3">
      <c r="A25" s="1">
        <v>45636.141922186398</v>
      </c>
      <c r="B25" t="s">
        <v>17</v>
      </c>
      <c r="C25" t="s">
        <v>15</v>
      </c>
      <c r="D25" t="s">
        <v>54</v>
      </c>
      <c r="E25" s="1" t="s">
        <v>65</v>
      </c>
      <c r="F25" s="3">
        <v>500.61</v>
      </c>
      <c r="G25" s="5">
        <f t="shared" ca="1" si="0"/>
        <v>418.85807781360199</v>
      </c>
      <c r="H25" t="str" cm="1">
        <f t="array" aca="1" ref="H25" ca="1">_xlfn.IFS(G25&lt;2,"Excellent handling",AND(G25&gt;2,G25&lt;4)," ",G25&gt;4,"Bad handling")</f>
        <v>Bad handling</v>
      </c>
      <c r="I25" t="str">
        <f t="shared" si="1"/>
        <v xml:space="preserve"> </v>
      </c>
    </row>
    <row r="26" spans="1:9" x14ac:dyDescent="0.3">
      <c r="A26" s="1">
        <v>45638.349864447227</v>
      </c>
      <c r="B26" t="s">
        <v>12</v>
      </c>
      <c r="C26" t="s">
        <v>8</v>
      </c>
      <c r="D26" t="s">
        <v>56</v>
      </c>
      <c r="E26" s="1">
        <v>45641.271174054309</v>
      </c>
      <c r="F26" s="3">
        <v>128.93</v>
      </c>
      <c r="G26" s="5">
        <f t="shared" ca="1" si="0"/>
        <v>2.9213096070816391</v>
      </c>
      <c r="H26" t="str" cm="1">
        <f t="array" aca="1" ref="H26" ca="1">_xlfn.IFS(G26&lt;2,"Excellent handling",AND(G26&gt;2,G26&lt;4)," ",G26&gt;4,"Bad handling")</f>
        <v xml:space="preserve"> </v>
      </c>
      <c r="I26" t="str">
        <f t="shared" si="1"/>
        <v xml:space="preserve"> </v>
      </c>
    </row>
    <row r="27" spans="1:9" x14ac:dyDescent="0.3">
      <c r="A27" s="1">
        <v>45628.456057033785</v>
      </c>
      <c r="B27" t="s">
        <v>23</v>
      </c>
      <c r="C27" t="s">
        <v>22</v>
      </c>
      <c r="D27" t="s">
        <v>61</v>
      </c>
      <c r="E27" s="1">
        <v>45629.523086461391</v>
      </c>
      <c r="F27" s="3">
        <v>665</v>
      </c>
      <c r="G27" s="5">
        <f t="shared" ca="1" si="0"/>
        <v>1.0670294276060304</v>
      </c>
      <c r="H27" t="str" cm="1">
        <f t="array" aca="1" ref="H27" ca="1">_xlfn.IFS(G27&lt;2,"Excellent handling",AND(G27&gt;2,G27&lt;4)," ",G27&gt;4,"Bad handling")</f>
        <v>Excellent handling</v>
      </c>
      <c r="I27" t="str">
        <f t="shared" si="1"/>
        <v xml:space="preserve"> </v>
      </c>
    </row>
    <row r="28" spans="1:9" x14ac:dyDescent="0.3">
      <c r="A28" s="1">
        <v>45659.080330327291</v>
      </c>
      <c r="B28" t="s">
        <v>48</v>
      </c>
      <c r="C28" t="s">
        <v>45</v>
      </c>
      <c r="D28" t="s">
        <v>60</v>
      </c>
      <c r="E28" s="1">
        <v>45664.058764451809</v>
      </c>
      <c r="F28" s="3">
        <v>532.01</v>
      </c>
      <c r="G28" s="5">
        <f t="shared" ca="1" si="0"/>
        <v>4.978434124517662</v>
      </c>
      <c r="H28" t="str" cm="1">
        <f t="array" aca="1" ref="H28" ca="1">_xlfn.IFS(G28&lt;2,"Excellent handling",AND(G28&gt;2,G28&lt;4)," ",G28&gt;4,"Bad handling")</f>
        <v>Bad handling</v>
      </c>
      <c r="I28" t="str">
        <f t="shared" si="1"/>
        <v xml:space="preserve"> </v>
      </c>
    </row>
    <row r="29" spans="1:9" x14ac:dyDescent="0.3">
      <c r="A29" s="1">
        <v>45653.182534762171</v>
      </c>
      <c r="B29" t="s">
        <v>17</v>
      </c>
      <c r="C29" t="s">
        <v>15</v>
      </c>
      <c r="D29" t="s">
        <v>54</v>
      </c>
      <c r="E29" s="1">
        <v>45653.399894626564</v>
      </c>
      <c r="F29" s="3">
        <v>563.13</v>
      </c>
      <c r="G29" s="5">
        <f t="shared" ca="1" si="0"/>
        <v>0.21735986439307453</v>
      </c>
      <c r="H29" t="str" cm="1">
        <f t="array" aca="1" ref="H29" ca="1">_xlfn.IFS(G29&lt;2,"Excellent handling",AND(G29&gt;2,G29&lt;4)," ",G29&gt;4,"Bad handling")</f>
        <v>Excellent handling</v>
      </c>
      <c r="I29" t="str">
        <f t="shared" si="1"/>
        <v xml:space="preserve"> </v>
      </c>
    </row>
    <row r="30" spans="1:9" x14ac:dyDescent="0.3">
      <c r="A30" s="1">
        <v>45629.149395935478</v>
      </c>
      <c r="B30" t="s">
        <v>34</v>
      </c>
      <c r="C30" t="s">
        <v>30</v>
      </c>
      <c r="D30" t="s">
        <v>61</v>
      </c>
      <c r="E30" s="1">
        <v>45631.565354346196</v>
      </c>
      <c r="F30" s="3">
        <v>590.64</v>
      </c>
      <c r="G30" s="5">
        <f t="shared" ca="1" si="0"/>
        <v>2.4159584107183036</v>
      </c>
      <c r="H30" t="str" cm="1">
        <f t="array" aca="1" ref="H30" ca="1">_xlfn.IFS(G30&lt;2,"Excellent handling",AND(G30&gt;2,G30&lt;4)," ",G30&gt;4,"Bad handling")</f>
        <v xml:space="preserve"> </v>
      </c>
      <c r="I30" t="str">
        <f t="shared" si="1"/>
        <v xml:space="preserve"> </v>
      </c>
    </row>
    <row r="31" spans="1:9" x14ac:dyDescent="0.3">
      <c r="A31" s="1">
        <v>45670.202470951481</v>
      </c>
      <c r="B31" t="s">
        <v>12</v>
      </c>
      <c r="C31" t="s">
        <v>8</v>
      </c>
      <c r="D31" t="s">
        <v>56</v>
      </c>
      <c r="E31" s="1">
        <v>45672.876582198987</v>
      </c>
      <c r="F31" s="3">
        <v>334.22</v>
      </c>
      <c r="G31" s="5">
        <f t="shared" ca="1" si="0"/>
        <v>2.6741112475065165</v>
      </c>
      <c r="H31" t="str" cm="1">
        <f t="array" aca="1" ref="H31" ca="1">_xlfn.IFS(G31&lt;2,"Excellent handling",AND(G31&gt;2,G31&lt;4)," ",G31&gt;4,"Bad handling")</f>
        <v xml:space="preserve"> </v>
      </c>
      <c r="I31" t="str">
        <f t="shared" si="1"/>
        <v xml:space="preserve"> </v>
      </c>
    </row>
    <row r="32" spans="1:9" x14ac:dyDescent="0.3">
      <c r="A32" s="1">
        <v>45640.174132893364</v>
      </c>
      <c r="B32" t="s">
        <v>13</v>
      </c>
      <c r="C32" t="s">
        <v>8</v>
      </c>
      <c r="D32" t="s">
        <v>57</v>
      </c>
      <c r="E32" s="1">
        <v>45641.698336447938</v>
      </c>
      <c r="F32" s="3">
        <v>323.36</v>
      </c>
      <c r="G32" s="5">
        <f t="shared" ca="1" si="0"/>
        <v>1.524203554574342</v>
      </c>
      <c r="H32" t="str" cm="1">
        <f t="array" aca="1" ref="H32" ca="1">_xlfn.IFS(G32&lt;2,"Excellent handling",AND(G32&gt;2,G32&lt;4)," ",G32&gt;4,"Bad handling")</f>
        <v>Excellent handling</v>
      </c>
      <c r="I32" t="str">
        <f t="shared" si="1"/>
        <v>Weekend sale</v>
      </c>
    </row>
    <row r="33" spans="1:9" x14ac:dyDescent="0.3">
      <c r="A33" s="1">
        <v>45676.836480904836</v>
      </c>
      <c r="B33" t="s">
        <v>27</v>
      </c>
      <c r="C33" t="s">
        <v>26</v>
      </c>
      <c r="D33" t="s">
        <v>55</v>
      </c>
      <c r="E33" s="1">
        <v>45678.83847488516</v>
      </c>
      <c r="F33" s="3">
        <v>466.87</v>
      </c>
      <c r="G33" s="5">
        <f t="shared" ca="1" si="0"/>
        <v>2.0019939803241869</v>
      </c>
      <c r="H33" t="str" cm="1">
        <f t="array" aca="1" ref="H33" ca="1">_xlfn.IFS(G33&lt;2,"Excellent handling",AND(G33&gt;2,G33&lt;4)," ",G33&gt;4,"Bad handling")</f>
        <v xml:space="preserve"> </v>
      </c>
      <c r="I33" t="str">
        <f t="shared" si="1"/>
        <v>Weekend sale</v>
      </c>
    </row>
    <row r="34" spans="1:9" x14ac:dyDescent="0.3">
      <c r="A34" s="1">
        <v>45666.39529536241</v>
      </c>
      <c r="B34" t="s">
        <v>13</v>
      </c>
      <c r="C34" t="s">
        <v>8</v>
      </c>
      <c r="D34" t="s">
        <v>57</v>
      </c>
      <c r="E34" s="1">
        <v>45668.180995220828</v>
      </c>
      <c r="F34" s="3">
        <v>130.75</v>
      </c>
      <c r="G34" s="5">
        <f t="shared" ca="1" si="0"/>
        <v>1.7856998584175017</v>
      </c>
      <c r="H34" t="str" cm="1">
        <f t="array" aca="1" ref="H34" ca="1">_xlfn.IFS(G34&lt;2,"Excellent handling",AND(G34&gt;2,G34&lt;4)," ",G34&gt;4,"Bad handling")</f>
        <v>Excellent handling</v>
      </c>
      <c r="I34" t="str">
        <f t="shared" si="1"/>
        <v xml:space="preserve"> </v>
      </c>
    </row>
    <row r="35" spans="1:9" x14ac:dyDescent="0.3">
      <c r="A35" s="1">
        <v>45687.331745128351</v>
      </c>
      <c r="B35" t="s">
        <v>44</v>
      </c>
      <c r="C35" t="s">
        <v>41</v>
      </c>
      <c r="D35" t="s">
        <v>62</v>
      </c>
      <c r="E35" s="1">
        <v>45687.647183197747</v>
      </c>
      <c r="F35" s="3">
        <v>791.14</v>
      </c>
      <c r="G35" s="5">
        <f t="shared" ca="1" si="0"/>
        <v>0.31543806939589558</v>
      </c>
      <c r="H35" t="str" cm="1">
        <f t="array" aca="1" ref="H35" ca="1">_xlfn.IFS(G35&lt;2,"Excellent handling",AND(G35&gt;2,G35&lt;4)," ",G35&gt;4,"Bad handling")</f>
        <v>Excellent handling</v>
      </c>
      <c r="I35" t="str">
        <f t="shared" si="1"/>
        <v xml:space="preserve"> </v>
      </c>
    </row>
    <row r="36" spans="1:9" x14ac:dyDescent="0.3">
      <c r="A36" s="1">
        <v>45692.936492611363</v>
      </c>
      <c r="B36" t="s">
        <v>9</v>
      </c>
      <c r="C36" t="s">
        <v>8</v>
      </c>
      <c r="D36" t="s">
        <v>54</v>
      </c>
      <c r="E36" s="1" t="s">
        <v>64</v>
      </c>
      <c r="F36" s="3">
        <v>769.01</v>
      </c>
      <c r="G36" s="5">
        <f t="shared" ca="1" si="0"/>
        <v>362.06350738863694</v>
      </c>
      <c r="H36" t="str" cm="1">
        <f t="array" aca="1" ref="H36" ca="1">_xlfn.IFS(G36&lt;2,"Excellent handling",AND(G36&gt;2,G36&lt;4)," ",G36&gt;4,"Bad handling")</f>
        <v>Bad handling</v>
      </c>
      <c r="I36" t="str">
        <f t="shared" si="1"/>
        <v xml:space="preserve"> </v>
      </c>
    </row>
    <row r="37" spans="1:9" x14ac:dyDescent="0.3">
      <c r="A37" s="1">
        <v>45647.023889550263</v>
      </c>
      <c r="B37" t="s">
        <v>23</v>
      </c>
      <c r="C37" t="s">
        <v>22</v>
      </c>
      <c r="D37" t="s">
        <v>61</v>
      </c>
      <c r="E37" s="1">
        <v>45650.032859248189</v>
      </c>
      <c r="F37" s="3">
        <v>339.52</v>
      </c>
      <c r="G37" s="5">
        <f t="shared" ca="1" si="0"/>
        <v>3.0089696979266591</v>
      </c>
      <c r="H37" t="str" cm="1">
        <f t="array" aca="1" ref="H37" ca="1">_xlfn.IFS(G37&lt;2,"Excellent handling",AND(G37&gt;2,G37&lt;4)," ",G37&gt;4,"Bad handling")</f>
        <v xml:space="preserve"> </v>
      </c>
      <c r="I37" t="str">
        <f t="shared" si="1"/>
        <v>Weekend sale</v>
      </c>
    </row>
    <row r="38" spans="1:9" x14ac:dyDescent="0.3">
      <c r="A38" s="1">
        <v>45692.31306321374</v>
      </c>
      <c r="B38" t="s">
        <v>5</v>
      </c>
      <c r="C38" t="s">
        <v>2</v>
      </c>
      <c r="D38" t="s">
        <v>55</v>
      </c>
      <c r="E38" s="1">
        <v>45694.334695840102</v>
      </c>
      <c r="F38" s="3">
        <v>323.25</v>
      </c>
      <c r="G38" s="5">
        <f t="shared" ca="1" si="0"/>
        <v>2.0216326263616793</v>
      </c>
      <c r="H38" t="str" cm="1">
        <f t="array" aca="1" ref="H38" ca="1">_xlfn.IFS(G38&lt;2,"Excellent handling",AND(G38&gt;2,G38&lt;4)," ",G38&gt;4,"Bad handling")</f>
        <v xml:space="preserve"> </v>
      </c>
      <c r="I38" t="str">
        <f t="shared" si="1"/>
        <v xml:space="preserve"> </v>
      </c>
    </row>
    <row r="39" spans="1:9" x14ac:dyDescent="0.3">
      <c r="A39" s="1">
        <v>45655.739971457253</v>
      </c>
      <c r="B39" t="s">
        <v>33</v>
      </c>
      <c r="C39" t="s">
        <v>30</v>
      </c>
      <c r="D39" t="s">
        <v>59</v>
      </c>
      <c r="E39" s="1">
        <v>45659.767438835726</v>
      </c>
      <c r="F39" s="3">
        <v>804.95</v>
      </c>
      <c r="G39" s="5">
        <f t="shared" ca="1" si="0"/>
        <v>4.027467378473375</v>
      </c>
      <c r="H39" t="str" cm="1">
        <f t="array" aca="1" ref="H39" ca="1">_xlfn.IFS(G39&lt;2,"Excellent handling",AND(G39&gt;2,G39&lt;4)," ",G39&gt;4,"Bad handling")</f>
        <v>Bad handling</v>
      </c>
      <c r="I39" t="str">
        <f t="shared" si="1"/>
        <v>Weekend sale</v>
      </c>
    </row>
    <row r="40" spans="1:9" x14ac:dyDescent="0.3">
      <c r="A40" s="1">
        <v>45696.086281394826</v>
      </c>
      <c r="B40" t="s">
        <v>43</v>
      </c>
      <c r="C40" t="s">
        <v>41</v>
      </c>
      <c r="D40" t="s">
        <v>57</v>
      </c>
      <c r="E40" s="1">
        <v>45701.481680232726</v>
      </c>
      <c r="F40" s="3">
        <v>111.19</v>
      </c>
      <c r="G40" s="5">
        <f t="shared" ca="1" si="0"/>
        <v>5.3953988378998474</v>
      </c>
      <c r="H40" t="str" cm="1">
        <f t="array" aca="1" ref="H40" ca="1">_xlfn.IFS(G40&lt;2,"Excellent handling",AND(G40&gt;2,G40&lt;4)," ",G40&gt;4,"Bad handling")</f>
        <v>Bad handling</v>
      </c>
      <c r="I40" t="str">
        <f t="shared" si="1"/>
        <v>Weekend sale</v>
      </c>
    </row>
    <row r="41" spans="1:9" x14ac:dyDescent="0.3">
      <c r="A41" s="1">
        <v>45644.300967305579</v>
      </c>
      <c r="B41" t="s">
        <v>16</v>
      </c>
      <c r="C41" t="s">
        <v>15</v>
      </c>
      <c r="D41" t="s">
        <v>60</v>
      </c>
      <c r="E41" s="1">
        <v>45645.172437913068</v>
      </c>
      <c r="F41" s="3">
        <v>100.22</v>
      </c>
      <c r="G41" s="5">
        <f t="shared" ca="1" si="0"/>
        <v>0.87147060748975491</v>
      </c>
      <c r="H41" t="str" cm="1">
        <f t="array" aca="1" ref="H41" ca="1">_xlfn.IFS(G41&lt;2,"Excellent handling",AND(G41&gt;2,G41&lt;4)," ",G41&gt;4,"Bad handling")</f>
        <v>Excellent handling</v>
      </c>
      <c r="I41" t="str">
        <f t="shared" si="1"/>
        <v xml:space="preserve"> </v>
      </c>
    </row>
    <row r="42" spans="1:9" x14ac:dyDescent="0.3">
      <c r="A42" s="1">
        <v>45657.752774045701</v>
      </c>
      <c r="B42" t="s">
        <v>13</v>
      </c>
      <c r="C42" t="s">
        <v>8</v>
      </c>
      <c r="D42" t="s">
        <v>57</v>
      </c>
      <c r="E42" s="1">
        <v>45658.521703452971</v>
      </c>
      <c r="F42" s="3">
        <v>287.70999999999998</v>
      </c>
      <c r="G42" s="5">
        <f t="shared" ca="1" si="0"/>
        <v>0.76892940726975212</v>
      </c>
      <c r="H42" t="str" cm="1">
        <f t="array" aca="1" ref="H42" ca="1">_xlfn.IFS(G42&lt;2,"Excellent handling",AND(G42&gt;2,G42&lt;4)," ",G42&gt;4,"Bad handling")</f>
        <v>Excellent handling</v>
      </c>
      <c r="I42" t="str">
        <f t="shared" si="1"/>
        <v xml:space="preserve"> </v>
      </c>
    </row>
    <row r="43" spans="1:9" x14ac:dyDescent="0.3">
      <c r="A43" s="1">
        <v>45681.343498381379</v>
      </c>
      <c r="B43" t="s">
        <v>17</v>
      </c>
      <c r="C43" t="s">
        <v>15</v>
      </c>
      <c r="D43" t="s">
        <v>54</v>
      </c>
      <c r="E43" s="1">
        <v>45684.152170893831</v>
      </c>
      <c r="F43" s="3">
        <v>751.51</v>
      </c>
      <c r="G43" s="5">
        <f t="shared" ca="1" si="0"/>
        <v>2.8086725124521763</v>
      </c>
      <c r="H43" t="str" cm="1">
        <f t="array" aca="1" ref="H43" ca="1">_xlfn.IFS(G43&lt;2,"Excellent handling",AND(G43&gt;2,G43&lt;4)," ",G43&gt;4,"Bad handling")</f>
        <v xml:space="preserve"> </v>
      </c>
      <c r="I43" t="str">
        <f t="shared" si="1"/>
        <v xml:space="preserve"> </v>
      </c>
    </row>
    <row r="44" spans="1:9" x14ac:dyDescent="0.3">
      <c r="A44" s="1">
        <v>45688.311234000073</v>
      </c>
      <c r="B44" t="s">
        <v>32</v>
      </c>
      <c r="C44" t="s">
        <v>30</v>
      </c>
      <c r="D44" t="s">
        <v>58</v>
      </c>
      <c r="E44" s="1">
        <v>45692.469836492695</v>
      </c>
      <c r="F44" s="3">
        <v>315.88</v>
      </c>
      <c r="G44" s="5">
        <f t="shared" ca="1" si="0"/>
        <v>4.158602492621867</v>
      </c>
      <c r="H44" t="str" cm="1">
        <f t="array" aca="1" ref="H44" ca="1">_xlfn.IFS(G44&lt;2,"Excellent handling",AND(G44&gt;2,G44&lt;4)," ",G44&gt;4,"Bad handling")</f>
        <v>Bad handling</v>
      </c>
      <c r="I44" t="str">
        <f t="shared" si="1"/>
        <v xml:space="preserve"> </v>
      </c>
    </row>
    <row r="45" spans="1:9" x14ac:dyDescent="0.3">
      <c r="A45" s="1">
        <v>45675.876282574347</v>
      </c>
      <c r="B45" t="s">
        <v>39</v>
      </c>
      <c r="C45" t="s">
        <v>38</v>
      </c>
      <c r="D45" t="s">
        <v>57</v>
      </c>
      <c r="E45" s="1">
        <v>45679.350359819167</v>
      </c>
      <c r="F45" s="3">
        <v>37.1</v>
      </c>
      <c r="G45" s="5">
        <f t="shared" ca="1" si="0"/>
        <v>3.4740772448203643</v>
      </c>
      <c r="H45" t="str" cm="1">
        <f t="array" aca="1" ref="H45" ca="1">_xlfn.IFS(G45&lt;2,"Excellent handling",AND(G45&gt;2,G45&lt;4)," ",G45&gt;4,"Bad handling")</f>
        <v xml:space="preserve"> </v>
      </c>
      <c r="I45" t="str">
        <f t="shared" si="1"/>
        <v>Weekend sale</v>
      </c>
    </row>
    <row r="46" spans="1:9" x14ac:dyDescent="0.3">
      <c r="A46" s="1">
        <v>45660.37588649628</v>
      </c>
      <c r="B46" t="s">
        <v>28</v>
      </c>
      <c r="C46" t="s">
        <v>26</v>
      </c>
      <c r="D46" t="s">
        <v>60</v>
      </c>
      <c r="E46" s="1">
        <v>45661.724062920541</v>
      </c>
      <c r="F46" s="3">
        <v>325.10000000000002</v>
      </c>
      <c r="G46" s="5">
        <f t="shared" ca="1" si="0"/>
        <v>1.3481764242606005</v>
      </c>
      <c r="H46" t="str" cm="1">
        <f t="array" aca="1" ref="H46" ca="1">_xlfn.IFS(G46&lt;2,"Excellent handling",AND(G46&gt;2,G46&lt;4)," ",G46&gt;4,"Bad handling")</f>
        <v>Excellent handling</v>
      </c>
      <c r="I46" t="str">
        <f t="shared" si="1"/>
        <v xml:space="preserve"> </v>
      </c>
    </row>
    <row r="47" spans="1:9" x14ac:dyDescent="0.3">
      <c r="A47" s="1">
        <v>45685.569677343054</v>
      </c>
      <c r="B47" t="s">
        <v>21</v>
      </c>
      <c r="C47" t="s">
        <v>15</v>
      </c>
      <c r="D47" t="s">
        <v>60</v>
      </c>
      <c r="E47" s="1" t="s">
        <v>65</v>
      </c>
      <c r="F47" s="3">
        <v>475.17</v>
      </c>
      <c r="G47" s="5">
        <f t="shared" ca="1" si="0"/>
        <v>369.43032265694637</v>
      </c>
      <c r="H47" t="str" cm="1">
        <f t="array" aca="1" ref="H47" ca="1">_xlfn.IFS(G47&lt;2,"Excellent handling",AND(G47&gt;2,G47&lt;4)," ",G47&gt;4,"Bad handling")</f>
        <v>Bad handling</v>
      </c>
      <c r="I47" t="str">
        <f t="shared" si="1"/>
        <v xml:space="preserve"> </v>
      </c>
    </row>
    <row r="48" spans="1:9" x14ac:dyDescent="0.3">
      <c r="A48" s="1">
        <v>45630.068995126116</v>
      </c>
      <c r="B48" t="s">
        <v>5</v>
      </c>
      <c r="C48" t="s">
        <v>2</v>
      </c>
      <c r="D48" t="s">
        <v>55</v>
      </c>
      <c r="E48" s="1">
        <v>45634.043641415512</v>
      </c>
      <c r="F48" s="3">
        <v>786.44</v>
      </c>
      <c r="G48" s="5">
        <f t="shared" ca="1" si="0"/>
        <v>3.9746462893963326</v>
      </c>
      <c r="H48" t="str" cm="1">
        <f t="array" aca="1" ref="H48" ca="1">_xlfn.IFS(G48&lt;2,"Excellent handling",AND(G48&gt;2,G48&lt;4)," ",G48&gt;4,"Bad handling")</f>
        <v xml:space="preserve"> </v>
      </c>
      <c r="I48" t="str">
        <f t="shared" si="1"/>
        <v xml:space="preserve"> </v>
      </c>
    </row>
    <row r="49" spans="1:9" x14ac:dyDescent="0.3">
      <c r="A49" s="1">
        <v>45638.032049344642</v>
      </c>
      <c r="B49" t="s">
        <v>27</v>
      </c>
      <c r="C49" t="s">
        <v>26</v>
      </c>
      <c r="D49" t="s">
        <v>55</v>
      </c>
      <c r="E49" s="1">
        <v>45641.087697503179</v>
      </c>
      <c r="F49" s="3">
        <v>436.63</v>
      </c>
      <c r="G49" s="5">
        <f t="shared" ca="1" si="0"/>
        <v>3.0556481585372239</v>
      </c>
      <c r="H49" t="str" cm="1">
        <f t="array" aca="1" ref="H49" ca="1">_xlfn.IFS(G49&lt;2,"Excellent handling",AND(G49&gt;2,G49&lt;4)," ",G49&gt;4,"Bad handling")</f>
        <v xml:space="preserve"> </v>
      </c>
      <c r="I49" t="str">
        <f t="shared" si="1"/>
        <v xml:space="preserve"> </v>
      </c>
    </row>
    <row r="50" spans="1:9" x14ac:dyDescent="0.3">
      <c r="A50" s="1">
        <v>45693.494371690409</v>
      </c>
      <c r="B50" t="s">
        <v>39</v>
      </c>
      <c r="C50" t="s">
        <v>38</v>
      </c>
      <c r="D50" t="s">
        <v>57</v>
      </c>
      <c r="E50" s="1">
        <v>45695.737090796996</v>
      </c>
      <c r="F50" s="3">
        <v>302.54000000000002</v>
      </c>
      <c r="G50" s="5">
        <f t="shared" ca="1" si="0"/>
        <v>2.2427191065871739</v>
      </c>
      <c r="H50" t="str" cm="1">
        <f t="array" aca="1" ref="H50" ca="1">_xlfn.IFS(G50&lt;2,"Excellent handling",AND(G50&gt;2,G50&lt;4)," ",G50&gt;4,"Bad handling")</f>
        <v xml:space="preserve"> </v>
      </c>
      <c r="I50" t="str">
        <f t="shared" si="1"/>
        <v xml:space="preserve"> </v>
      </c>
    </row>
    <row r="51" spans="1:9" x14ac:dyDescent="0.3">
      <c r="A51" s="1">
        <v>45627.02927681541</v>
      </c>
      <c r="B51" t="s">
        <v>11</v>
      </c>
      <c r="C51" t="s">
        <v>8</v>
      </c>
      <c r="D51" t="s">
        <v>57</v>
      </c>
      <c r="E51" s="1">
        <v>45631.292503867386</v>
      </c>
      <c r="F51" s="3">
        <v>638.70000000000005</v>
      </c>
      <c r="G51" s="5">
        <f t="shared" ca="1" si="0"/>
        <v>4.2632270519752637</v>
      </c>
      <c r="H51" t="str" cm="1">
        <f t="array" aca="1" ref="H51" ca="1">_xlfn.IFS(G51&lt;2,"Excellent handling",AND(G51&gt;2,G51&lt;4)," ",G51&gt;4,"Bad handling")</f>
        <v>Bad handling</v>
      </c>
      <c r="I51" t="str">
        <f t="shared" si="1"/>
        <v>Weekend sale</v>
      </c>
    </row>
    <row r="52" spans="1:9" x14ac:dyDescent="0.3">
      <c r="A52" s="1">
        <v>45632.484018124342</v>
      </c>
      <c r="B52" t="s">
        <v>7</v>
      </c>
      <c r="C52" t="s">
        <v>2</v>
      </c>
      <c r="D52" t="s">
        <v>54</v>
      </c>
      <c r="E52" s="1">
        <v>45634.553506533128</v>
      </c>
      <c r="F52" s="3">
        <v>777.34</v>
      </c>
      <c r="G52" s="5">
        <f t="shared" ca="1" si="0"/>
        <v>2.0694884087861283</v>
      </c>
      <c r="H52" t="str" cm="1">
        <f t="array" aca="1" ref="H52" ca="1">_xlfn.IFS(G52&lt;2,"Excellent handling",AND(G52&gt;2,G52&lt;4)," ",G52&gt;4,"Bad handling")</f>
        <v xml:space="preserve"> </v>
      </c>
      <c r="I52" t="str">
        <f t="shared" si="1"/>
        <v xml:space="preserve"> </v>
      </c>
    </row>
    <row r="53" spans="1:9" x14ac:dyDescent="0.3">
      <c r="A53" s="1">
        <v>45677.383117872268</v>
      </c>
      <c r="B53" t="s">
        <v>32</v>
      </c>
      <c r="C53" t="s">
        <v>30</v>
      </c>
      <c r="D53" t="s">
        <v>58</v>
      </c>
      <c r="E53" s="1" t="s">
        <v>64</v>
      </c>
      <c r="F53" s="3">
        <v>813.43</v>
      </c>
      <c r="G53" s="5">
        <f t="shared" ca="1" si="0"/>
        <v>377.61688212773151</v>
      </c>
      <c r="H53" t="str" cm="1">
        <f t="array" aca="1" ref="H53" ca="1">_xlfn.IFS(G53&lt;2,"Excellent handling",AND(G53&gt;2,G53&lt;4)," ",G53&gt;4,"Bad handling")</f>
        <v>Bad handling</v>
      </c>
      <c r="I53" t="str">
        <f t="shared" si="1"/>
        <v xml:space="preserve"> </v>
      </c>
    </row>
    <row r="54" spans="1:9" x14ac:dyDescent="0.3">
      <c r="A54" s="1">
        <v>45630.084060923611</v>
      </c>
      <c r="B54" t="s">
        <v>49</v>
      </c>
      <c r="C54" t="s">
        <v>45</v>
      </c>
      <c r="D54" t="s">
        <v>60</v>
      </c>
      <c r="E54" s="1">
        <v>45631.403263565007</v>
      </c>
      <c r="F54" s="3">
        <v>346.19</v>
      </c>
      <c r="G54" s="5">
        <f t="shared" ca="1" si="0"/>
        <v>1.3192026413962594</v>
      </c>
      <c r="H54" t="str" cm="1">
        <f t="array" aca="1" ref="H54" ca="1">_xlfn.IFS(G54&lt;2,"Excellent handling",AND(G54&gt;2,G54&lt;4)," ",G54&gt;4,"Bad handling")</f>
        <v>Excellent handling</v>
      </c>
      <c r="I54" t="str">
        <f t="shared" si="1"/>
        <v xml:space="preserve"> </v>
      </c>
    </row>
    <row r="55" spans="1:9" x14ac:dyDescent="0.3">
      <c r="A55" s="1">
        <v>45683.12937274915</v>
      </c>
      <c r="B55" t="s">
        <v>36</v>
      </c>
      <c r="C55" t="s">
        <v>35</v>
      </c>
      <c r="D55" t="s">
        <v>55</v>
      </c>
      <c r="E55" s="1">
        <v>45689.037882788136</v>
      </c>
      <c r="F55" s="3">
        <v>443.99</v>
      </c>
      <c r="G55" s="5">
        <f t="shared" ca="1" si="0"/>
        <v>5.9085100389856962</v>
      </c>
      <c r="H55" t="str" cm="1">
        <f t="array" aca="1" ref="H55" ca="1">_xlfn.IFS(G55&lt;2,"Excellent handling",AND(G55&gt;2,G55&lt;4)," ",G55&gt;4,"Bad handling")</f>
        <v>Bad handling</v>
      </c>
      <c r="I55" t="str">
        <f t="shared" si="1"/>
        <v>Weekend sale</v>
      </c>
    </row>
    <row r="56" spans="1:9" x14ac:dyDescent="0.3">
      <c r="A56" s="1">
        <v>45668.853592032894</v>
      </c>
      <c r="B56" t="s">
        <v>28</v>
      </c>
      <c r="C56" t="s">
        <v>26</v>
      </c>
      <c r="D56" t="s">
        <v>60</v>
      </c>
      <c r="E56" s="1">
        <v>45671.455752756388</v>
      </c>
      <c r="F56" s="3">
        <v>541.03</v>
      </c>
      <c r="G56" s="5">
        <f t="shared" ca="1" si="0"/>
        <v>2.6021607234943076</v>
      </c>
      <c r="H56" t="str" cm="1">
        <f t="array" aca="1" ref="H56" ca="1">_xlfn.IFS(G56&lt;2,"Excellent handling",AND(G56&gt;2,G56&lt;4)," ",G56&gt;4,"Bad handling")</f>
        <v xml:space="preserve"> </v>
      </c>
      <c r="I56" t="str">
        <f t="shared" si="1"/>
        <v>Weekend sale</v>
      </c>
    </row>
    <row r="57" spans="1:9" x14ac:dyDescent="0.3">
      <c r="A57" s="1">
        <v>45681.757827626083</v>
      </c>
      <c r="B57" t="s">
        <v>19</v>
      </c>
      <c r="C57" t="s">
        <v>15</v>
      </c>
      <c r="D57" t="s">
        <v>58</v>
      </c>
      <c r="E57" s="1">
        <v>45683.941520957444</v>
      </c>
      <c r="F57" s="3">
        <v>487.61</v>
      </c>
      <c r="G57" s="5">
        <f t="shared" ca="1" si="0"/>
        <v>2.1836933313607005</v>
      </c>
      <c r="H57" t="str" cm="1">
        <f t="array" aca="1" ref="H57" ca="1">_xlfn.IFS(G57&lt;2,"Excellent handling",AND(G57&gt;2,G57&lt;4)," ",G57&gt;4,"Bad handling")</f>
        <v xml:space="preserve"> </v>
      </c>
      <c r="I57" t="str">
        <f t="shared" si="1"/>
        <v xml:space="preserve"> </v>
      </c>
    </row>
    <row r="58" spans="1:9" x14ac:dyDescent="0.3">
      <c r="A58" s="1">
        <v>45683.301826474875</v>
      </c>
      <c r="B58" t="s">
        <v>43</v>
      </c>
      <c r="C58" t="s">
        <v>41</v>
      </c>
      <c r="D58" t="s">
        <v>57</v>
      </c>
      <c r="E58" s="1">
        <v>45683.633640460001</v>
      </c>
      <c r="F58" s="3">
        <v>221.56</v>
      </c>
      <c r="G58" s="5">
        <f t="shared" ca="1" si="0"/>
        <v>0.33181398512533633</v>
      </c>
      <c r="H58" t="str" cm="1">
        <f t="array" aca="1" ref="H58" ca="1">_xlfn.IFS(G58&lt;2,"Excellent handling",AND(G58&gt;2,G58&lt;4)," ",G58&gt;4,"Bad handling")</f>
        <v>Excellent handling</v>
      </c>
      <c r="I58" t="str">
        <f t="shared" si="1"/>
        <v>Weekend sale</v>
      </c>
    </row>
    <row r="59" spans="1:9" x14ac:dyDescent="0.3">
      <c r="A59" s="1">
        <v>45687.52567108949</v>
      </c>
      <c r="B59" t="s">
        <v>3</v>
      </c>
      <c r="C59" t="s">
        <v>2</v>
      </c>
      <c r="D59" t="s">
        <v>54</v>
      </c>
      <c r="E59" s="1">
        <v>45689.728324022552</v>
      </c>
      <c r="F59" s="3">
        <v>601.91999999999996</v>
      </c>
      <c r="G59" s="5">
        <f t="shared" ca="1" si="0"/>
        <v>2.2026529330614721</v>
      </c>
      <c r="H59" t="str" cm="1">
        <f t="array" aca="1" ref="H59" ca="1">_xlfn.IFS(G59&lt;2,"Excellent handling",AND(G59&gt;2,G59&lt;4)," ",G59&gt;4,"Bad handling")</f>
        <v xml:space="preserve"> </v>
      </c>
      <c r="I59" t="str">
        <f t="shared" si="1"/>
        <v xml:space="preserve"> </v>
      </c>
    </row>
    <row r="60" spans="1:9" x14ac:dyDescent="0.3">
      <c r="A60" s="1">
        <v>45691.479724138415</v>
      </c>
      <c r="B60" t="s">
        <v>32</v>
      </c>
      <c r="C60" t="s">
        <v>30</v>
      </c>
      <c r="D60" t="s">
        <v>58</v>
      </c>
      <c r="E60" s="1">
        <v>45693.044935722035</v>
      </c>
      <c r="F60" s="3">
        <v>182.06</v>
      </c>
      <c r="G60" s="5">
        <f t="shared" ca="1" si="0"/>
        <v>1.5652115836201119</v>
      </c>
      <c r="H60" t="str" cm="1">
        <f t="array" aca="1" ref="H60" ca="1">_xlfn.IFS(G60&lt;2,"Excellent handling",AND(G60&gt;2,G60&lt;4)," ",G60&gt;4,"Bad handling")</f>
        <v>Excellent handling</v>
      </c>
      <c r="I60" t="str">
        <f t="shared" si="1"/>
        <v xml:space="preserve"> </v>
      </c>
    </row>
    <row r="61" spans="1:9" x14ac:dyDescent="0.3">
      <c r="A61" s="1">
        <v>45652.870493765418</v>
      </c>
      <c r="B61" t="s">
        <v>39</v>
      </c>
      <c r="C61" t="s">
        <v>38</v>
      </c>
      <c r="D61" t="s">
        <v>57</v>
      </c>
      <c r="E61" s="1">
        <v>45655.841359537866</v>
      </c>
      <c r="F61" s="3">
        <v>343.53</v>
      </c>
      <c r="G61" s="5">
        <f t="shared" ca="1" si="0"/>
        <v>2.9708657724477234</v>
      </c>
      <c r="H61" t="str" cm="1">
        <f t="array" aca="1" ref="H61" ca="1">_xlfn.IFS(G61&lt;2,"Excellent handling",AND(G61&gt;2,G61&lt;4)," ",G61&gt;4,"Bad handling")</f>
        <v xml:space="preserve"> </v>
      </c>
      <c r="I61" t="str">
        <f t="shared" si="1"/>
        <v xml:space="preserve"> </v>
      </c>
    </row>
    <row r="62" spans="1:9" x14ac:dyDescent="0.3">
      <c r="A62" s="1">
        <v>45647.993845273078</v>
      </c>
      <c r="B62" t="s">
        <v>7</v>
      </c>
      <c r="C62" t="s">
        <v>2</v>
      </c>
      <c r="D62" t="s">
        <v>54</v>
      </c>
      <c r="E62" s="1" t="s">
        <v>65</v>
      </c>
      <c r="F62" s="3">
        <v>76.849999999999994</v>
      </c>
      <c r="G62" s="5">
        <f t="shared" ca="1" si="0"/>
        <v>407.00615472692152</v>
      </c>
      <c r="H62" t="str" cm="1">
        <f t="array" aca="1" ref="H62" ca="1">_xlfn.IFS(G62&lt;2,"Excellent handling",AND(G62&gt;2,G62&lt;4)," ",G62&gt;4,"Bad handling")</f>
        <v>Bad handling</v>
      </c>
      <c r="I62" t="str">
        <f t="shared" si="1"/>
        <v>Weekend sale</v>
      </c>
    </row>
    <row r="63" spans="1:9" x14ac:dyDescent="0.3">
      <c r="A63" s="1">
        <v>45668.022383575626</v>
      </c>
      <c r="B63" t="s">
        <v>46</v>
      </c>
      <c r="C63" t="s">
        <v>45</v>
      </c>
      <c r="D63" t="s">
        <v>59</v>
      </c>
      <c r="E63" s="1">
        <v>45668.070701797667</v>
      </c>
      <c r="F63" s="3">
        <v>455.34</v>
      </c>
      <c r="G63" s="5">
        <f t="shared" ca="1" si="0"/>
        <v>4.8318222041416448E-2</v>
      </c>
      <c r="H63" t="str" cm="1">
        <f t="array" aca="1" ref="H63" ca="1">_xlfn.IFS(G63&lt;2,"Excellent handling",AND(G63&gt;2,G63&lt;4)," ",G63&gt;4,"Bad handling")</f>
        <v>Excellent handling</v>
      </c>
      <c r="I63" t="str">
        <f t="shared" si="1"/>
        <v>Weekend sale</v>
      </c>
    </row>
    <row r="64" spans="1:9" x14ac:dyDescent="0.3">
      <c r="A64" s="1">
        <v>45695.303187318503</v>
      </c>
      <c r="B64" t="s">
        <v>12</v>
      </c>
      <c r="C64" t="s">
        <v>8</v>
      </c>
      <c r="D64" t="s">
        <v>56</v>
      </c>
      <c r="E64" s="1">
        <v>45698.06374039322</v>
      </c>
      <c r="F64" s="3">
        <v>696.53</v>
      </c>
      <c r="G64" s="5">
        <f t="shared" ca="1" si="0"/>
        <v>2.7605530747168814</v>
      </c>
      <c r="H64" t="str" cm="1">
        <f t="array" aca="1" ref="H64" ca="1">_xlfn.IFS(G64&lt;2,"Excellent handling",AND(G64&gt;2,G64&lt;4)," ",G64&gt;4,"Bad handling")</f>
        <v xml:space="preserve"> </v>
      </c>
      <c r="I64" t="str">
        <f t="shared" si="1"/>
        <v xml:space="preserve"> </v>
      </c>
    </row>
    <row r="65" spans="1:9" x14ac:dyDescent="0.3">
      <c r="A65" s="1">
        <v>45662.26091418849</v>
      </c>
      <c r="B65" t="s">
        <v>43</v>
      </c>
      <c r="C65" t="s">
        <v>41</v>
      </c>
      <c r="D65" t="s">
        <v>57</v>
      </c>
      <c r="E65" s="1">
        <v>45666.123910722978</v>
      </c>
      <c r="F65" s="3">
        <v>592.29999999999995</v>
      </c>
      <c r="G65" s="5">
        <f t="shared" ca="1" si="0"/>
        <v>3.8629965344880475</v>
      </c>
      <c r="H65" t="str" cm="1">
        <f t="array" aca="1" ref="H65" ca="1">_xlfn.IFS(G65&lt;2,"Excellent handling",AND(G65&gt;2,G65&lt;4)," ",G65&gt;4,"Bad handling")</f>
        <v xml:space="preserve"> </v>
      </c>
      <c r="I65" t="str">
        <f t="shared" si="1"/>
        <v>Weekend sale</v>
      </c>
    </row>
    <row r="66" spans="1:9" x14ac:dyDescent="0.3">
      <c r="A66" s="1">
        <v>45650.85138068036</v>
      </c>
      <c r="B66" t="s">
        <v>36</v>
      </c>
      <c r="C66" t="s">
        <v>35</v>
      </c>
      <c r="D66" t="s">
        <v>55</v>
      </c>
      <c r="E66" s="1">
        <v>45655.747270807406</v>
      </c>
      <c r="F66" s="3">
        <v>437.47</v>
      </c>
      <c r="G66" s="5">
        <f t="shared" ca="1" si="0"/>
        <v>4.895890127045277</v>
      </c>
      <c r="H66" t="str" cm="1">
        <f t="array" aca="1" ref="H66" ca="1">_xlfn.IFS(G66&lt;2,"Excellent handling",AND(G66&gt;2,G66&lt;4)," ",G66&gt;4,"Bad handling")</f>
        <v>Bad handling</v>
      </c>
      <c r="I66" t="str">
        <f t="shared" si="1"/>
        <v xml:space="preserve"> </v>
      </c>
    </row>
    <row r="67" spans="1:9" x14ac:dyDescent="0.3">
      <c r="A67" s="1">
        <v>45659.198770774303</v>
      </c>
      <c r="B67" t="s">
        <v>18</v>
      </c>
      <c r="C67" t="s">
        <v>15</v>
      </c>
      <c r="D67" t="s">
        <v>53</v>
      </c>
      <c r="E67" s="1" t="s">
        <v>65</v>
      </c>
      <c r="F67" s="3">
        <v>307.35000000000002</v>
      </c>
      <c r="G67" s="5">
        <f t="shared" ref="G67:G130" ca="1" si="2">IF(ISTEXT(E67),TODAY(),E67)-A67</f>
        <v>395.80122922569717</v>
      </c>
      <c r="H67" t="str" cm="1">
        <f t="array" aca="1" ref="H67" ca="1">_xlfn.IFS(G67&lt;2,"Excellent handling",AND(G67&gt;2,G67&lt;4)," ",G67&gt;4,"Bad handling")</f>
        <v>Bad handling</v>
      </c>
      <c r="I67" t="str">
        <f t="shared" ref="I67:I130" si="3">IF(OR(WEEKDAY(A67)=7,WEEKDAY(A67)=1),"Weekend sale"," ")</f>
        <v xml:space="preserve"> </v>
      </c>
    </row>
    <row r="68" spans="1:9" x14ac:dyDescent="0.3">
      <c r="A68" s="1">
        <v>45658.733204337717</v>
      </c>
      <c r="B68" t="s">
        <v>34</v>
      </c>
      <c r="C68" t="s">
        <v>30</v>
      </c>
      <c r="D68" t="s">
        <v>61</v>
      </c>
      <c r="E68" s="1">
        <v>45658.87199109661</v>
      </c>
      <c r="F68" s="3">
        <v>335.94</v>
      </c>
      <c r="G68" s="5">
        <f t="shared" ca="1" si="2"/>
        <v>0.13878675889282022</v>
      </c>
      <c r="H68" t="str" cm="1">
        <f t="array" aca="1" ref="H68" ca="1">_xlfn.IFS(G68&lt;2,"Excellent handling",AND(G68&gt;2,G68&lt;4)," ",G68&gt;4,"Bad handling")</f>
        <v>Excellent handling</v>
      </c>
      <c r="I68" t="str">
        <f t="shared" si="3"/>
        <v xml:space="preserve"> </v>
      </c>
    </row>
    <row r="69" spans="1:9" x14ac:dyDescent="0.3">
      <c r="A69" s="1">
        <v>45684.450745114023</v>
      </c>
      <c r="B69" t="s">
        <v>13</v>
      </c>
      <c r="C69" t="s">
        <v>8</v>
      </c>
      <c r="D69" t="s">
        <v>57</v>
      </c>
      <c r="E69" s="1">
        <v>45687.99928180212</v>
      </c>
      <c r="F69" s="3">
        <v>418.57</v>
      </c>
      <c r="G69" s="5">
        <f t="shared" ca="1" si="2"/>
        <v>3.5485366880966467</v>
      </c>
      <c r="H69" t="str" cm="1">
        <f t="array" aca="1" ref="H69" ca="1">_xlfn.IFS(G69&lt;2,"Excellent handling",AND(G69&gt;2,G69&lt;4)," ",G69&gt;4,"Bad handling")</f>
        <v xml:space="preserve"> </v>
      </c>
      <c r="I69" t="str">
        <f t="shared" si="3"/>
        <v xml:space="preserve"> </v>
      </c>
    </row>
    <row r="70" spans="1:9" x14ac:dyDescent="0.3">
      <c r="A70" s="1">
        <v>45633.334813245587</v>
      </c>
      <c r="B70" t="s">
        <v>48</v>
      </c>
      <c r="C70" t="s">
        <v>45</v>
      </c>
      <c r="D70" t="s">
        <v>60</v>
      </c>
      <c r="E70" s="1">
        <v>45638.655680839925</v>
      </c>
      <c r="F70" s="3">
        <v>816.6</v>
      </c>
      <c r="G70" s="5">
        <f t="shared" ca="1" si="2"/>
        <v>5.3208675943387789</v>
      </c>
      <c r="H70" t="str" cm="1">
        <f t="array" aca="1" ref="H70" ca="1">_xlfn.IFS(G70&lt;2,"Excellent handling",AND(G70&gt;2,G70&lt;4)," ",G70&gt;4,"Bad handling")</f>
        <v>Bad handling</v>
      </c>
      <c r="I70" t="str">
        <f t="shared" si="3"/>
        <v>Weekend sale</v>
      </c>
    </row>
    <row r="71" spans="1:9" x14ac:dyDescent="0.3">
      <c r="A71" s="1">
        <v>45671.602418591712</v>
      </c>
      <c r="B71" t="s">
        <v>13</v>
      </c>
      <c r="C71" t="s">
        <v>8</v>
      </c>
      <c r="D71" t="s">
        <v>57</v>
      </c>
      <c r="E71" s="1">
        <v>45676.554351867991</v>
      </c>
      <c r="F71" s="3">
        <v>559.28</v>
      </c>
      <c r="G71" s="5">
        <f t="shared" ca="1" si="2"/>
        <v>4.9519332762793056</v>
      </c>
      <c r="H71" t="str" cm="1">
        <f t="array" aca="1" ref="H71" ca="1">_xlfn.IFS(G71&lt;2,"Excellent handling",AND(G71&gt;2,G71&lt;4)," ",G71&gt;4,"Bad handling")</f>
        <v>Bad handling</v>
      </c>
      <c r="I71" t="str">
        <f t="shared" si="3"/>
        <v xml:space="preserve"> </v>
      </c>
    </row>
    <row r="72" spans="1:9" x14ac:dyDescent="0.3">
      <c r="A72" s="1">
        <v>45669.331099918163</v>
      </c>
      <c r="B72" t="s">
        <v>13</v>
      </c>
      <c r="C72" t="s">
        <v>8</v>
      </c>
      <c r="D72" t="s">
        <v>57</v>
      </c>
      <c r="E72" s="1">
        <v>45671.86425842141</v>
      </c>
      <c r="F72" s="3">
        <v>565.25</v>
      </c>
      <c r="G72" s="5">
        <f t="shared" ca="1" si="2"/>
        <v>2.5331585032472503</v>
      </c>
      <c r="H72" t="str" cm="1">
        <f t="array" aca="1" ref="H72" ca="1">_xlfn.IFS(G72&lt;2,"Excellent handling",AND(G72&gt;2,G72&lt;4)," ",G72&gt;4,"Bad handling")</f>
        <v xml:space="preserve"> </v>
      </c>
      <c r="I72" t="str">
        <f t="shared" si="3"/>
        <v>Weekend sale</v>
      </c>
    </row>
    <row r="73" spans="1:9" x14ac:dyDescent="0.3">
      <c r="A73" s="1">
        <v>45694.43598109077</v>
      </c>
      <c r="B73" t="s">
        <v>46</v>
      </c>
      <c r="C73" t="s">
        <v>45</v>
      </c>
      <c r="D73" t="s">
        <v>59</v>
      </c>
      <c r="E73" s="1">
        <v>45695.880088082929</v>
      </c>
      <c r="F73" s="3">
        <v>52.65</v>
      </c>
      <c r="G73" s="5">
        <f t="shared" ca="1" si="2"/>
        <v>1.4441069921595044</v>
      </c>
      <c r="H73" t="str" cm="1">
        <f t="array" aca="1" ref="H73" ca="1">_xlfn.IFS(G73&lt;2,"Excellent handling",AND(G73&gt;2,G73&lt;4)," ",G73&gt;4,"Bad handling")</f>
        <v>Excellent handling</v>
      </c>
      <c r="I73" t="str">
        <f t="shared" si="3"/>
        <v xml:space="preserve"> </v>
      </c>
    </row>
    <row r="74" spans="1:9" x14ac:dyDescent="0.3">
      <c r="A74" s="1">
        <v>45644.291278306824</v>
      </c>
      <c r="B74" t="s">
        <v>16</v>
      </c>
      <c r="C74" t="s">
        <v>15</v>
      </c>
      <c r="D74" t="s">
        <v>60</v>
      </c>
      <c r="E74" s="1" t="s">
        <v>66</v>
      </c>
      <c r="F74" s="3">
        <v>41.87</v>
      </c>
      <c r="G74" s="5">
        <f t="shared" ca="1" si="2"/>
        <v>410.7087216931759</v>
      </c>
      <c r="H74" t="str" cm="1">
        <f t="array" aca="1" ref="H74" ca="1">_xlfn.IFS(G74&lt;2,"Excellent handling",AND(G74&gt;2,G74&lt;4)," ",G74&gt;4,"Bad handling")</f>
        <v>Bad handling</v>
      </c>
      <c r="I74" t="str">
        <f t="shared" si="3"/>
        <v xml:space="preserve"> </v>
      </c>
    </row>
    <row r="75" spans="1:9" x14ac:dyDescent="0.3">
      <c r="A75" s="1">
        <v>45642.793994535612</v>
      </c>
      <c r="B75" t="s">
        <v>24</v>
      </c>
      <c r="C75" t="s">
        <v>22</v>
      </c>
      <c r="D75" t="s">
        <v>54</v>
      </c>
      <c r="E75" s="1">
        <v>45645.36731310984</v>
      </c>
      <c r="F75" s="3">
        <v>169.63</v>
      </c>
      <c r="G75" s="5">
        <f t="shared" ca="1" si="2"/>
        <v>2.573318574228324</v>
      </c>
      <c r="H75" t="str" cm="1">
        <f t="array" aca="1" ref="H75" ca="1">_xlfn.IFS(G75&lt;2,"Excellent handling",AND(G75&gt;2,G75&lt;4)," ",G75&gt;4,"Bad handling")</f>
        <v xml:space="preserve"> </v>
      </c>
      <c r="I75" t="str">
        <f t="shared" si="3"/>
        <v xml:space="preserve"> </v>
      </c>
    </row>
    <row r="76" spans="1:9" x14ac:dyDescent="0.3">
      <c r="A76" s="1">
        <v>45648.60074883778</v>
      </c>
      <c r="B76" t="s">
        <v>24</v>
      </c>
      <c r="C76" t="s">
        <v>22</v>
      </c>
      <c r="D76" t="s">
        <v>54</v>
      </c>
      <c r="E76" s="1">
        <v>45648.823631431165</v>
      </c>
      <c r="F76" s="3">
        <v>813.93</v>
      </c>
      <c r="G76" s="5">
        <f t="shared" ca="1" si="2"/>
        <v>0.22288259338529315</v>
      </c>
      <c r="H76" t="str" cm="1">
        <f t="array" aca="1" ref="H76" ca="1">_xlfn.IFS(G76&lt;2,"Excellent handling",AND(G76&gt;2,G76&lt;4)," ",G76&gt;4,"Bad handling")</f>
        <v>Excellent handling</v>
      </c>
      <c r="I76" t="str">
        <f t="shared" si="3"/>
        <v>Weekend sale</v>
      </c>
    </row>
    <row r="77" spans="1:9" x14ac:dyDescent="0.3">
      <c r="A77" s="1">
        <v>45645.009390849198</v>
      </c>
      <c r="B77" t="s">
        <v>5</v>
      </c>
      <c r="C77" t="s">
        <v>2</v>
      </c>
      <c r="D77" t="s">
        <v>55</v>
      </c>
      <c r="E77" s="1">
        <v>45647.584584501645</v>
      </c>
      <c r="F77" s="3">
        <v>808.92</v>
      </c>
      <c r="G77" s="5">
        <f t="shared" ca="1" si="2"/>
        <v>2.5751936524466146</v>
      </c>
      <c r="H77" t="str" cm="1">
        <f t="array" aca="1" ref="H77" ca="1">_xlfn.IFS(G77&lt;2,"Excellent handling",AND(G77&gt;2,G77&lt;4)," ",G77&gt;4,"Bad handling")</f>
        <v xml:space="preserve"> </v>
      </c>
      <c r="I77" t="str">
        <f t="shared" si="3"/>
        <v xml:space="preserve"> </v>
      </c>
    </row>
    <row r="78" spans="1:9" x14ac:dyDescent="0.3">
      <c r="A78" s="1">
        <v>45696.380633163717</v>
      </c>
      <c r="B78" t="s">
        <v>13</v>
      </c>
      <c r="C78" t="s">
        <v>8</v>
      </c>
      <c r="D78" t="s">
        <v>57</v>
      </c>
      <c r="E78" s="1">
        <v>45699.287325454643</v>
      </c>
      <c r="F78" s="3">
        <v>225.4</v>
      </c>
      <c r="G78" s="5">
        <f t="shared" ca="1" si="2"/>
        <v>2.9066922909260029</v>
      </c>
      <c r="H78" t="str" cm="1">
        <f t="array" aca="1" ref="H78" ca="1">_xlfn.IFS(G78&lt;2,"Excellent handling",AND(G78&gt;2,G78&lt;4)," ",G78&gt;4,"Bad handling")</f>
        <v xml:space="preserve"> </v>
      </c>
      <c r="I78" t="str">
        <f t="shared" si="3"/>
        <v>Weekend sale</v>
      </c>
    </row>
    <row r="79" spans="1:9" x14ac:dyDescent="0.3">
      <c r="A79" s="1">
        <v>45638.0468182349</v>
      </c>
      <c r="B79" t="s">
        <v>17</v>
      </c>
      <c r="C79" t="s">
        <v>15</v>
      </c>
      <c r="D79" t="s">
        <v>54</v>
      </c>
      <c r="E79" s="1">
        <v>45639.773607487245</v>
      </c>
      <c r="F79" s="3">
        <v>274.88</v>
      </c>
      <c r="G79" s="5">
        <f t="shared" ca="1" si="2"/>
        <v>1.7267892523450428</v>
      </c>
      <c r="H79" t="str" cm="1">
        <f t="array" aca="1" ref="H79" ca="1">_xlfn.IFS(G79&lt;2,"Excellent handling",AND(G79&gt;2,G79&lt;4)," ",G79&gt;4,"Bad handling")</f>
        <v>Excellent handling</v>
      </c>
      <c r="I79" t="str">
        <f t="shared" si="3"/>
        <v xml:space="preserve"> </v>
      </c>
    </row>
    <row r="80" spans="1:9" x14ac:dyDescent="0.3">
      <c r="A80" s="1">
        <v>45684.845664171415</v>
      </c>
      <c r="B80" t="s">
        <v>18</v>
      </c>
      <c r="C80" t="s">
        <v>15</v>
      </c>
      <c r="D80" t="s">
        <v>53</v>
      </c>
      <c r="E80" s="1">
        <v>45686.180459801733</v>
      </c>
      <c r="F80" s="3">
        <v>561.76</v>
      </c>
      <c r="G80" s="5">
        <f t="shared" ca="1" si="2"/>
        <v>1.3347956303186947</v>
      </c>
      <c r="H80" t="str" cm="1">
        <f t="array" aca="1" ref="H80" ca="1">_xlfn.IFS(G80&lt;2,"Excellent handling",AND(G80&gt;2,G80&lt;4)," ",G80&gt;4,"Bad handling")</f>
        <v>Excellent handling</v>
      </c>
      <c r="I80" t="str">
        <f t="shared" si="3"/>
        <v xml:space="preserve"> </v>
      </c>
    </row>
    <row r="81" spans="1:9" x14ac:dyDescent="0.3">
      <c r="A81" s="1">
        <v>45672.659427777289</v>
      </c>
      <c r="B81" t="s">
        <v>3</v>
      </c>
      <c r="C81" t="s">
        <v>2</v>
      </c>
      <c r="D81" t="s">
        <v>54</v>
      </c>
      <c r="E81" s="1">
        <v>45673.733316955244</v>
      </c>
      <c r="F81" s="3">
        <v>411.43</v>
      </c>
      <c r="G81" s="5">
        <f t="shared" ca="1" si="2"/>
        <v>1.0738891779546975</v>
      </c>
      <c r="H81" t="str" cm="1">
        <f t="array" aca="1" ref="H81" ca="1">_xlfn.IFS(G81&lt;2,"Excellent handling",AND(G81&gt;2,G81&lt;4)," ",G81&gt;4,"Bad handling")</f>
        <v>Excellent handling</v>
      </c>
      <c r="I81" t="str">
        <f t="shared" si="3"/>
        <v xml:space="preserve"> </v>
      </c>
    </row>
    <row r="82" spans="1:9" x14ac:dyDescent="0.3">
      <c r="A82" s="1">
        <v>45662.711638946588</v>
      </c>
      <c r="B82" t="s">
        <v>39</v>
      </c>
      <c r="C82" t="s">
        <v>38</v>
      </c>
      <c r="D82" t="s">
        <v>57</v>
      </c>
      <c r="E82" s="1">
        <v>45663.988706297845</v>
      </c>
      <c r="F82" s="3">
        <v>192.03</v>
      </c>
      <c r="G82" s="5">
        <f t="shared" ca="1" si="2"/>
        <v>1.2770673512568465</v>
      </c>
      <c r="H82" t="str" cm="1">
        <f t="array" aca="1" ref="H82" ca="1">_xlfn.IFS(G82&lt;2,"Excellent handling",AND(G82&gt;2,G82&lt;4)," ",G82&gt;4,"Bad handling")</f>
        <v>Excellent handling</v>
      </c>
      <c r="I82" t="str">
        <f t="shared" si="3"/>
        <v>Weekend sale</v>
      </c>
    </row>
    <row r="83" spans="1:9" x14ac:dyDescent="0.3">
      <c r="A83" s="1">
        <v>45634.781121411819</v>
      </c>
      <c r="B83" t="s">
        <v>23</v>
      </c>
      <c r="C83" t="s">
        <v>22</v>
      </c>
      <c r="D83" t="s">
        <v>61</v>
      </c>
      <c r="E83" s="1">
        <v>45637.736794047414</v>
      </c>
      <c r="F83" s="3">
        <v>754.57</v>
      </c>
      <c r="G83" s="5">
        <f t="shared" ca="1" si="2"/>
        <v>2.955672635594965</v>
      </c>
      <c r="H83" t="str" cm="1">
        <f t="array" aca="1" ref="H83" ca="1">_xlfn.IFS(G83&lt;2,"Excellent handling",AND(G83&gt;2,G83&lt;4)," ",G83&gt;4,"Bad handling")</f>
        <v xml:space="preserve"> </v>
      </c>
      <c r="I83" t="str">
        <f t="shared" si="3"/>
        <v>Weekend sale</v>
      </c>
    </row>
    <row r="84" spans="1:9" x14ac:dyDescent="0.3">
      <c r="A84" s="1">
        <v>45680.034220084352</v>
      </c>
      <c r="B84" t="s">
        <v>9</v>
      </c>
      <c r="C84" t="s">
        <v>8</v>
      </c>
      <c r="D84" t="s">
        <v>54</v>
      </c>
      <c r="E84" s="1">
        <v>45682.370189308873</v>
      </c>
      <c r="F84" s="3">
        <v>321.49</v>
      </c>
      <c r="G84" s="5">
        <f t="shared" ca="1" si="2"/>
        <v>2.33596922452125</v>
      </c>
      <c r="H84" t="str" cm="1">
        <f t="array" aca="1" ref="H84" ca="1">_xlfn.IFS(G84&lt;2,"Excellent handling",AND(G84&gt;2,G84&lt;4)," ",G84&gt;4,"Bad handling")</f>
        <v xml:space="preserve"> </v>
      </c>
      <c r="I84" t="str">
        <f t="shared" si="3"/>
        <v xml:space="preserve"> </v>
      </c>
    </row>
    <row r="85" spans="1:9" x14ac:dyDescent="0.3">
      <c r="A85" s="1">
        <v>45683.562642186444</v>
      </c>
      <c r="B85" t="s">
        <v>27</v>
      </c>
      <c r="C85" t="s">
        <v>26</v>
      </c>
      <c r="D85" t="s">
        <v>55</v>
      </c>
      <c r="E85" s="1">
        <v>45685.650443722392</v>
      </c>
      <c r="F85" s="3">
        <v>372.21</v>
      </c>
      <c r="G85" s="5">
        <f t="shared" ca="1" si="2"/>
        <v>2.0878015359485289</v>
      </c>
      <c r="H85" t="str" cm="1">
        <f t="array" aca="1" ref="H85" ca="1">_xlfn.IFS(G85&lt;2,"Excellent handling",AND(G85&gt;2,G85&lt;4)," ",G85&gt;4,"Bad handling")</f>
        <v xml:space="preserve"> </v>
      </c>
      <c r="I85" t="str">
        <f t="shared" si="3"/>
        <v>Weekend sale</v>
      </c>
    </row>
    <row r="86" spans="1:9" x14ac:dyDescent="0.3">
      <c r="A86" s="1">
        <v>45677.685734250503</v>
      </c>
      <c r="B86" t="s">
        <v>13</v>
      </c>
      <c r="C86" t="s">
        <v>8</v>
      </c>
      <c r="D86" t="s">
        <v>57</v>
      </c>
      <c r="E86" s="1">
        <v>45679.03798159134</v>
      </c>
      <c r="F86" s="3">
        <v>604.39</v>
      </c>
      <c r="G86" s="5">
        <f t="shared" ca="1" si="2"/>
        <v>1.3522473408374935</v>
      </c>
      <c r="H86" t="str" cm="1">
        <f t="array" aca="1" ref="H86" ca="1">_xlfn.IFS(G86&lt;2,"Excellent handling",AND(G86&gt;2,G86&lt;4)," ",G86&gt;4,"Bad handling")</f>
        <v>Excellent handling</v>
      </c>
      <c r="I86" t="str">
        <f t="shared" si="3"/>
        <v xml:space="preserve"> </v>
      </c>
    </row>
    <row r="87" spans="1:9" x14ac:dyDescent="0.3">
      <c r="A87" s="1">
        <v>45692.530938458869</v>
      </c>
      <c r="B87" t="s">
        <v>24</v>
      </c>
      <c r="C87" t="s">
        <v>22</v>
      </c>
      <c r="D87" t="s">
        <v>54</v>
      </c>
      <c r="E87" s="1">
        <v>45693.349690995892</v>
      </c>
      <c r="F87" s="3">
        <v>841.69</v>
      </c>
      <c r="G87" s="5">
        <f t="shared" ca="1" si="2"/>
        <v>0.81875253702310147</v>
      </c>
      <c r="H87" t="str" cm="1">
        <f t="array" aca="1" ref="H87" ca="1">_xlfn.IFS(G87&lt;2,"Excellent handling",AND(G87&gt;2,G87&lt;4)," ",G87&gt;4,"Bad handling")</f>
        <v>Excellent handling</v>
      </c>
      <c r="I87" t="str">
        <f t="shared" si="3"/>
        <v xml:space="preserve"> </v>
      </c>
    </row>
    <row r="88" spans="1:9" x14ac:dyDescent="0.3">
      <c r="A88" s="1">
        <v>45635.732414728845</v>
      </c>
      <c r="B88" t="s">
        <v>49</v>
      </c>
      <c r="C88" t="s">
        <v>45</v>
      </c>
      <c r="D88" t="s">
        <v>60</v>
      </c>
      <c r="E88" s="1">
        <v>45637.013841339445</v>
      </c>
      <c r="F88" s="3">
        <v>171.69</v>
      </c>
      <c r="G88" s="5">
        <f t="shared" ca="1" si="2"/>
        <v>1.2814266105997376</v>
      </c>
      <c r="H88" t="str" cm="1">
        <f t="array" aca="1" ref="H88" ca="1">_xlfn.IFS(G88&lt;2,"Excellent handling",AND(G88&gt;2,G88&lt;4)," ",G88&gt;4,"Bad handling")</f>
        <v>Excellent handling</v>
      </c>
      <c r="I88" t="str">
        <f t="shared" si="3"/>
        <v xml:space="preserve"> </v>
      </c>
    </row>
    <row r="89" spans="1:9" x14ac:dyDescent="0.3">
      <c r="A89" s="1">
        <v>45687.953894725746</v>
      </c>
      <c r="B89" t="s">
        <v>36</v>
      </c>
      <c r="C89" t="s">
        <v>35</v>
      </c>
      <c r="D89" t="s">
        <v>55</v>
      </c>
      <c r="E89" s="1">
        <v>45689.114063302819</v>
      </c>
      <c r="F89" s="3">
        <v>431.57</v>
      </c>
      <c r="G89" s="5">
        <f t="shared" ca="1" si="2"/>
        <v>1.1601685770729091</v>
      </c>
      <c r="H89" t="str" cm="1">
        <f t="array" aca="1" ref="H89" ca="1">_xlfn.IFS(G89&lt;2,"Excellent handling",AND(G89&gt;2,G89&lt;4)," ",G89&gt;4,"Bad handling")</f>
        <v>Excellent handling</v>
      </c>
      <c r="I89" t="str">
        <f t="shared" si="3"/>
        <v xml:space="preserve"> </v>
      </c>
    </row>
    <row r="90" spans="1:9" x14ac:dyDescent="0.3">
      <c r="A90" s="1">
        <v>45655.756663361426</v>
      </c>
      <c r="B90" t="s">
        <v>44</v>
      </c>
      <c r="C90" t="s">
        <v>41</v>
      </c>
      <c r="D90" t="s">
        <v>62</v>
      </c>
      <c r="E90" s="1">
        <v>45656.722520187817</v>
      </c>
      <c r="F90" s="3">
        <v>108.19</v>
      </c>
      <c r="G90" s="5">
        <f t="shared" ca="1" si="2"/>
        <v>0.9658568263912457</v>
      </c>
      <c r="H90" t="str" cm="1">
        <f t="array" aca="1" ref="H90" ca="1">_xlfn.IFS(G90&lt;2,"Excellent handling",AND(G90&gt;2,G90&lt;4)," ",G90&gt;4,"Bad handling")</f>
        <v>Excellent handling</v>
      </c>
      <c r="I90" t="str">
        <f t="shared" si="3"/>
        <v>Weekend sale</v>
      </c>
    </row>
    <row r="91" spans="1:9" x14ac:dyDescent="0.3">
      <c r="A91" s="1">
        <v>45639.983525728399</v>
      </c>
      <c r="B91" t="s">
        <v>7</v>
      </c>
      <c r="C91" t="s">
        <v>2</v>
      </c>
      <c r="D91" t="s">
        <v>54</v>
      </c>
      <c r="E91" s="1">
        <v>45640.498121291246</v>
      </c>
      <c r="F91" s="3">
        <v>288.44</v>
      </c>
      <c r="G91" s="5">
        <f t="shared" ca="1" si="2"/>
        <v>0.5145955628468073</v>
      </c>
      <c r="H91" t="str" cm="1">
        <f t="array" aca="1" ref="H91" ca="1">_xlfn.IFS(G91&lt;2,"Excellent handling",AND(G91&gt;2,G91&lt;4)," ",G91&gt;4,"Bad handling")</f>
        <v>Excellent handling</v>
      </c>
      <c r="I91" t="str">
        <f t="shared" si="3"/>
        <v xml:space="preserve"> </v>
      </c>
    </row>
    <row r="92" spans="1:9" x14ac:dyDescent="0.3">
      <c r="A92" s="1">
        <v>45668.893074589818</v>
      </c>
      <c r="B92" t="s">
        <v>37</v>
      </c>
      <c r="C92" t="s">
        <v>35</v>
      </c>
      <c r="D92" t="s">
        <v>60</v>
      </c>
      <c r="E92" s="1">
        <v>45671.319377152555</v>
      </c>
      <c r="F92" s="3">
        <v>481.54</v>
      </c>
      <c r="G92" s="5">
        <f t="shared" ca="1" si="2"/>
        <v>2.4263025627369643</v>
      </c>
      <c r="H92" t="str" cm="1">
        <f t="array" aca="1" ref="H92" ca="1">_xlfn.IFS(G92&lt;2,"Excellent handling",AND(G92&gt;2,G92&lt;4)," ",G92&gt;4,"Bad handling")</f>
        <v xml:space="preserve"> </v>
      </c>
      <c r="I92" t="str">
        <f t="shared" si="3"/>
        <v>Weekend sale</v>
      </c>
    </row>
    <row r="93" spans="1:9" x14ac:dyDescent="0.3">
      <c r="A93" s="1">
        <v>45627.64458906083</v>
      </c>
      <c r="B93" t="s">
        <v>43</v>
      </c>
      <c r="C93" t="s">
        <v>41</v>
      </c>
      <c r="D93" t="s">
        <v>57</v>
      </c>
      <c r="E93" s="1">
        <v>45630.422926188447</v>
      </c>
      <c r="F93" s="3">
        <v>307.33999999999997</v>
      </c>
      <c r="G93" s="5">
        <f t="shared" ca="1" si="2"/>
        <v>2.7783371276163962</v>
      </c>
      <c r="H93" t="str" cm="1">
        <f t="array" aca="1" ref="H93" ca="1">_xlfn.IFS(G93&lt;2,"Excellent handling",AND(G93&gt;2,G93&lt;4)," ",G93&gt;4,"Bad handling")</f>
        <v xml:space="preserve"> </v>
      </c>
      <c r="I93" t="str">
        <f t="shared" si="3"/>
        <v>Weekend sale</v>
      </c>
    </row>
    <row r="94" spans="1:9" x14ac:dyDescent="0.3">
      <c r="A94" s="1">
        <v>45644.539604696831</v>
      </c>
      <c r="B94" t="s">
        <v>31</v>
      </c>
      <c r="C94" t="s">
        <v>30</v>
      </c>
      <c r="D94" t="s">
        <v>56</v>
      </c>
      <c r="E94" s="1">
        <v>45644.583070652254</v>
      </c>
      <c r="F94" s="3">
        <v>132.93</v>
      </c>
      <c r="G94" s="5">
        <f t="shared" ca="1" si="2"/>
        <v>4.3465955423016567E-2</v>
      </c>
      <c r="H94" t="str" cm="1">
        <f t="array" aca="1" ref="H94" ca="1">_xlfn.IFS(G94&lt;2,"Excellent handling",AND(G94&gt;2,G94&lt;4)," ",G94&gt;4,"Bad handling")</f>
        <v>Excellent handling</v>
      </c>
      <c r="I94" t="str">
        <f t="shared" si="3"/>
        <v xml:space="preserve"> </v>
      </c>
    </row>
    <row r="95" spans="1:9" x14ac:dyDescent="0.3">
      <c r="A95" s="1">
        <v>45662.187183465365</v>
      </c>
      <c r="B95" t="s">
        <v>9</v>
      </c>
      <c r="C95" t="s">
        <v>8</v>
      </c>
      <c r="D95" t="s">
        <v>54</v>
      </c>
      <c r="E95" s="1">
        <v>45665.156526922714</v>
      </c>
      <c r="F95" s="3">
        <v>452.58</v>
      </c>
      <c r="G95" s="5">
        <f t="shared" ca="1" si="2"/>
        <v>2.9693434573491686</v>
      </c>
      <c r="H95" t="str" cm="1">
        <f t="array" aca="1" ref="H95" ca="1">_xlfn.IFS(G95&lt;2,"Excellent handling",AND(G95&gt;2,G95&lt;4)," ",G95&gt;4,"Bad handling")</f>
        <v xml:space="preserve"> </v>
      </c>
      <c r="I95" t="str">
        <f t="shared" si="3"/>
        <v>Weekend sale</v>
      </c>
    </row>
    <row r="96" spans="1:9" x14ac:dyDescent="0.3">
      <c r="A96" s="1">
        <v>45672.805946614921</v>
      </c>
      <c r="B96" t="s">
        <v>11</v>
      </c>
      <c r="C96" t="s">
        <v>8</v>
      </c>
      <c r="D96" t="s">
        <v>57</v>
      </c>
      <c r="E96" s="1">
        <v>45675.828513500754</v>
      </c>
      <c r="F96" s="3">
        <v>387.25</v>
      </c>
      <c r="G96" s="5">
        <f t="shared" ca="1" si="2"/>
        <v>3.02256688583293</v>
      </c>
      <c r="H96" t="str" cm="1">
        <f t="array" aca="1" ref="H96" ca="1">_xlfn.IFS(G96&lt;2,"Excellent handling",AND(G96&gt;2,G96&lt;4)," ",G96&gt;4,"Bad handling")</f>
        <v xml:space="preserve"> </v>
      </c>
      <c r="I96" t="str">
        <f t="shared" si="3"/>
        <v xml:space="preserve"> </v>
      </c>
    </row>
    <row r="97" spans="1:9" x14ac:dyDescent="0.3">
      <c r="A97" s="1">
        <v>45640.643017806746</v>
      </c>
      <c r="B97" t="s">
        <v>11</v>
      </c>
      <c r="C97" t="s">
        <v>8</v>
      </c>
      <c r="D97" t="s">
        <v>57</v>
      </c>
      <c r="E97" s="1">
        <v>45641.729064216088</v>
      </c>
      <c r="F97" s="3">
        <v>228.18</v>
      </c>
      <c r="G97" s="5">
        <f t="shared" ca="1" si="2"/>
        <v>1.0860464093420887</v>
      </c>
      <c r="H97" t="str" cm="1">
        <f t="array" aca="1" ref="H97" ca="1">_xlfn.IFS(G97&lt;2,"Excellent handling",AND(G97&gt;2,G97&lt;4)," ",G97&gt;4,"Bad handling")</f>
        <v>Excellent handling</v>
      </c>
      <c r="I97" t="str">
        <f t="shared" si="3"/>
        <v>Weekend sale</v>
      </c>
    </row>
    <row r="98" spans="1:9" x14ac:dyDescent="0.3">
      <c r="A98" s="1">
        <v>45645.389911112383</v>
      </c>
      <c r="B98" t="s">
        <v>24</v>
      </c>
      <c r="C98" t="s">
        <v>22</v>
      </c>
      <c r="D98" t="s">
        <v>54</v>
      </c>
      <c r="E98" s="1">
        <v>45648.25038507516</v>
      </c>
      <c r="F98" s="3">
        <v>139.01</v>
      </c>
      <c r="G98" s="5">
        <f t="shared" ca="1" si="2"/>
        <v>2.8604739627771778</v>
      </c>
      <c r="H98" t="str" cm="1">
        <f t="array" aca="1" ref="H98" ca="1">_xlfn.IFS(G98&lt;2,"Excellent handling",AND(G98&gt;2,G98&lt;4)," ",G98&gt;4,"Bad handling")</f>
        <v xml:space="preserve"> </v>
      </c>
      <c r="I98" t="str">
        <f t="shared" si="3"/>
        <v xml:space="preserve"> </v>
      </c>
    </row>
    <row r="99" spans="1:9" x14ac:dyDescent="0.3">
      <c r="A99" s="1">
        <v>45636.430457044815</v>
      </c>
      <c r="B99" t="s">
        <v>37</v>
      </c>
      <c r="C99" t="s">
        <v>35</v>
      </c>
      <c r="D99" t="s">
        <v>60</v>
      </c>
      <c r="E99" s="1">
        <v>45637.708315629381</v>
      </c>
      <c r="F99" s="3">
        <v>338.47</v>
      </c>
      <c r="G99" s="5">
        <f t="shared" ca="1" si="2"/>
        <v>1.2778585845662747</v>
      </c>
      <c r="H99" t="str" cm="1">
        <f t="array" aca="1" ref="H99" ca="1">_xlfn.IFS(G99&lt;2,"Excellent handling",AND(G99&gt;2,G99&lt;4)," ",G99&gt;4,"Bad handling")</f>
        <v>Excellent handling</v>
      </c>
      <c r="I99" t="str">
        <f t="shared" si="3"/>
        <v xml:space="preserve"> </v>
      </c>
    </row>
    <row r="100" spans="1:9" x14ac:dyDescent="0.3">
      <c r="A100" s="1">
        <v>45650.249812484413</v>
      </c>
      <c r="B100" t="s">
        <v>32</v>
      </c>
      <c r="C100" t="s">
        <v>30</v>
      </c>
      <c r="D100" t="s">
        <v>58</v>
      </c>
      <c r="E100" s="1">
        <v>45652.833387474195</v>
      </c>
      <c r="F100" s="3">
        <v>487.44</v>
      </c>
      <c r="G100" s="5">
        <f t="shared" ca="1" si="2"/>
        <v>2.5835749897814821</v>
      </c>
      <c r="H100" t="str" cm="1">
        <f t="array" aca="1" ref="H100" ca="1">_xlfn.IFS(G100&lt;2,"Excellent handling",AND(G100&gt;2,G100&lt;4)," ",G100&gt;4,"Bad handling")</f>
        <v xml:space="preserve"> </v>
      </c>
      <c r="I100" t="str">
        <f t="shared" si="3"/>
        <v xml:space="preserve"> </v>
      </c>
    </row>
    <row r="101" spans="1:9" x14ac:dyDescent="0.3">
      <c r="A101" s="1">
        <v>45664.112991445363</v>
      </c>
      <c r="B101" t="s">
        <v>6</v>
      </c>
      <c r="C101" t="s">
        <v>2</v>
      </c>
      <c r="D101" t="s">
        <v>58</v>
      </c>
      <c r="E101" s="1">
        <v>45666.574628272385</v>
      </c>
      <c r="F101" s="3">
        <v>227.52</v>
      </c>
      <c r="G101" s="5">
        <f t="shared" ca="1" si="2"/>
        <v>2.4616368270217208</v>
      </c>
      <c r="H101" t="str" cm="1">
        <f t="array" aca="1" ref="H101" ca="1">_xlfn.IFS(G101&lt;2,"Excellent handling",AND(G101&gt;2,G101&lt;4)," ",G101&gt;4,"Bad handling")</f>
        <v xml:space="preserve"> </v>
      </c>
      <c r="I101" t="str">
        <f t="shared" si="3"/>
        <v xml:space="preserve"> </v>
      </c>
    </row>
    <row r="102" spans="1:9" x14ac:dyDescent="0.3">
      <c r="A102" s="1">
        <v>45636.803896343823</v>
      </c>
      <c r="B102" t="s">
        <v>47</v>
      </c>
      <c r="C102" t="s">
        <v>45</v>
      </c>
      <c r="D102" t="s">
        <v>59</v>
      </c>
      <c r="E102" s="1">
        <v>45639.101675302096</v>
      </c>
      <c r="F102" s="3">
        <v>682.1</v>
      </c>
      <c r="G102" s="5">
        <f t="shared" ca="1" si="2"/>
        <v>2.2977789582728292</v>
      </c>
      <c r="H102" t="str" cm="1">
        <f t="array" aca="1" ref="H102" ca="1">_xlfn.IFS(G102&lt;2,"Excellent handling",AND(G102&gt;2,G102&lt;4)," ",G102&gt;4,"Bad handling")</f>
        <v xml:space="preserve"> </v>
      </c>
      <c r="I102" t="str">
        <f t="shared" si="3"/>
        <v xml:space="preserve"> </v>
      </c>
    </row>
    <row r="103" spans="1:9" x14ac:dyDescent="0.3">
      <c r="A103" s="1">
        <v>45674.619269489252</v>
      </c>
      <c r="B103" t="s">
        <v>9</v>
      </c>
      <c r="C103" t="s">
        <v>8</v>
      </c>
      <c r="D103" t="s">
        <v>54</v>
      </c>
      <c r="E103" s="1">
        <v>45675.644783614924</v>
      </c>
      <c r="F103" s="3">
        <v>780.51</v>
      </c>
      <c r="G103" s="5">
        <f t="shared" ca="1" si="2"/>
        <v>1.0255141256711795</v>
      </c>
      <c r="H103" t="str" cm="1">
        <f t="array" aca="1" ref="H103" ca="1">_xlfn.IFS(G103&lt;2,"Excellent handling",AND(G103&gt;2,G103&lt;4)," ",G103&gt;4,"Bad handling")</f>
        <v>Excellent handling</v>
      </c>
      <c r="I103" t="str">
        <f t="shared" si="3"/>
        <v xml:space="preserve"> </v>
      </c>
    </row>
    <row r="104" spans="1:9" x14ac:dyDescent="0.3">
      <c r="A104" s="1">
        <v>45654.1321502473</v>
      </c>
      <c r="B104" t="s">
        <v>17</v>
      </c>
      <c r="C104" t="s">
        <v>15</v>
      </c>
      <c r="D104" t="s">
        <v>54</v>
      </c>
      <c r="E104" s="1">
        <v>45655.152960088613</v>
      </c>
      <c r="F104" s="3">
        <v>488.12</v>
      </c>
      <c r="G104" s="5">
        <f t="shared" ca="1" si="2"/>
        <v>1.0208098413131665</v>
      </c>
      <c r="H104" t="str" cm="1">
        <f t="array" aca="1" ref="H104" ca="1">_xlfn.IFS(G104&lt;2,"Excellent handling",AND(G104&gt;2,G104&lt;4)," ",G104&gt;4,"Bad handling")</f>
        <v>Excellent handling</v>
      </c>
      <c r="I104" t="str">
        <f t="shared" si="3"/>
        <v>Weekend sale</v>
      </c>
    </row>
    <row r="105" spans="1:9" x14ac:dyDescent="0.3">
      <c r="A105" s="1">
        <v>45680.212510143261</v>
      </c>
      <c r="B105" t="s">
        <v>17</v>
      </c>
      <c r="C105" t="s">
        <v>15</v>
      </c>
      <c r="D105" t="s">
        <v>54</v>
      </c>
      <c r="E105" s="1">
        <v>45683.535473873009</v>
      </c>
      <c r="F105" s="3">
        <v>266.32</v>
      </c>
      <c r="G105" s="5">
        <f t="shared" ca="1" si="2"/>
        <v>3.3229637297481531</v>
      </c>
      <c r="H105" t="str" cm="1">
        <f t="array" aca="1" ref="H105" ca="1">_xlfn.IFS(G105&lt;2,"Excellent handling",AND(G105&gt;2,G105&lt;4)," ",G105&gt;4,"Bad handling")</f>
        <v xml:space="preserve"> </v>
      </c>
      <c r="I105" t="str">
        <f t="shared" si="3"/>
        <v xml:space="preserve"> </v>
      </c>
    </row>
    <row r="106" spans="1:9" x14ac:dyDescent="0.3">
      <c r="A106" s="1">
        <v>45668.84644205479</v>
      </c>
      <c r="B106" t="s">
        <v>17</v>
      </c>
      <c r="C106" t="s">
        <v>15</v>
      </c>
      <c r="D106" t="s">
        <v>54</v>
      </c>
      <c r="E106" s="1">
        <v>45671.707746102045</v>
      </c>
      <c r="F106" s="3">
        <v>496.24</v>
      </c>
      <c r="G106" s="5">
        <f t="shared" ca="1" si="2"/>
        <v>2.861304047255544</v>
      </c>
      <c r="H106" t="str" cm="1">
        <f t="array" aca="1" ref="H106" ca="1">_xlfn.IFS(G106&lt;2,"Excellent handling",AND(G106&gt;2,G106&lt;4)," ",G106&gt;4,"Bad handling")</f>
        <v xml:space="preserve"> </v>
      </c>
      <c r="I106" t="str">
        <f t="shared" si="3"/>
        <v>Weekend sale</v>
      </c>
    </row>
    <row r="107" spans="1:9" x14ac:dyDescent="0.3">
      <c r="A107" s="1">
        <v>45661.454471177436</v>
      </c>
      <c r="B107" t="s">
        <v>14</v>
      </c>
      <c r="C107" t="s">
        <v>8</v>
      </c>
      <c r="D107" t="s">
        <v>54</v>
      </c>
      <c r="E107" s="1">
        <v>45665.731220349408</v>
      </c>
      <c r="F107" s="3">
        <v>469.96</v>
      </c>
      <c r="G107" s="5">
        <f t="shared" ca="1" si="2"/>
        <v>4.2767491719714599</v>
      </c>
      <c r="H107" t="str" cm="1">
        <f t="array" aca="1" ref="H107" ca="1">_xlfn.IFS(G107&lt;2,"Excellent handling",AND(G107&gt;2,G107&lt;4)," ",G107&gt;4,"Bad handling")</f>
        <v>Bad handling</v>
      </c>
      <c r="I107" t="str">
        <f t="shared" si="3"/>
        <v>Weekend sale</v>
      </c>
    </row>
    <row r="108" spans="1:9" x14ac:dyDescent="0.3">
      <c r="A108" s="1">
        <v>45646.183723773298</v>
      </c>
      <c r="B108" t="s">
        <v>6</v>
      </c>
      <c r="C108" t="s">
        <v>2</v>
      </c>
      <c r="D108" t="s">
        <v>58</v>
      </c>
      <c r="E108" s="1">
        <v>45646.550677127023</v>
      </c>
      <c r="F108" s="3">
        <v>47.83</v>
      </c>
      <c r="G108" s="5">
        <f t="shared" ca="1" si="2"/>
        <v>0.36695335372496629</v>
      </c>
      <c r="H108" t="str" cm="1">
        <f t="array" aca="1" ref="H108" ca="1">_xlfn.IFS(G108&lt;2,"Excellent handling",AND(G108&gt;2,G108&lt;4)," ",G108&gt;4,"Bad handling")</f>
        <v>Excellent handling</v>
      </c>
      <c r="I108" t="str">
        <f t="shared" si="3"/>
        <v xml:space="preserve"> </v>
      </c>
    </row>
    <row r="109" spans="1:9" x14ac:dyDescent="0.3">
      <c r="A109" s="1">
        <v>45658.874425035341</v>
      </c>
      <c r="B109" t="s">
        <v>19</v>
      </c>
      <c r="C109" t="s">
        <v>15</v>
      </c>
      <c r="D109" t="s">
        <v>58</v>
      </c>
      <c r="E109" s="1">
        <v>45660.589636811601</v>
      </c>
      <c r="F109" s="3">
        <v>776.98</v>
      </c>
      <c r="G109" s="5">
        <f t="shared" ca="1" si="2"/>
        <v>1.7152117762598209</v>
      </c>
      <c r="H109" t="str" cm="1">
        <f t="array" aca="1" ref="H109" ca="1">_xlfn.IFS(G109&lt;2,"Excellent handling",AND(G109&gt;2,G109&lt;4)," ",G109&gt;4,"Bad handling")</f>
        <v>Excellent handling</v>
      </c>
      <c r="I109" t="str">
        <f t="shared" si="3"/>
        <v xml:space="preserve"> </v>
      </c>
    </row>
    <row r="110" spans="1:9" x14ac:dyDescent="0.3">
      <c r="A110" s="1">
        <v>45680.781728712907</v>
      </c>
      <c r="B110" t="s">
        <v>14</v>
      </c>
      <c r="C110" t="s">
        <v>8</v>
      </c>
      <c r="D110" t="s">
        <v>54</v>
      </c>
      <c r="E110" s="1">
        <v>45682.934115131007</v>
      </c>
      <c r="F110" s="3">
        <v>606.07000000000005</v>
      </c>
      <c r="G110" s="5">
        <f t="shared" ca="1" si="2"/>
        <v>2.1523864180999226</v>
      </c>
      <c r="H110" t="str" cm="1">
        <f t="array" aca="1" ref="H110" ca="1">_xlfn.IFS(G110&lt;2,"Excellent handling",AND(G110&gt;2,G110&lt;4)," ",G110&gt;4,"Bad handling")</f>
        <v xml:space="preserve"> </v>
      </c>
      <c r="I110" t="str">
        <f t="shared" si="3"/>
        <v xml:space="preserve"> </v>
      </c>
    </row>
    <row r="111" spans="1:9" x14ac:dyDescent="0.3">
      <c r="A111" s="1">
        <v>45657.837499868532</v>
      </c>
      <c r="B111" t="s">
        <v>14</v>
      </c>
      <c r="C111" t="s">
        <v>8</v>
      </c>
      <c r="D111" t="s">
        <v>54</v>
      </c>
      <c r="E111" s="1">
        <v>45660.344597181545</v>
      </c>
      <c r="F111" s="3">
        <v>844.64</v>
      </c>
      <c r="G111" s="5">
        <f t="shared" ca="1" si="2"/>
        <v>2.5070973130132188</v>
      </c>
      <c r="H111" t="str" cm="1">
        <f t="array" aca="1" ref="H111" ca="1">_xlfn.IFS(G111&lt;2,"Excellent handling",AND(G111&gt;2,G111&lt;4)," ",G111&gt;4,"Bad handling")</f>
        <v xml:space="preserve"> </v>
      </c>
      <c r="I111" t="str">
        <f t="shared" si="3"/>
        <v xml:space="preserve"> </v>
      </c>
    </row>
    <row r="112" spans="1:9" x14ac:dyDescent="0.3">
      <c r="A112" s="1">
        <v>45695.09991520067</v>
      </c>
      <c r="B112" t="s">
        <v>40</v>
      </c>
      <c r="C112" t="s">
        <v>38</v>
      </c>
      <c r="D112" t="s">
        <v>53</v>
      </c>
      <c r="E112" s="1">
        <v>45696.303504418021</v>
      </c>
      <c r="F112" s="3">
        <v>496.49</v>
      </c>
      <c r="G112" s="5">
        <f t="shared" ca="1" si="2"/>
        <v>1.2035892173516913</v>
      </c>
      <c r="H112" t="str" cm="1">
        <f t="array" aca="1" ref="H112" ca="1">_xlfn.IFS(G112&lt;2,"Excellent handling",AND(G112&gt;2,G112&lt;4)," ",G112&gt;4,"Bad handling")</f>
        <v>Excellent handling</v>
      </c>
      <c r="I112" t="str">
        <f t="shared" si="3"/>
        <v xml:space="preserve"> </v>
      </c>
    </row>
    <row r="113" spans="1:9" x14ac:dyDescent="0.3">
      <c r="A113" s="1">
        <v>45664.845532101142</v>
      </c>
      <c r="B113" t="s">
        <v>32</v>
      </c>
      <c r="C113" t="s">
        <v>30</v>
      </c>
      <c r="D113" t="s">
        <v>58</v>
      </c>
      <c r="E113" s="1">
        <v>45670.111822199076</v>
      </c>
      <c r="F113" s="3">
        <v>409.94</v>
      </c>
      <c r="G113" s="5">
        <f t="shared" ca="1" si="2"/>
        <v>5.2662900979339611</v>
      </c>
      <c r="H113" t="str" cm="1">
        <f t="array" aca="1" ref="H113" ca="1">_xlfn.IFS(G113&lt;2,"Excellent handling",AND(G113&gt;2,G113&lt;4)," ",G113&gt;4,"Bad handling")</f>
        <v>Bad handling</v>
      </c>
      <c r="I113" t="str">
        <f t="shared" si="3"/>
        <v xml:space="preserve"> </v>
      </c>
    </row>
    <row r="114" spans="1:9" x14ac:dyDescent="0.3">
      <c r="A114" s="1">
        <v>45671.204347213708</v>
      </c>
      <c r="B114" t="s">
        <v>39</v>
      </c>
      <c r="C114" t="s">
        <v>38</v>
      </c>
      <c r="D114" t="s">
        <v>57</v>
      </c>
      <c r="E114" s="1">
        <v>45673.41944578971</v>
      </c>
      <c r="F114" s="3">
        <v>660.49</v>
      </c>
      <c r="G114" s="5">
        <f t="shared" ca="1" si="2"/>
        <v>2.2150985760017647</v>
      </c>
      <c r="H114" t="str" cm="1">
        <f t="array" aca="1" ref="H114" ca="1">_xlfn.IFS(G114&lt;2,"Excellent handling",AND(G114&gt;2,G114&lt;4)," ",G114&gt;4,"Bad handling")</f>
        <v xml:space="preserve"> </v>
      </c>
      <c r="I114" t="str">
        <f t="shared" si="3"/>
        <v xml:space="preserve"> </v>
      </c>
    </row>
    <row r="115" spans="1:9" x14ac:dyDescent="0.3">
      <c r="A115" s="1">
        <v>45627.414068297112</v>
      </c>
      <c r="B115" t="s">
        <v>29</v>
      </c>
      <c r="C115" t="s">
        <v>26</v>
      </c>
      <c r="D115" t="s">
        <v>61</v>
      </c>
      <c r="E115" s="1" t="s">
        <v>64</v>
      </c>
      <c r="F115" s="3">
        <v>671.44</v>
      </c>
      <c r="G115" s="5">
        <f t="shared" ca="1" si="2"/>
        <v>427.58593170288805</v>
      </c>
      <c r="H115" t="str" cm="1">
        <f t="array" aca="1" ref="H115" ca="1">_xlfn.IFS(G115&lt;2,"Excellent handling",AND(G115&gt;2,G115&lt;4)," ",G115&gt;4,"Bad handling")</f>
        <v>Bad handling</v>
      </c>
      <c r="I115" t="str">
        <f t="shared" si="3"/>
        <v>Weekend sale</v>
      </c>
    </row>
    <row r="116" spans="1:9" x14ac:dyDescent="0.3">
      <c r="A116" s="1">
        <v>45649.523741868834</v>
      </c>
      <c r="B116" t="s">
        <v>28</v>
      </c>
      <c r="C116" t="s">
        <v>26</v>
      </c>
      <c r="D116" t="s">
        <v>60</v>
      </c>
      <c r="E116" s="1">
        <v>45652.475949749423</v>
      </c>
      <c r="F116" s="3">
        <v>443.11</v>
      </c>
      <c r="G116" s="5">
        <f t="shared" ca="1" si="2"/>
        <v>2.9522078805894125</v>
      </c>
      <c r="H116" t="str" cm="1">
        <f t="array" aca="1" ref="H116" ca="1">_xlfn.IFS(G116&lt;2,"Excellent handling",AND(G116&gt;2,G116&lt;4)," ",G116&gt;4,"Bad handling")</f>
        <v xml:space="preserve"> </v>
      </c>
      <c r="I116" t="str">
        <f t="shared" si="3"/>
        <v xml:space="preserve"> </v>
      </c>
    </row>
    <row r="117" spans="1:9" x14ac:dyDescent="0.3">
      <c r="A117" s="1">
        <v>45670.629223520125</v>
      </c>
      <c r="B117" t="s">
        <v>40</v>
      </c>
      <c r="C117" t="s">
        <v>38</v>
      </c>
      <c r="D117" t="s">
        <v>53</v>
      </c>
      <c r="E117" s="1">
        <v>45673.12392063492</v>
      </c>
      <c r="F117" s="3">
        <v>593.02</v>
      </c>
      <c r="G117" s="5">
        <f t="shared" ca="1" si="2"/>
        <v>2.4946971147946897</v>
      </c>
      <c r="H117" t="str" cm="1">
        <f t="array" aca="1" ref="H117" ca="1">_xlfn.IFS(G117&lt;2,"Excellent handling",AND(G117&gt;2,G117&lt;4)," ",G117&gt;4,"Bad handling")</f>
        <v xml:space="preserve"> </v>
      </c>
      <c r="I117" t="str">
        <f t="shared" si="3"/>
        <v xml:space="preserve"> </v>
      </c>
    </row>
    <row r="118" spans="1:9" x14ac:dyDescent="0.3">
      <c r="A118" s="1">
        <v>45676.656211748676</v>
      </c>
      <c r="B118" t="s">
        <v>24</v>
      </c>
      <c r="C118" t="s">
        <v>22</v>
      </c>
      <c r="D118" t="s">
        <v>54</v>
      </c>
      <c r="E118" s="1">
        <v>45679.847886161711</v>
      </c>
      <c r="F118" s="3">
        <v>192.41</v>
      </c>
      <c r="G118" s="5">
        <f t="shared" ca="1" si="2"/>
        <v>3.1916744130357984</v>
      </c>
      <c r="H118" t="str" cm="1">
        <f t="array" aca="1" ref="H118" ca="1">_xlfn.IFS(G118&lt;2,"Excellent handling",AND(G118&gt;2,G118&lt;4)," ",G118&gt;4,"Bad handling")</f>
        <v xml:space="preserve"> </v>
      </c>
      <c r="I118" t="str">
        <f t="shared" si="3"/>
        <v>Weekend sale</v>
      </c>
    </row>
    <row r="119" spans="1:9" x14ac:dyDescent="0.3">
      <c r="A119" s="1">
        <v>45696.684768391795</v>
      </c>
      <c r="B119" t="s">
        <v>5</v>
      </c>
      <c r="C119" t="s">
        <v>2</v>
      </c>
      <c r="D119" t="s">
        <v>55</v>
      </c>
      <c r="E119" s="1">
        <v>45698.859487513721</v>
      </c>
      <c r="F119" s="3">
        <v>662.02</v>
      </c>
      <c r="G119" s="5">
        <f t="shared" ca="1" si="2"/>
        <v>2.174719121925591</v>
      </c>
      <c r="H119" t="str" cm="1">
        <f t="array" aca="1" ref="H119" ca="1">_xlfn.IFS(G119&lt;2,"Excellent handling",AND(G119&gt;2,G119&lt;4)," ",G119&gt;4,"Bad handling")</f>
        <v xml:space="preserve"> </v>
      </c>
      <c r="I119" t="str">
        <f t="shared" si="3"/>
        <v>Weekend sale</v>
      </c>
    </row>
    <row r="120" spans="1:9" x14ac:dyDescent="0.3">
      <c r="A120" s="1">
        <v>45695.859880048105</v>
      </c>
      <c r="B120" t="s">
        <v>10</v>
      </c>
      <c r="C120" t="s">
        <v>8</v>
      </c>
      <c r="D120" t="s">
        <v>55</v>
      </c>
      <c r="E120" s="1">
        <v>45698.592590211483</v>
      </c>
      <c r="F120" s="3">
        <v>517.61</v>
      </c>
      <c r="G120" s="5">
        <f t="shared" ca="1" si="2"/>
        <v>2.7327101633782149</v>
      </c>
      <c r="H120" t="str" cm="1">
        <f t="array" aca="1" ref="H120" ca="1">_xlfn.IFS(G120&lt;2,"Excellent handling",AND(G120&gt;2,G120&lt;4)," ",G120&gt;4,"Bad handling")</f>
        <v xml:space="preserve"> </v>
      </c>
      <c r="I120" t="str">
        <f t="shared" si="3"/>
        <v xml:space="preserve"> </v>
      </c>
    </row>
    <row r="121" spans="1:9" x14ac:dyDescent="0.3">
      <c r="A121" s="1">
        <v>45647.08654832407</v>
      </c>
      <c r="B121" t="s">
        <v>16</v>
      </c>
      <c r="C121" t="s">
        <v>15</v>
      </c>
      <c r="D121" t="s">
        <v>60</v>
      </c>
      <c r="E121" s="1">
        <v>45648.888266948212</v>
      </c>
      <c r="F121" s="3">
        <v>42.47</v>
      </c>
      <c r="G121" s="5">
        <f t="shared" ca="1" si="2"/>
        <v>1.8017186241413583</v>
      </c>
      <c r="H121" t="str" cm="1">
        <f t="array" aca="1" ref="H121" ca="1">_xlfn.IFS(G121&lt;2,"Excellent handling",AND(G121&gt;2,G121&lt;4)," ",G121&gt;4,"Bad handling")</f>
        <v>Excellent handling</v>
      </c>
      <c r="I121" t="str">
        <f t="shared" si="3"/>
        <v>Weekend sale</v>
      </c>
    </row>
    <row r="122" spans="1:9" x14ac:dyDescent="0.3">
      <c r="A122" s="1">
        <v>45656.888498344895</v>
      </c>
      <c r="B122" t="s">
        <v>6</v>
      </c>
      <c r="C122" t="s">
        <v>2</v>
      </c>
      <c r="D122" t="s">
        <v>58</v>
      </c>
      <c r="E122" s="1">
        <v>45660.766935916428</v>
      </c>
      <c r="F122" s="3">
        <v>735.77</v>
      </c>
      <c r="G122" s="5">
        <f t="shared" ca="1" si="2"/>
        <v>3.8784375715331407</v>
      </c>
      <c r="H122" t="str" cm="1">
        <f t="array" aca="1" ref="H122" ca="1">_xlfn.IFS(G122&lt;2,"Excellent handling",AND(G122&gt;2,G122&lt;4)," ",G122&gt;4,"Bad handling")</f>
        <v xml:space="preserve"> </v>
      </c>
      <c r="I122" t="str">
        <f t="shared" si="3"/>
        <v xml:space="preserve"> </v>
      </c>
    </row>
    <row r="123" spans="1:9" x14ac:dyDescent="0.3">
      <c r="A123" s="1">
        <v>45664.728445875655</v>
      </c>
      <c r="B123" t="s">
        <v>18</v>
      </c>
      <c r="C123" t="s">
        <v>15</v>
      </c>
      <c r="D123" t="s">
        <v>53</v>
      </c>
      <c r="E123" s="1">
        <v>45666.147252142582</v>
      </c>
      <c r="F123" s="3">
        <v>296.17</v>
      </c>
      <c r="G123" s="5">
        <f t="shared" ca="1" si="2"/>
        <v>1.4188062669272767</v>
      </c>
      <c r="H123" t="str" cm="1">
        <f t="array" aca="1" ref="H123" ca="1">_xlfn.IFS(G123&lt;2,"Excellent handling",AND(G123&gt;2,G123&lt;4)," ",G123&gt;4,"Bad handling")</f>
        <v>Excellent handling</v>
      </c>
      <c r="I123" t="str">
        <f t="shared" si="3"/>
        <v xml:space="preserve"> </v>
      </c>
    </row>
    <row r="124" spans="1:9" x14ac:dyDescent="0.3">
      <c r="A124" s="1">
        <v>45672.223668216087</v>
      </c>
      <c r="B124" t="s">
        <v>11</v>
      </c>
      <c r="C124" t="s">
        <v>8</v>
      </c>
      <c r="D124" t="s">
        <v>57</v>
      </c>
      <c r="E124" s="1">
        <v>45673.777097105216</v>
      </c>
      <c r="F124" s="3">
        <v>227.78</v>
      </c>
      <c r="G124" s="5">
        <f t="shared" ca="1" si="2"/>
        <v>1.5534288891285541</v>
      </c>
      <c r="H124" t="str" cm="1">
        <f t="array" aca="1" ref="H124" ca="1">_xlfn.IFS(G124&lt;2,"Excellent handling",AND(G124&gt;2,G124&lt;4)," ",G124&gt;4,"Bad handling")</f>
        <v>Excellent handling</v>
      </c>
      <c r="I124" t="str">
        <f t="shared" si="3"/>
        <v xml:space="preserve"> </v>
      </c>
    </row>
    <row r="125" spans="1:9" x14ac:dyDescent="0.3">
      <c r="A125" s="1">
        <v>45684.236771556934</v>
      </c>
      <c r="B125" t="s">
        <v>42</v>
      </c>
      <c r="C125" t="s">
        <v>41</v>
      </c>
      <c r="D125" t="s">
        <v>56</v>
      </c>
      <c r="E125" s="1">
        <v>45687.924951940215</v>
      </c>
      <c r="F125" s="3">
        <v>303.02999999999997</v>
      </c>
      <c r="G125" s="5">
        <f t="shared" ca="1" si="2"/>
        <v>3.6881803832802689</v>
      </c>
      <c r="H125" t="str" cm="1">
        <f t="array" aca="1" ref="H125" ca="1">_xlfn.IFS(G125&lt;2,"Excellent handling",AND(G125&gt;2,G125&lt;4)," ",G125&gt;4,"Bad handling")</f>
        <v xml:space="preserve"> </v>
      </c>
      <c r="I125" t="str">
        <f t="shared" si="3"/>
        <v xml:space="preserve"> </v>
      </c>
    </row>
    <row r="126" spans="1:9" x14ac:dyDescent="0.3">
      <c r="A126" s="1">
        <v>45627.662970008139</v>
      </c>
      <c r="B126" t="s">
        <v>5</v>
      </c>
      <c r="C126" t="s">
        <v>2</v>
      </c>
      <c r="D126" t="s">
        <v>55</v>
      </c>
      <c r="E126" s="1" t="s">
        <v>64</v>
      </c>
      <c r="F126" s="3">
        <v>30.56</v>
      </c>
      <c r="G126" s="5">
        <f t="shared" ca="1" si="2"/>
        <v>427.33702999186062</v>
      </c>
      <c r="H126" t="str" cm="1">
        <f t="array" aca="1" ref="H126" ca="1">_xlfn.IFS(G126&lt;2,"Excellent handling",AND(G126&gt;2,G126&lt;4)," ",G126&gt;4,"Bad handling")</f>
        <v>Bad handling</v>
      </c>
      <c r="I126" t="str">
        <f t="shared" si="3"/>
        <v>Weekend sale</v>
      </c>
    </row>
    <row r="127" spans="1:9" x14ac:dyDescent="0.3">
      <c r="A127" s="1">
        <v>45683.095955814882</v>
      </c>
      <c r="B127" t="s">
        <v>39</v>
      </c>
      <c r="C127" t="s">
        <v>38</v>
      </c>
      <c r="D127" t="s">
        <v>57</v>
      </c>
      <c r="E127" s="1">
        <v>45685.273483018558</v>
      </c>
      <c r="F127" s="3">
        <v>556.16</v>
      </c>
      <c r="G127" s="5">
        <f t="shared" ca="1" si="2"/>
        <v>2.1775272036757087</v>
      </c>
      <c r="H127" t="str" cm="1">
        <f t="array" aca="1" ref="H127" ca="1">_xlfn.IFS(G127&lt;2,"Excellent handling",AND(G127&gt;2,G127&lt;4)," ",G127&gt;4,"Bad handling")</f>
        <v xml:space="preserve"> </v>
      </c>
      <c r="I127" t="str">
        <f t="shared" si="3"/>
        <v>Weekend sale</v>
      </c>
    </row>
    <row r="128" spans="1:9" x14ac:dyDescent="0.3">
      <c r="A128" s="1">
        <v>45696.902784038823</v>
      </c>
      <c r="B128" t="s">
        <v>19</v>
      </c>
      <c r="C128" t="s">
        <v>15</v>
      </c>
      <c r="D128" t="s">
        <v>58</v>
      </c>
      <c r="E128" s="1">
        <v>45699.379165990635</v>
      </c>
      <c r="F128" s="3">
        <v>172.67</v>
      </c>
      <c r="G128" s="5">
        <f t="shared" ca="1" si="2"/>
        <v>2.4763819518120727</v>
      </c>
      <c r="H128" t="str" cm="1">
        <f t="array" aca="1" ref="H128" ca="1">_xlfn.IFS(G128&lt;2,"Excellent handling",AND(G128&gt;2,G128&lt;4)," ",G128&gt;4,"Bad handling")</f>
        <v xml:space="preserve"> </v>
      </c>
      <c r="I128" t="str">
        <f t="shared" si="3"/>
        <v>Weekend sale</v>
      </c>
    </row>
    <row r="129" spans="1:9" x14ac:dyDescent="0.3">
      <c r="A129" s="1">
        <v>45690.513881365128</v>
      </c>
      <c r="B129" t="s">
        <v>11</v>
      </c>
      <c r="C129" t="s">
        <v>8</v>
      </c>
      <c r="D129" t="s">
        <v>57</v>
      </c>
      <c r="E129" s="1">
        <v>45690.88880339911</v>
      </c>
      <c r="F129" s="3">
        <v>622.82000000000005</v>
      </c>
      <c r="G129" s="5">
        <f t="shared" ca="1" si="2"/>
        <v>0.3749220339814201</v>
      </c>
      <c r="H129" t="str" cm="1">
        <f t="array" aca="1" ref="H129" ca="1">_xlfn.IFS(G129&lt;2,"Excellent handling",AND(G129&gt;2,G129&lt;4)," ",G129&gt;4,"Bad handling")</f>
        <v>Excellent handling</v>
      </c>
      <c r="I129" t="str">
        <f t="shared" si="3"/>
        <v>Weekend sale</v>
      </c>
    </row>
    <row r="130" spans="1:9" x14ac:dyDescent="0.3">
      <c r="A130" s="1">
        <v>45633.723639759635</v>
      </c>
      <c r="B130" t="s">
        <v>44</v>
      </c>
      <c r="C130" t="s">
        <v>41</v>
      </c>
      <c r="D130" t="s">
        <v>62</v>
      </c>
      <c r="E130" s="1">
        <v>45638.998864762005</v>
      </c>
      <c r="F130" s="3">
        <v>611.9</v>
      </c>
      <c r="G130" s="5">
        <f t="shared" ca="1" si="2"/>
        <v>5.2752250023695524</v>
      </c>
      <c r="H130" t="str" cm="1">
        <f t="array" aca="1" ref="H130" ca="1">_xlfn.IFS(G130&lt;2,"Excellent handling",AND(G130&gt;2,G130&lt;4)," ",G130&gt;4,"Bad handling")</f>
        <v>Bad handling</v>
      </c>
      <c r="I130" t="str">
        <f t="shared" si="3"/>
        <v>Weekend sale</v>
      </c>
    </row>
    <row r="131" spans="1:9" x14ac:dyDescent="0.3">
      <c r="A131" s="1">
        <v>45686.039699452631</v>
      </c>
      <c r="B131" t="s">
        <v>5</v>
      </c>
      <c r="C131" t="s">
        <v>2</v>
      </c>
      <c r="D131" t="s">
        <v>55</v>
      </c>
      <c r="E131" s="1">
        <v>45687.473555111756</v>
      </c>
      <c r="F131" s="3">
        <v>725.75</v>
      </c>
      <c r="G131" s="5">
        <f t="shared" ref="G131:G194" ca="1" si="4">IF(ISTEXT(E131),TODAY(),E131)-A131</f>
        <v>1.4338556591246743</v>
      </c>
      <c r="H131" t="str" cm="1">
        <f t="array" aca="1" ref="H131" ca="1">_xlfn.IFS(G131&lt;2,"Excellent handling",AND(G131&gt;2,G131&lt;4)," ",G131&gt;4,"Bad handling")</f>
        <v>Excellent handling</v>
      </c>
      <c r="I131" t="str">
        <f t="shared" ref="I131:I194" si="5">IF(OR(WEEKDAY(A131)=7,WEEKDAY(A131)=1),"Weekend sale"," ")</f>
        <v xml:space="preserve"> </v>
      </c>
    </row>
    <row r="132" spans="1:9" x14ac:dyDescent="0.3">
      <c r="A132" s="1">
        <v>45643.246766549571</v>
      </c>
      <c r="B132" t="s">
        <v>16</v>
      </c>
      <c r="C132" t="s">
        <v>15</v>
      </c>
      <c r="D132" t="s">
        <v>60</v>
      </c>
      <c r="E132" s="1">
        <v>45646.059391261784</v>
      </c>
      <c r="F132" s="3">
        <v>193.82</v>
      </c>
      <c r="G132" s="5">
        <f t="shared" ca="1" si="4"/>
        <v>2.8126247122127097</v>
      </c>
      <c r="H132" t="str" cm="1">
        <f t="array" aca="1" ref="H132" ca="1">_xlfn.IFS(G132&lt;2,"Excellent handling",AND(G132&gt;2,G132&lt;4)," ",G132&gt;4,"Bad handling")</f>
        <v xml:space="preserve"> </v>
      </c>
      <c r="I132" t="str">
        <f t="shared" si="5"/>
        <v xml:space="preserve"> </v>
      </c>
    </row>
    <row r="133" spans="1:9" x14ac:dyDescent="0.3">
      <c r="A133" s="1">
        <v>45669.270900182775</v>
      </c>
      <c r="B133" t="s">
        <v>29</v>
      </c>
      <c r="C133" t="s">
        <v>26</v>
      </c>
      <c r="D133" t="s">
        <v>61</v>
      </c>
      <c r="E133" s="1">
        <v>45672.211047834578</v>
      </c>
      <c r="F133" s="3">
        <v>654.35</v>
      </c>
      <c r="G133" s="5">
        <f t="shared" ca="1" si="4"/>
        <v>2.9401476518032723</v>
      </c>
      <c r="H133" t="str" cm="1">
        <f t="array" aca="1" ref="H133" ca="1">_xlfn.IFS(G133&lt;2,"Excellent handling",AND(G133&gt;2,G133&lt;4)," ",G133&gt;4,"Bad handling")</f>
        <v xml:space="preserve"> </v>
      </c>
      <c r="I133" t="str">
        <f t="shared" si="5"/>
        <v>Weekend sale</v>
      </c>
    </row>
    <row r="134" spans="1:9" x14ac:dyDescent="0.3">
      <c r="A134" s="1">
        <v>45642.077726698124</v>
      </c>
      <c r="B134" t="s">
        <v>21</v>
      </c>
      <c r="C134" t="s">
        <v>15</v>
      </c>
      <c r="D134" t="s">
        <v>60</v>
      </c>
      <c r="E134" s="1">
        <v>45643.333960977805</v>
      </c>
      <c r="F134" s="3">
        <v>563.66</v>
      </c>
      <c r="G134" s="5">
        <f t="shared" ca="1" si="4"/>
        <v>1.2562342796809389</v>
      </c>
      <c r="H134" t="str" cm="1">
        <f t="array" aca="1" ref="H134" ca="1">_xlfn.IFS(G134&lt;2,"Excellent handling",AND(G134&gt;2,G134&lt;4)," ",G134&gt;4,"Bad handling")</f>
        <v>Excellent handling</v>
      </c>
      <c r="I134" t="str">
        <f t="shared" si="5"/>
        <v xml:space="preserve"> </v>
      </c>
    </row>
    <row r="135" spans="1:9" x14ac:dyDescent="0.3">
      <c r="A135" s="1">
        <v>45639.274979913193</v>
      </c>
      <c r="B135" t="s">
        <v>48</v>
      </c>
      <c r="C135" t="s">
        <v>45</v>
      </c>
      <c r="D135" t="s">
        <v>60</v>
      </c>
      <c r="E135" s="1">
        <v>45644.586555053538</v>
      </c>
      <c r="F135" s="3">
        <v>243.18</v>
      </c>
      <c r="G135" s="5">
        <f t="shared" ca="1" si="4"/>
        <v>5.311575140345667</v>
      </c>
      <c r="H135" t="str" cm="1">
        <f t="array" aca="1" ref="H135" ca="1">_xlfn.IFS(G135&lt;2,"Excellent handling",AND(G135&gt;2,G135&lt;4)," ",G135&gt;4,"Bad handling")</f>
        <v>Bad handling</v>
      </c>
      <c r="I135" t="str">
        <f t="shared" si="5"/>
        <v xml:space="preserve"> </v>
      </c>
    </row>
    <row r="136" spans="1:9" x14ac:dyDescent="0.3">
      <c r="A136" s="1">
        <v>45641.247970276476</v>
      </c>
      <c r="B136" t="s">
        <v>3</v>
      </c>
      <c r="C136" t="s">
        <v>2</v>
      </c>
      <c r="D136" t="s">
        <v>54</v>
      </c>
      <c r="E136" s="1">
        <v>45643.334875897919</v>
      </c>
      <c r="F136" s="3">
        <v>194.09</v>
      </c>
      <c r="G136" s="5">
        <f t="shared" ca="1" si="4"/>
        <v>2.0869056214432931</v>
      </c>
      <c r="H136" t="str" cm="1">
        <f t="array" aca="1" ref="H136" ca="1">_xlfn.IFS(G136&lt;2,"Excellent handling",AND(G136&gt;2,G136&lt;4)," ",G136&gt;4,"Bad handling")</f>
        <v xml:space="preserve"> </v>
      </c>
      <c r="I136" t="str">
        <f t="shared" si="5"/>
        <v>Weekend sale</v>
      </c>
    </row>
    <row r="137" spans="1:9" x14ac:dyDescent="0.3">
      <c r="A137" s="1">
        <v>45692.616213429268</v>
      </c>
      <c r="B137" t="s">
        <v>40</v>
      </c>
      <c r="C137" t="s">
        <v>38</v>
      </c>
      <c r="D137" t="s">
        <v>53</v>
      </c>
      <c r="E137" s="1">
        <v>45696.388768222059</v>
      </c>
      <c r="F137" s="3">
        <v>273.2</v>
      </c>
      <c r="G137" s="5">
        <f t="shared" ca="1" si="4"/>
        <v>3.7725547927911975</v>
      </c>
      <c r="H137" t="str" cm="1">
        <f t="array" aca="1" ref="H137" ca="1">_xlfn.IFS(G137&lt;2,"Excellent handling",AND(G137&gt;2,G137&lt;4)," ",G137&gt;4,"Bad handling")</f>
        <v xml:space="preserve"> </v>
      </c>
      <c r="I137" t="str">
        <f t="shared" si="5"/>
        <v xml:space="preserve"> </v>
      </c>
    </row>
    <row r="138" spans="1:9" x14ac:dyDescent="0.3">
      <c r="A138" s="1">
        <v>45645.304700724802</v>
      </c>
      <c r="B138" t="s">
        <v>18</v>
      </c>
      <c r="C138" t="s">
        <v>15</v>
      </c>
      <c r="D138" t="s">
        <v>53</v>
      </c>
      <c r="E138" s="1">
        <v>45648.188953544923</v>
      </c>
      <c r="F138" s="3">
        <v>735.18</v>
      </c>
      <c r="G138" s="5">
        <f t="shared" ca="1" si="4"/>
        <v>2.8842528201203095</v>
      </c>
      <c r="H138" t="str" cm="1">
        <f t="array" aca="1" ref="H138" ca="1">_xlfn.IFS(G138&lt;2,"Excellent handling",AND(G138&gt;2,G138&lt;4)," ",G138&gt;4,"Bad handling")</f>
        <v xml:space="preserve"> </v>
      </c>
      <c r="I138" t="str">
        <f t="shared" si="5"/>
        <v xml:space="preserve"> </v>
      </c>
    </row>
    <row r="139" spans="1:9" x14ac:dyDescent="0.3">
      <c r="A139" s="1">
        <v>45679.165948856018</v>
      </c>
      <c r="B139" t="s">
        <v>16</v>
      </c>
      <c r="C139" t="s">
        <v>15</v>
      </c>
      <c r="D139" t="s">
        <v>60</v>
      </c>
      <c r="E139" s="1">
        <v>45679.278070932967</v>
      </c>
      <c r="F139" s="3">
        <v>186.78</v>
      </c>
      <c r="G139" s="5">
        <f t="shared" ca="1" si="4"/>
        <v>0.11212207694916287</v>
      </c>
      <c r="H139" t="str" cm="1">
        <f t="array" aca="1" ref="H139" ca="1">_xlfn.IFS(G139&lt;2,"Excellent handling",AND(G139&gt;2,G139&lt;4)," ",G139&gt;4,"Bad handling")</f>
        <v>Excellent handling</v>
      </c>
      <c r="I139" t="str">
        <f t="shared" si="5"/>
        <v xml:space="preserve"> </v>
      </c>
    </row>
    <row r="140" spans="1:9" x14ac:dyDescent="0.3">
      <c r="A140" s="1">
        <v>45681.052568084124</v>
      </c>
      <c r="B140" t="s">
        <v>6</v>
      </c>
      <c r="C140" t="s">
        <v>2</v>
      </c>
      <c r="D140" t="s">
        <v>58</v>
      </c>
      <c r="E140" s="1">
        <v>45684.365541312152</v>
      </c>
      <c r="F140" s="3">
        <v>450.82</v>
      </c>
      <c r="G140" s="5">
        <f t="shared" ca="1" si="4"/>
        <v>3.312973228028568</v>
      </c>
      <c r="H140" t="str" cm="1">
        <f t="array" aca="1" ref="H140" ca="1">_xlfn.IFS(G140&lt;2,"Excellent handling",AND(G140&gt;2,G140&lt;4)," ",G140&gt;4,"Bad handling")</f>
        <v xml:space="preserve"> </v>
      </c>
      <c r="I140" t="str">
        <f t="shared" si="5"/>
        <v xml:space="preserve"> </v>
      </c>
    </row>
    <row r="141" spans="1:9" x14ac:dyDescent="0.3">
      <c r="A141" s="1">
        <v>45660.292290867983</v>
      </c>
      <c r="B141" t="s">
        <v>34</v>
      </c>
      <c r="C141" t="s">
        <v>30</v>
      </c>
      <c r="D141" t="s">
        <v>61</v>
      </c>
      <c r="E141" s="1">
        <v>45665.075508072507</v>
      </c>
      <c r="F141" s="3">
        <v>752.26</v>
      </c>
      <c r="G141" s="5">
        <f t="shared" ca="1" si="4"/>
        <v>4.7832172045236803</v>
      </c>
      <c r="H141" t="str" cm="1">
        <f t="array" aca="1" ref="H141" ca="1">_xlfn.IFS(G141&lt;2,"Excellent handling",AND(G141&gt;2,G141&lt;4)," ",G141&gt;4,"Bad handling")</f>
        <v>Bad handling</v>
      </c>
      <c r="I141" t="str">
        <f t="shared" si="5"/>
        <v xml:space="preserve"> </v>
      </c>
    </row>
    <row r="142" spans="1:9" x14ac:dyDescent="0.3">
      <c r="A142" s="1">
        <v>45660.450661390147</v>
      </c>
      <c r="B142" t="s">
        <v>13</v>
      </c>
      <c r="C142" t="s">
        <v>8</v>
      </c>
      <c r="D142" t="s">
        <v>57</v>
      </c>
      <c r="E142" s="1">
        <v>45661.680962120736</v>
      </c>
      <c r="F142" s="3">
        <v>603.02</v>
      </c>
      <c r="G142" s="5">
        <f t="shared" ca="1" si="4"/>
        <v>1.2303007305890787</v>
      </c>
      <c r="H142" t="str" cm="1">
        <f t="array" aca="1" ref="H142" ca="1">_xlfn.IFS(G142&lt;2,"Excellent handling",AND(G142&gt;2,G142&lt;4)," ",G142&gt;4,"Bad handling")</f>
        <v>Excellent handling</v>
      </c>
      <c r="I142" t="str">
        <f t="shared" si="5"/>
        <v xml:space="preserve"> </v>
      </c>
    </row>
    <row r="143" spans="1:9" x14ac:dyDescent="0.3">
      <c r="A143" s="1">
        <v>45662.945576626531</v>
      </c>
      <c r="B143" t="s">
        <v>17</v>
      </c>
      <c r="C143" t="s">
        <v>15</v>
      </c>
      <c r="D143" t="s">
        <v>54</v>
      </c>
      <c r="E143" s="1" t="s">
        <v>64</v>
      </c>
      <c r="F143" s="3">
        <v>420.37</v>
      </c>
      <c r="G143" s="5">
        <f t="shared" ca="1" si="4"/>
        <v>392.05442337346904</v>
      </c>
      <c r="H143" t="str" cm="1">
        <f t="array" aca="1" ref="H143" ca="1">_xlfn.IFS(G143&lt;2,"Excellent handling",AND(G143&gt;2,G143&lt;4)," ",G143&gt;4,"Bad handling")</f>
        <v>Bad handling</v>
      </c>
      <c r="I143" t="str">
        <f t="shared" si="5"/>
        <v>Weekend sale</v>
      </c>
    </row>
    <row r="144" spans="1:9" x14ac:dyDescent="0.3">
      <c r="A144" s="1">
        <v>45694.484544949883</v>
      </c>
      <c r="B144" t="s">
        <v>4</v>
      </c>
      <c r="C144" t="s">
        <v>2</v>
      </c>
      <c r="D144" t="s">
        <v>60</v>
      </c>
      <c r="E144" s="1">
        <v>45696.644250185673</v>
      </c>
      <c r="F144" s="3">
        <v>590.51</v>
      </c>
      <c r="G144" s="5">
        <f t="shared" ca="1" si="4"/>
        <v>2.1597052357901703</v>
      </c>
      <c r="H144" t="str" cm="1">
        <f t="array" aca="1" ref="H144" ca="1">_xlfn.IFS(G144&lt;2,"Excellent handling",AND(G144&gt;2,G144&lt;4)," ",G144&gt;4,"Bad handling")</f>
        <v xml:space="preserve"> </v>
      </c>
      <c r="I144" t="str">
        <f t="shared" si="5"/>
        <v xml:space="preserve"> </v>
      </c>
    </row>
    <row r="145" spans="1:9" x14ac:dyDescent="0.3">
      <c r="A145" s="1">
        <v>45629.054765311252</v>
      </c>
      <c r="B145" t="s">
        <v>11</v>
      </c>
      <c r="C145" t="s">
        <v>8</v>
      </c>
      <c r="D145" t="s">
        <v>57</v>
      </c>
      <c r="E145" s="1">
        <v>45631.595287608281</v>
      </c>
      <c r="F145" s="3">
        <v>269.51</v>
      </c>
      <c r="G145" s="5">
        <f t="shared" ca="1" si="4"/>
        <v>2.5405222970293835</v>
      </c>
      <c r="H145" t="str" cm="1">
        <f t="array" aca="1" ref="H145" ca="1">_xlfn.IFS(G145&lt;2,"Excellent handling",AND(G145&gt;2,G145&lt;4)," ",G145&gt;4,"Bad handling")</f>
        <v xml:space="preserve"> </v>
      </c>
      <c r="I145" t="str">
        <f t="shared" si="5"/>
        <v xml:space="preserve"> </v>
      </c>
    </row>
    <row r="146" spans="1:9" x14ac:dyDescent="0.3">
      <c r="A146" s="1">
        <v>45677.485069871778</v>
      </c>
      <c r="B146" t="s">
        <v>14</v>
      </c>
      <c r="C146" t="s">
        <v>8</v>
      </c>
      <c r="D146" t="s">
        <v>54</v>
      </c>
      <c r="E146" s="1">
        <v>45679.16798425225</v>
      </c>
      <c r="F146" s="3">
        <v>698.4</v>
      </c>
      <c r="G146" s="5">
        <f t="shared" ca="1" si="4"/>
        <v>1.6829143804716296</v>
      </c>
      <c r="H146" t="str" cm="1">
        <f t="array" aca="1" ref="H146" ca="1">_xlfn.IFS(G146&lt;2,"Excellent handling",AND(G146&gt;2,G146&lt;4)," ",G146&gt;4,"Bad handling")</f>
        <v>Excellent handling</v>
      </c>
      <c r="I146" t="str">
        <f t="shared" si="5"/>
        <v xml:space="preserve"> </v>
      </c>
    </row>
    <row r="147" spans="1:9" x14ac:dyDescent="0.3">
      <c r="A147" s="1">
        <v>45663.255578023905</v>
      </c>
      <c r="B147" t="s">
        <v>28</v>
      </c>
      <c r="C147" t="s">
        <v>26</v>
      </c>
      <c r="D147" t="s">
        <v>60</v>
      </c>
      <c r="E147" s="1">
        <v>45664.725653338799</v>
      </c>
      <c r="F147" s="3">
        <v>92.4</v>
      </c>
      <c r="G147" s="5">
        <f t="shared" ca="1" si="4"/>
        <v>1.4700753148936201</v>
      </c>
      <c r="H147" t="str" cm="1">
        <f t="array" aca="1" ref="H147" ca="1">_xlfn.IFS(G147&lt;2,"Excellent handling",AND(G147&gt;2,G147&lt;4)," ",G147&gt;4,"Bad handling")</f>
        <v>Excellent handling</v>
      </c>
      <c r="I147" t="str">
        <f t="shared" si="5"/>
        <v xml:space="preserve"> </v>
      </c>
    </row>
    <row r="148" spans="1:9" x14ac:dyDescent="0.3">
      <c r="A148" s="1">
        <v>45633.817189451875</v>
      </c>
      <c r="B148" t="s">
        <v>27</v>
      </c>
      <c r="C148" t="s">
        <v>26</v>
      </c>
      <c r="D148" t="s">
        <v>55</v>
      </c>
      <c r="E148" s="1">
        <v>45636.013775951171</v>
      </c>
      <c r="F148" s="3">
        <v>445.41</v>
      </c>
      <c r="G148" s="5">
        <f t="shared" ca="1" si="4"/>
        <v>2.1965864992962452</v>
      </c>
      <c r="H148" t="str" cm="1">
        <f t="array" aca="1" ref="H148" ca="1">_xlfn.IFS(G148&lt;2,"Excellent handling",AND(G148&gt;2,G148&lt;4)," ",G148&gt;4,"Bad handling")</f>
        <v xml:space="preserve"> </v>
      </c>
      <c r="I148" t="str">
        <f t="shared" si="5"/>
        <v>Weekend sale</v>
      </c>
    </row>
    <row r="149" spans="1:9" x14ac:dyDescent="0.3">
      <c r="A149" s="1">
        <v>45675.52833006189</v>
      </c>
      <c r="B149" t="s">
        <v>31</v>
      </c>
      <c r="C149" t="s">
        <v>30</v>
      </c>
      <c r="D149" t="s">
        <v>56</v>
      </c>
      <c r="E149" s="1">
        <v>45677.039707322918</v>
      </c>
      <c r="F149" s="3">
        <v>262.48</v>
      </c>
      <c r="G149" s="5">
        <f t="shared" ca="1" si="4"/>
        <v>1.5113772610275191</v>
      </c>
      <c r="H149" t="str" cm="1">
        <f t="array" aca="1" ref="H149" ca="1">_xlfn.IFS(G149&lt;2,"Excellent handling",AND(G149&gt;2,G149&lt;4)," ",G149&gt;4,"Bad handling")</f>
        <v>Excellent handling</v>
      </c>
      <c r="I149" t="str">
        <f t="shared" si="5"/>
        <v>Weekend sale</v>
      </c>
    </row>
    <row r="150" spans="1:9" x14ac:dyDescent="0.3">
      <c r="A150" s="1">
        <v>45667.215197106008</v>
      </c>
      <c r="B150" t="s">
        <v>48</v>
      </c>
      <c r="C150" t="s">
        <v>45</v>
      </c>
      <c r="D150" t="s">
        <v>60</v>
      </c>
      <c r="E150" s="1">
        <v>45670.342902462457</v>
      </c>
      <c r="F150" s="3">
        <v>240.33</v>
      </c>
      <c r="G150" s="5">
        <f t="shared" ca="1" si="4"/>
        <v>3.1277053564481321</v>
      </c>
      <c r="H150" t="str" cm="1">
        <f t="array" aca="1" ref="H150" ca="1">_xlfn.IFS(G150&lt;2,"Excellent handling",AND(G150&gt;2,G150&lt;4)," ",G150&gt;4,"Bad handling")</f>
        <v xml:space="preserve"> </v>
      </c>
      <c r="I150" t="str">
        <f t="shared" si="5"/>
        <v xml:space="preserve"> </v>
      </c>
    </row>
    <row r="151" spans="1:9" x14ac:dyDescent="0.3">
      <c r="A151" s="1">
        <v>45692.079634224581</v>
      </c>
      <c r="B151" t="s">
        <v>48</v>
      </c>
      <c r="C151" t="s">
        <v>45</v>
      </c>
      <c r="D151" t="s">
        <v>60</v>
      </c>
      <c r="E151" s="1">
        <v>45696.094077580528</v>
      </c>
      <c r="F151" s="3">
        <v>563.63</v>
      </c>
      <c r="G151" s="5">
        <f t="shared" ca="1" si="4"/>
        <v>4.0144433559471508</v>
      </c>
      <c r="H151" t="str" cm="1">
        <f t="array" aca="1" ref="H151" ca="1">_xlfn.IFS(G151&lt;2,"Excellent handling",AND(G151&gt;2,G151&lt;4)," ",G151&gt;4,"Bad handling")</f>
        <v>Bad handling</v>
      </c>
      <c r="I151" t="str">
        <f t="shared" si="5"/>
        <v xml:space="preserve"> </v>
      </c>
    </row>
    <row r="152" spans="1:9" x14ac:dyDescent="0.3">
      <c r="A152" s="1">
        <v>45660.459897583096</v>
      </c>
      <c r="B152" t="s">
        <v>3</v>
      </c>
      <c r="C152" t="s">
        <v>2</v>
      </c>
      <c r="D152" t="s">
        <v>54</v>
      </c>
      <c r="E152" s="1">
        <v>45662.857476925245</v>
      </c>
      <c r="F152" s="3">
        <v>96.73</v>
      </c>
      <c r="G152" s="5">
        <f t="shared" ca="1" si="4"/>
        <v>2.3975793421486742</v>
      </c>
      <c r="H152" t="str" cm="1">
        <f t="array" aca="1" ref="H152" ca="1">_xlfn.IFS(G152&lt;2,"Excellent handling",AND(G152&gt;2,G152&lt;4)," ",G152&gt;4,"Bad handling")</f>
        <v xml:space="preserve"> </v>
      </c>
      <c r="I152" t="str">
        <f t="shared" si="5"/>
        <v xml:space="preserve"> </v>
      </c>
    </row>
    <row r="153" spans="1:9" x14ac:dyDescent="0.3">
      <c r="A153" s="1">
        <v>45696.301926615437</v>
      </c>
      <c r="B153" t="s">
        <v>12</v>
      </c>
      <c r="C153" t="s">
        <v>8</v>
      </c>
      <c r="D153" t="s">
        <v>56</v>
      </c>
      <c r="E153" s="1">
        <v>45699.018909649953</v>
      </c>
      <c r="F153" s="3">
        <v>736.58</v>
      </c>
      <c r="G153" s="5">
        <f t="shared" ca="1" si="4"/>
        <v>2.7169830345155788</v>
      </c>
      <c r="H153" t="str" cm="1">
        <f t="array" aca="1" ref="H153" ca="1">_xlfn.IFS(G153&lt;2,"Excellent handling",AND(G153&gt;2,G153&lt;4)," ",G153&gt;4,"Bad handling")</f>
        <v xml:space="preserve"> </v>
      </c>
      <c r="I153" t="str">
        <f t="shared" si="5"/>
        <v>Weekend sale</v>
      </c>
    </row>
    <row r="154" spans="1:9" x14ac:dyDescent="0.3">
      <c r="A154" s="1">
        <v>45678.615249925359</v>
      </c>
      <c r="B154" t="s">
        <v>10</v>
      </c>
      <c r="C154" t="s">
        <v>8</v>
      </c>
      <c r="D154" t="s">
        <v>55</v>
      </c>
      <c r="E154" s="1">
        <v>45680.991543670476</v>
      </c>
      <c r="F154" s="3">
        <v>181.16</v>
      </c>
      <c r="G154" s="5">
        <f t="shared" ca="1" si="4"/>
        <v>2.3762937451174366</v>
      </c>
      <c r="H154" t="str" cm="1">
        <f t="array" aca="1" ref="H154" ca="1">_xlfn.IFS(G154&lt;2,"Excellent handling",AND(G154&gt;2,G154&lt;4)," ",G154&gt;4,"Bad handling")</f>
        <v xml:space="preserve"> </v>
      </c>
      <c r="I154" t="str">
        <f t="shared" si="5"/>
        <v xml:space="preserve"> </v>
      </c>
    </row>
    <row r="155" spans="1:9" x14ac:dyDescent="0.3">
      <c r="A155" s="1">
        <v>45642.077016117037</v>
      </c>
      <c r="B155" t="s">
        <v>23</v>
      </c>
      <c r="C155" t="s">
        <v>22</v>
      </c>
      <c r="D155" t="s">
        <v>61</v>
      </c>
      <c r="E155" s="1">
        <v>45643.700438042673</v>
      </c>
      <c r="F155" s="3">
        <v>484.69</v>
      </c>
      <c r="G155" s="5">
        <f t="shared" ca="1" si="4"/>
        <v>1.6234219256366487</v>
      </c>
      <c r="H155" t="str" cm="1">
        <f t="array" aca="1" ref="H155" ca="1">_xlfn.IFS(G155&lt;2,"Excellent handling",AND(G155&gt;2,G155&lt;4)," ",G155&gt;4,"Bad handling")</f>
        <v>Excellent handling</v>
      </c>
      <c r="I155" t="str">
        <f t="shared" si="5"/>
        <v xml:space="preserve"> </v>
      </c>
    </row>
    <row r="156" spans="1:9" x14ac:dyDescent="0.3">
      <c r="A156" s="1">
        <v>45694.93122772628</v>
      </c>
      <c r="B156" t="s">
        <v>21</v>
      </c>
      <c r="C156" t="s">
        <v>15</v>
      </c>
      <c r="D156" t="s">
        <v>60</v>
      </c>
      <c r="E156" s="1">
        <v>45697.524622848323</v>
      </c>
      <c r="F156" s="3">
        <v>295.89999999999998</v>
      </c>
      <c r="G156" s="5">
        <f t="shared" ca="1" si="4"/>
        <v>2.5933951220431481</v>
      </c>
      <c r="H156" t="str" cm="1">
        <f t="array" aca="1" ref="H156" ca="1">_xlfn.IFS(G156&lt;2,"Excellent handling",AND(G156&gt;2,G156&lt;4)," ",G156&gt;4,"Bad handling")</f>
        <v xml:space="preserve"> </v>
      </c>
      <c r="I156" t="str">
        <f t="shared" si="5"/>
        <v xml:space="preserve"> </v>
      </c>
    </row>
    <row r="157" spans="1:9" x14ac:dyDescent="0.3">
      <c r="A157" s="1">
        <v>45642.164780669744</v>
      </c>
      <c r="B157" t="s">
        <v>48</v>
      </c>
      <c r="C157" t="s">
        <v>45</v>
      </c>
      <c r="D157" t="s">
        <v>60</v>
      </c>
      <c r="E157" s="1">
        <v>45642.511752748316</v>
      </c>
      <c r="F157" s="3">
        <v>478.96</v>
      </c>
      <c r="G157" s="5">
        <f t="shared" ca="1" si="4"/>
        <v>0.34697207857243484</v>
      </c>
      <c r="H157" t="str" cm="1">
        <f t="array" aca="1" ref="H157" ca="1">_xlfn.IFS(G157&lt;2,"Excellent handling",AND(G157&gt;2,G157&lt;4)," ",G157&gt;4,"Bad handling")</f>
        <v>Excellent handling</v>
      </c>
      <c r="I157" t="str">
        <f t="shared" si="5"/>
        <v xml:space="preserve"> </v>
      </c>
    </row>
    <row r="158" spans="1:9" x14ac:dyDescent="0.3">
      <c r="A158" s="1">
        <v>45649.745021941613</v>
      </c>
      <c r="B158" t="s">
        <v>33</v>
      </c>
      <c r="C158" t="s">
        <v>30</v>
      </c>
      <c r="D158" t="s">
        <v>59</v>
      </c>
      <c r="E158" s="1">
        <v>45653.995150907198</v>
      </c>
      <c r="F158" s="3">
        <v>606.87</v>
      </c>
      <c r="G158" s="5">
        <f t="shared" ca="1" si="4"/>
        <v>4.2501289655847359</v>
      </c>
      <c r="H158" t="str" cm="1">
        <f t="array" aca="1" ref="H158" ca="1">_xlfn.IFS(G158&lt;2,"Excellent handling",AND(G158&gt;2,G158&lt;4)," ",G158&gt;4,"Bad handling")</f>
        <v>Bad handling</v>
      </c>
      <c r="I158" t="str">
        <f t="shared" si="5"/>
        <v xml:space="preserve"> </v>
      </c>
    </row>
    <row r="159" spans="1:9" x14ac:dyDescent="0.3">
      <c r="A159" s="1">
        <v>45655.444067699966</v>
      </c>
      <c r="B159" t="s">
        <v>48</v>
      </c>
      <c r="C159" t="s">
        <v>45</v>
      </c>
      <c r="D159" t="s">
        <v>60</v>
      </c>
      <c r="E159" s="1">
        <v>45658.744771134006</v>
      </c>
      <c r="F159" s="3">
        <v>609.73</v>
      </c>
      <c r="G159" s="5">
        <f t="shared" ca="1" si="4"/>
        <v>3.3007034340407699</v>
      </c>
      <c r="H159" t="str" cm="1">
        <f t="array" aca="1" ref="H159" ca="1">_xlfn.IFS(G159&lt;2,"Excellent handling",AND(G159&gt;2,G159&lt;4)," ",G159&gt;4,"Bad handling")</f>
        <v xml:space="preserve"> </v>
      </c>
      <c r="I159" t="str">
        <f t="shared" si="5"/>
        <v>Weekend sale</v>
      </c>
    </row>
    <row r="160" spans="1:9" x14ac:dyDescent="0.3">
      <c r="A160" s="1">
        <v>45667.082640394641</v>
      </c>
      <c r="B160" t="s">
        <v>16</v>
      </c>
      <c r="C160" t="s">
        <v>15</v>
      </c>
      <c r="D160" t="s">
        <v>60</v>
      </c>
      <c r="E160" s="1">
        <v>45668.410357727211</v>
      </c>
      <c r="F160" s="3">
        <v>498.55</v>
      </c>
      <c r="G160" s="5">
        <f t="shared" ca="1" si="4"/>
        <v>1.3277173325695912</v>
      </c>
      <c r="H160" t="str" cm="1">
        <f t="array" aca="1" ref="H160" ca="1">_xlfn.IFS(G160&lt;2,"Excellent handling",AND(G160&gt;2,G160&lt;4)," ",G160&gt;4,"Bad handling")</f>
        <v>Excellent handling</v>
      </c>
      <c r="I160" t="str">
        <f t="shared" si="5"/>
        <v xml:space="preserve"> </v>
      </c>
    </row>
    <row r="161" spans="1:9" x14ac:dyDescent="0.3">
      <c r="A161" s="1">
        <v>45689.093595184691</v>
      </c>
      <c r="B161" t="s">
        <v>32</v>
      </c>
      <c r="C161" t="s">
        <v>30</v>
      </c>
      <c r="D161" t="s">
        <v>58</v>
      </c>
      <c r="E161" s="1">
        <v>45693.798710084338</v>
      </c>
      <c r="F161" s="3">
        <v>520.21</v>
      </c>
      <c r="G161" s="5">
        <f t="shared" ca="1" si="4"/>
        <v>4.7051148996470147</v>
      </c>
      <c r="H161" t="str" cm="1">
        <f t="array" aca="1" ref="H161" ca="1">_xlfn.IFS(G161&lt;2,"Excellent handling",AND(G161&gt;2,G161&lt;4)," ",G161&gt;4,"Bad handling")</f>
        <v>Bad handling</v>
      </c>
      <c r="I161" t="str">
        <f t="shared" si="5"/>
        <v>Weekend sale</v>
      </c>
    </row>
    <row r="162" spans="1:9" x14ac:dyDescent="0.3">
      <c r="A162" s="1">
        <v>45682.477007108289</v>
      </c>
      <c r="B162" t="s">
        <v>40</v>
      </c>
      <c r="C162" t="s">
        <v>38</v>
      </c>
      <c r="D162" t="s">
        <v>53</v>
      </c>
      <c r="E162" s="1">
        <v>45684.390369999077</v>
      </c>
      <c r="F162" s="3">
        <v>524.4</v>
      </c>
      <c r="G162" s="5">
        <f t="shared" ca="1" si="4"/>
        <v>1.9133628907875391</v>
      </c>
      <c r="H162" t="str" cm="1">
        <f t="array" aca="1" ref="H162" ca="1">_xlfn.IFS(G162&lt;2,"Excellent handling",AND(G162&gt;2,G162&lt;4)," ",G162&gt;4,"Bad handling")</f>
        <v>Excellent handling</v>
      </c>
      <c r="I162" t="str">
        <f t="shared" si="5"/>
        <v>Weekend sale</v>
      </c>
    </row>
    <row r="163" spans="1:9" x14ac:dyDescent="0.3">
      <c r="A163" s="1">
        <v>45666.4790411473</v>
      </c>
      <c r="B163" t="s">
        <v>17</v>
      </c>
      <c r="C163" t="s">
        <v>15</v>
      </c>
      <c r="D163" t="s">
        <v>54</v>
      </c>
      <c r="E163" s="1">
        <v>45667.544902858775</v>
      </c>
      <c r="F163" s="3">
        <v>330.3</v>
      </c>
      <c r="G163" s="5">
        <f t="shared" ca="1" si="4"/>
        <v>1.0658617114750086</v>
      </c>
      <c r="H163" t="str" cm="1">
        <f t="array" aca="1" ref="H163" ca="1">_xlfn.IFS(G163&lt;2,"Excellent handling",AND(G163&gt;2,G163&lt;4)," ",G163&gt;4,"Bad handling")</f>
        <v>Excellent handling</v>
      </c>
      <c r="I163" t="str">
        <f t="shared" si="5"/>
        <v xml:space="preserve"> </v>
      </c>
    </row>
    <row r="164" spans="1:9" x14ac:dyDescent="0.3">
      <c r="A164" s="1">
        <v>45679.676940440484</v>
      </c>
      <c r="B164" t="s">
        <v>9</v>
      </c>
      <c r="C164" t="s">
        <v>8</v>
      </c>
      <c r="D164" t="s">
        <v>54</v>
      </c>
      <c r="E164" s="1">
        <v>45680.844498396262</v>
      </c>
      <c r="F164" s="3">
        <v>396.05</v>
      </c>
      <c r="G164" s="5">
        <f t="shared" ca="1" si="4"/>
        <v>1.1675579557777382</v>
      </c>
      <c r="H164" t="str" cm="1">
        <f t="array" aca="1" ref="H164" ca="1">_xlfn.IFS(G164&lt;2,"Excellent handling",AND(G164&gt;2,G164&lt;4)," ",G164&gt;4,"Bad handling")</f>
        <v>Excellent handling</v>
      </c>
      <c r="I164" t="str">
        <f t="shared" si="5"/>
        <v xml:space="preserve"> </v>
      </c>
    </row>
    <row r="165" spans="1:9" x14ac:dyDescent="0.3">
      <c r="A165" s="1">
        <v>45652.562667433987</v>
      </c>
      <c r="B165" t="s">
        <v>27</v>
      </c>
      <c r="C165" t="s">
        <v>26</v>
      </c>
      <c r="D165" t="s">
        <v>55</v>
      </c>
      <c r="E165" s="1">
        <v>45655.209132681623</v>
      </c>
      <c r="F165" s="3">
        <v>137.52000000000001</v>
      </c>
      <c r="G165" s="5">
        <f t="shared" ca="1" si="4"/>
        <v>2.6464652476352057</v>
      </c>
      <c r="H165" t="str" cm="1">
        <f t="array" aca="1" ref="H165" ca="1">_xlfn.IFS(G165&lt;2,"Excellent handling",AND(G165&gt;2,G165&lt;4)," ",G165&gt;4,"Bad handling")</f>
        <v xml:space="preserve"> </v>
      </c>
      <c r="I165" t="str">
        <f t="shared" si="5"/>
        <v xml:space="preserve"> </v>
      </c>
    </row>
    <row r="166" spans="1:9" x14ac:dyDescent="0.3">
      <c r="A166" s="1">
        <v>45680.986558318094</v>
      </c>
      <c r="B166" t="s">
        <v>4</v>
      </c>
      <c r="C166" t="s">
        <v>2</v>
      </c>
      <c r="D166" t="s">
        <v>60</v>
      </c>
      <c r="E166" s="1">
        <v>45682.186101428393</v>
      </c>
      <c r="F166" s="3">
        <v>543.16</v>
      </c>
      <c r="G166" s="5">
        <f t="shared" ca="1" si="4"/>
        <v>1.1995431102986913</v>
      </c>
      <c r="H166" t="str" cm="1">
        <f t="array" aca="1" ref="H166" ca="1">_xlfn.IFS(G166&lt;2,"Excellent handling",AND(G166&gt;2,G166&lt;4)," ",G166&gt;4,"Bad handling")</f>
        <v>Excellent handling</v>
      </c>
      <c r="I166" t="str">
        <f t="shared" si="5"/>
        <v xml:space="preserve"> </v>
      </c>
    </row>
    <row r="167" spans="1:9" x14ac:dyDescent="0.3">
      <c r="A167" s="1">
        <v>45674.35806527645</v>
      </c>
      <c r="B167" t="s">
        <v>29</v>
      </c>
      <c r="C167" t="s">
        <v>26</v>
      </c>
      <c r="D167" t="s">
        <v>61</v>
      </c>
      <c r="E167" s="1">
        <v>45677.353975898739</v>
      </c>
      <c r="F167" s="3">
        <v>162.13999999999999</v>
      </c>
      <c r="G167" s="5">
        <f t="shared" ca="1" si="4"/>
        <v>2.9959106222886476</v>
      </c>
      <c r="H167" t="str" cm="1">
        <f t="array" aca="1" ref="H167" ca="1">_xlfn.IFS(G167&lt;2,"Excellent handling",AND(G167&gt;2,G167&lt;4)," ",G167&gt;4,"Bad handling")</f>
        <v xml:space="preserve"> </v>
      </c>
      <c r="I167" t="str">
        <f t="shared" si="5"/>
        <v xml:space="preserve"> </v>
      </c>
    </row>
    <row r="168" spans="1:9" x14ac:dyDescent="0.3">
      <c r="A168" s="1">
        <v>45655.916020790472</v>
      </c>
      <c r="B168" t="s">
        <v>27</v>
      </c>
      <c r="C168" t="s">
        <v>26</v>
      </c>
      <c r="D168" t="s">
        <v>55</v>
      </c>
      <c r="E168" s="1">
        <v>45658.310073404224</v>
      </c>
      <c r="F168" s="3">
        <v>74.459999999999994</v>
      </c>
      <c r="G168" s="5">
        <f t="shared" ca="1" si="4"/>
        <v>2.3940526137521374</v>
      </c>
      <c r="H168" t="str" cm="1">
        <f t="array" aca="1" ref="H168" ca="1">_xlfn.IFS(G168&lt;2,"Excellent handling",AND(G168&gt;2,G168&lt;4)," ",G168&gt;4,"Bad handling")</f>
        <v xml:space="preserve"> </v>
      </c>
      <c r="I168" t="str">
        <f t="shared" si="5"/>
        <v>Weekend sale</v>
      </c>
    </row>
    <row r="169" spans="1:9" x14ac:dyDescent="0.3">
      <c r="A169" s="1">
        <v>45667.576570793775</v>
      </c>
      <c r="B169" t="s">
        <v>5</v>
      </c>
      <c r="C169" t="s">
        <v>2</v>
      </c>
      <c r="D169" t="s">
        <v>55</v>
      </c>
      <c r="E169" s="1">
        <v>45670.073289992441</v>
      </c>
      <c r="F169" s="3">
        <v>564.94000000000005</v>
      </c>
      <c r="G169" s="5">
        <f t="shared" ca="1" si="4"/>
        <v>2.4967191986652324</v>
      </c>
      <c r="H169" t="str" cm="1">
        <f t="array" aca="1" ref="H169" ca="1">_xlfn.IFS(G169&lt;2,"Excellent handling",AND(G169&gt;2,G169&lt;4)," ",G169&gt;4,"Bad handling")</f>
        <v xml:space="preserve"> </v>
      </c>
      <c r="I169" t="str">
        <f t="shared" si="5"/>
        <v xml:space="preserve"> </v>
      </c>
    </row>
    <row r="170" spans="1:9" x14ac:dyDescent="0.3">
      <c r="A170" s="1">
        <v>45637.358888011186</v>
      </c>
      <c r="B170" t="s">
        <v>34</v>
      </c>
      <c r="C170" t="s">
        <v>30</v>
      </c>
      <c r="D170" t="s">
        <v>61</v>
      </c>
      <c r="E170" s="1">
        <v>45638.919539630318</v>
      </c>
      <c r="F170" s="3">
        <v>822.71</v>
      </c>
      <c r="G170" s="5">
        <f t="shared" ca="1" si="4"/>
        <v>1.560651619132841</v>
      </c>
      <c r="H170" t="str" cm="1">
        <f t="array" aca="1" ref="H170" ca="1">_xlfn.IFS(G170&lt;2,"Excellent handling",AND(G170&gt;2,G170&lt;4)," ",G170&gt;4,"Bad handling")</f>
        <v>Excellent handling</v>
      </c>
      <c r="I170" t="str">
        <f t="shared" si="5"/>
        <v xml:space="preserve"> </v>
      </c>
    </row>
    <row r="171" spans="1:9" x14ac:dyDescent="0.3">
      <c r="A171" s="1">
        <v>45635.922877991543</v>
      </c>
      <c r="B171" t="s">
        <v>17</v>
      </c>
      <c r="C171" t="s">
        <v>15</v>
      </c>
      <c r="D171" t="s">
        <v>54</v>
      </c>
      <c r="E171" s="1">
        <v>45636.930987220803</v>
      </c>
      <c r="F171" s="3">
        <v>332.84</v>
      </c>
      <c r="G171" s="5">
        <f t="shared" ca="1" si="4"/>
        <v>1.0081092292602989</v>
      </c>
      <c r="H171" t="str" cm="1">
        <f t="array" aca="1" ref="H171" ca="1">_xlfn.IFS(G171&lt;2,"Excellent handling",AND(G171&gt;2,G171&lt;4)," ",G171&gt;4,"Bad handling")</f>
        <v>Excellent handling</v>
      </c>
      <c r="I171" t="str">
        <f t="shared" si="5"/>
        <v xml:space="preserve"> </v>
      </c>
    </row>
    <row r="172" spans="1:9" x14ac:dyDescent="0.3">
      <c r="A172" s="1">
        <v>45673.964909178496</v>
      </c>
      <c r="B172" t="s">
        <v>7</v>
      </c>
      <c r="C172" t="s">
        <v>2</v>
      </c>
      <c r="D172" t="s">
        <v>54</v>
      </c>
      <c r="E172" s="1">
        <v>45676.634171204016</v>
      </c>
      <c r="F172" s="3">
        <v>78.09</v>
      </c>
      <c r="G172" s="5">
        <f t="shared" ca="1" si="4"/>
        <v>2.6692620255198563</v>
      </c>
      <c r="H172" t="str" cm="1">
        <f t="array" aca="1" ref="H172" ca="1">_xlfn.IFS(G172&lt;2,"Excellent handling",AND(G172&gt;2,G172&lt;4)," ",G172&gt;4,"Bad handling")</f>
        <v xml:space="preserve"> </v>
      </c>
      <c r="I172" t="str">
        <f t="shared" si="5"/>
        <v xml:space="preserve"> </v>
      </c>
    </row>
    <row r="173" spans="1:9" x14ac:dyDescent="0.3">
      <c r="A173" s="1">
        <v>45641.652774163282</v>
      </c>
      <c r="B173" t="s">
        <v>23</v>
      </c>
      <c r="C173" t="s">
        <v>22</v>
      </c>
      <c r="D173" t="s">
        <v>61</v>
      </c>
      <c r="E173" s="1">
        <v>45644.804664296935</v>
      </c>
      <c r="F173" s="3">
        <v>268.52999999999997</v>
      </c>
      <c r="G173" s="5">
        <f t="shared" ca="1" si="4"/>
        <v>3.1518901336530689</v>
      </c>
      <c r="H173" t="str" cm="1">
        <f t="array" aca="1" ref="H173" ca="1">_xlfn.IFS(G173&lt;2,"Excellent handling",AND(G173&gt;2,G173&lt;4)," ",G173&gt;4,"Bad handling")</f>
        <v xml:space="preserve"> </v>
      </c>
      <c r="I173" t="str">
        <f t="shared" si="5"/>
        <v>Weekend sale</v>
      </c>
    </row>
    <row r="174" spans="1:9" x14ac:dyDescent="0.3">
      <c r="A174" s="1">
        <v>45691.594647228114</v>
      </c>
      <c r="B174" t="s">
        <v>24</v>
      </c>
      <c r="C174" t="s">
        <v>22</v>
      </c>
      <c r="D174" t="s">
        <v>54</v>
      </c>
      <c r="E174" s="1">
        <v>45695.757842173334</v>
      </c>
      <c r="F174" s="3">
        <v>700.71</v>
      </c>
      <c r="G174" s="5">
        <f t="shared" ca="1" si="4"/>
        <v>4.1631949452203116</v>
      </c>
      <c r="H174" t="str" cm="1">
        <f t="array" aca="1" ref="H174" ca="1">_xlfn.IFS(G174&lt;2,"Excellent handling",AND(G174&gt;2,G174&lt;4)," ",G174&gt;4,"Bad handling")</f>
        <v>Bad handling</v>
      </c>
      <c r="I174" t="str">
        <f t="shared" si="5"/>
        <v xml:space="preserve"> </v>
      </c>
    </row>
    <row r="175" spans="1:9" x14ac:dyDescent="0.3">
      <c r="A175" s="1">
        <v>45634.272182802255</v>
      </c>
      <c r="B175" t="s">
        <v>47</v>
      </c>
      <c r="C175" t="s">
        <v>45</v>
      </c>
      <c r="D175" t="s">
        <v>59</v>
      </c>
      <c r="E175" s="1">
        <v>45635.71728659435</v>
      </c>
      <c r="F175" s="3">
        <v>401.6</v>
      </c>
      <c r="G175" s="5">
        <f t="shared" ca="1" si="4"/>
        <v>1.445103792095324</v>
      </c>
      <c r="H175" t="str" cm="1">
        <f t="array" aca="1" ref="H175" ca="1">_xlfn.IFS(G175&lt;2,"Excellent handling",AND(G175&gt;2,G175&lt;4)," ",G175&gt;4,"Bad handling")</f>
        <v>Excellent handling</v>
      </c>
      <c r="I175" t="str">
        <f t="shared" si="5"/>
        <v>Weekend sale</v>
      </c>
    </row>
    <row r="176" spans="1:9" x14ac:dyDescent="0.3">
      <c r="A176" s="1">
        <v>45641.254362542597</v>
      </c>
      <c r="B176" t="s">
        <v>13</v>
      </c>
      <c r="C176" t="s">
        <v>8</v>
      </c>
      <c r="D176" t="s">
        <v>57</v>
      </c>
      <c r="E176" s="1">
        <v>45643.054836654686</v>
      </c>
      <c r="F176" s="3">
        <v>524.15</v>
      </c>
      <c r="G176" s="5">
        <f t="shared" ca="1" si="4"/>
        <v>1.8004741120894323</v>
      </c>
      <c r="H176" t="str" cm="1">
        <f t="array" aca="1" ref="H176" ca="1">_xlfn.IFS(G176&lt;2,"Excellent handling",AND(G176&gt;2,G176&lt;4)," ",G176&gt;4,"Bad handling")</f>
        <v>Excellent handling</v>
      </c>
      <c r="I176" t="str">
        <f t="shared" si="5"/>
        <v>Weekend sale</v>
      </c>
    </row>
    <row r="177" spans="1:9" x14ac:dyDescent="0.3">
      <c r="A177" s="1">
        <v>45642.735149909109</v>
      </c>
      <c r="B177" t="s">
        <v>17</v>
      </c>
      <c r="C177" t="s">
        <v>15</v>
      </c>
      <c r="D177" t="s">
        <v>54</v>
      </c>
      <c r="E177" s="1">
        <v>45648.434422465805</v>
      </c>
      <c r="F177" s="3">
        <v>556.07000000000005</v>
      </c>
      <c r="G177" s="5">
        <f t="shared" ca="1" si="4"/>
        <v>5.6992725566960871</v>
      </c>
      <c r="H177" t="str" cm="1">
        <f t="array" aca="1" ref="H177" ca="1">_xlfn.IFS(G177&lt;2,"Excellent handling",AND(G177&gt;2,G177&lt;4)," ",G177&gt;4,"Bad handling")</f>
        <v>Bad handling</v>
      </c>
      <c r="I177" t="str">
        <f t="shared" si="5"/>
        <v xml:space="preserve"> </v>
      </c>
    </row>
    <row r="178" spans="1:9" x14ac:dyDescent="0.3">
      <c r="A178" s="1">
        <v>45647.863341900265</v>
      </c>
      <c r="B178" t="s">
        <v>5</v>
      </c>
      <c r="C178" t="s">
        <v>2</v>
      </c>
      <c r="D178" t="s">
        <v>55</v>
      </c>
      <c r="E178" s="1" t="s">
        <v>65</v>
      </c>
      <c r="F178" s="3">
        <v>29.98</v>
      </c>
      <c r="G178" s="5">
        <f t="shared" ca="1" si="4"/>
        <v>407.13665809973463</v>
      </c>
      <c r="H178" t="str" cm="1">
        <f t="array" aca="1" ref="H178" ca="1">_xlfn.IFS(G178&lt;2,"Excellent handling",AND(G178&gt;2,G178&lt;4)," ",G178&gt;4,"Bad handling")</f>
        <v>Bad handling</v>
      </c>
      <c r="I178" t="str">
        <f t="shared" si="5"/>
        <v>Weekend sale</v>
      </c>
    </row>
    <row r="179" spans="1:9" x14ac:dyDescent="0.3">
      <c r="A179" s="1">
        <v>45686.672060042081</v>
      </c>
      <c r="B179" t="s">
        <v>28</v>
      </c>
      <c r="C179" t="s">
        <v>26</v>
      </c>
      <c r="D179" t="s">
        <v>60</v>
      </c>
      <c r="E179" s="1">
        <v>45689.950120033864</v>
      </c>
      <c r="F179" s="3">
        <v>409.24</v>
      </c>
      <c r="G179" s="5">
        <f t="shared" ca="1" si="4"/>
        <v>3.2780599917823565</v>
      </c>
      <c r="H179" t="str" cm="1">
        <f t="array" aca="1" ref="H179" ca="1">_xlfn.IFS(G179&lt;2,"Excellent handling",AND(G179&gt;2,G179&lt;4)," ",G179&gt;4,"Bad handling")</f>
        <v xml:space="preserve"> </v>
      </c>
      <c r="I179" t="str">
        <f t="shared" si="5"/>
        <v xml:space="preserve"> </v>
      </c>
    </row>
    <row r="180" spans="1:9" x14ac:dyDescent="0.3">
      <c r="A180" s="1">
        <v>45633.435099669812</v>
      </c>
      <c r="B180" t="s">
        <v>27</v>
      </c>
      <c r="C180" t="s">
        <v>26</v>
      </c>
      <c r="D180" t="s">
        <v>55</v>
      </c>
      <c r="E180" s="1">
        <v>45634.674118869691</v>
      </c>
      <c r="F180" s="3">
        <v>296.83</v>
      </c>
      <c r="G180" s="5">
        <f t="shared" ca="1" si="4"/>
        <v>1.2390191998783848</v>
      </c>
      <c r="H180" t="str" cm="1">
        <f t="array" aca="1" ref="H180" ca="1">_xlfn.IFS(G180&lt;2,"Excellent handling",AND(G180&gt;2,G180&lt;4)," ",G180&gt;4,"Bad handling")</f>
        <v>Excellent handling</v>
      </c>
      <c r="I180" t="str">
        <f t="shared" si="5"/>
        <v>Weekend sale</v>
      </c>
    </row>
    <row r="181" spans="1:9" x14ac:dyDescent="0.3">
      <c r="A181" s="1">
        <v>45688.231021942127</v>
      </c>
      <c r="B181" t="s">
        <v>34</v>
      </c>
      <c r="C181" t="s">
        <v>30</v>
      </c>
      <c r="D181" t="s">
        <v>61</v>
      </c>
      <c r="E181" s="1">
        <v>45689.994779511755</v>
      </c>
      <c r="F181" s="3">
        <v>591.58000000000004</v>
      </c>
      <c r="G181" s="5">
        <f t="shared" ca="1" si="4"/>
        <v>1.7637575696280692</v>
      </c>
      <c r="H181" t="str" cm="1">
        <f t="array" aca="1" ref="H181" ca="1">_xlfn.IFS(G181&lt;2,"Excellent handling",AND(G181&gt;2,G181&lt;4)," ",G181&gt;4,"Bad handling")</f>
        <v>Excellent handling</v>
      </c>
      <c r="I181" t="str">
        <f t="shared" si="5"/>
        <v xml:space="preserve"> </v>
      </c>
    </row>
    <row r="182" spans="1:9" x14ac:dyDescent="0.3">
      <c r="A182" s="1">
        <v>45689.188449204928</v>
      </c>
      <c r="B182" t="s">
        <v>48</v>
      </c>
      <c r="C182" t="s">
        <v>45</v>
      </c>
      <c r="D182" t="s">
        <v>60</v>
      </c>
      <c r="E182" s="1">
        <v>45691.822455350928</v>
      </c>
      <c r="F182" s="3">
        <v>142.94</v>
      </c>
      <c r="G182" s="5">
        <f t="shared" ca="1" si="4"/>
        <v>2.6340061459995923</v>
      </c>
      <c r="H182" t="str" cm="1">
        <f t="array" aca="1" ref="H182" ca="1">_xlfn.IFS(G182&lt;2,"Excellent handling",AND(G182&gt;2,G182&lt;4)," ",G182&gt;4,"Bad handling")</f>
        <v xml:space="preserve"> </v>
      </c>
      <c r="I182" t="str">
        <f t="shared" si="5"/>
        <v>Weekend sale</v>
      </c>
    </row>
    <row r="183" spans="1:9" x14ac:dyDescent="0.3">
      <c r="A183" s="1">
        <v>45687.361840074984</v>
      </c>
      <c r="B183" t="s">
        <v>6</v>
      </c>
      <c r="C183" t="s">
        <v>2</v>
      </c>
      <c r="D183" t="s">
        <v>58</v>
      </c>
      <c r="E183" s="1">
        <v>45688.218978258032</v>
      </c>
      <c r="F183" s="3">
        <v>808.68</v>
      </c>
      <c r="G183" s="5">
        <f t="shared" ca="1" si="4"/>
        <v>0.85713818304793676</v>
      </c>
      <c r="H183" t="str" cm="1">
        <f t="array" aca="1" ref="H183" ca="1">_xlfn.IFS(G183&lt;2,"Excellent handling",AND(G183&gt;2,G183&lt;4)," ",G183&gt;4,"Bad handling")</f>
        <v>Excellent handling</v>
      </c>
      <c r="I183" t="str">
        <f t="shared" si="5"/>
        <v xml:space="preserve"> </v>
      </c>
    </row>
    <row r="184" spans="1:9" x14ac:dyDescent="0.3">
      <c r="A184" s="1">
        <v>45649.917930757198</v>
      </c>
      <c r="B184" t="s">
        <v>12</v>
      </c>
      <c r="C184" t="s">
        <v>8</v>
      </c>
      <c r="D184" t="s">
        <v>56</v>
      </c>
      <c r="E184" s="1">
        <v>45652.447281668858</v>
      </c>
      <c r="F184" s="3">
        <v>599.42999999999995</v>
      </c>
      <c r="G184" s="5">
        <f t="shared" ca="1" si="4"/>
        <v>2.5293509116600035</v>
      </c>
      <c r="H184" t="str" cm="1">
        <f t="array" aca="1" ref="H184" ca="1">_xlfn.IFS(G184&lt;2,"Excellent handling",AND(G184&gt;2,G184&lt;4)," ",G184&gt;4,"Bad handling")</f>
        <v xml:space="preserve"> </v>
      </c>
      <c r="I184" t="str">
        <f t="shared" si="5"/>
        <v xml:space="preserve"> </v>
      </c>
    </row>
    <row r="185" spans="1:9" x14ac:dyDescent="0.3">
      <c r="A185" s="1">
        <v>45641.472735342046</v>
      </c>
      <c r="B185" t="s">
        <v>25</v>
      </c>
      <c r="C185" t="s">
        <v>22</v>
      </c>
      <c r="D185" t="s">
        <v>61</v>
      </c>
      <c r="E185" s="1" t="s">
        <v>66</v>
      </c>
      <c r="F185" s="3">
        <v>232.3</v>
      </c>
      <c r="G185" s="5">
        <f t="shared" ca="1" si="4"/>
        <v>413.52726465795422</v>
      </c>
      <c r="H185" t="str" cm="1">
        <f t="array" aca="1" ref="H185" ca="1">_xlfn.IFS(G185&lt;2,"Excellent handling",AND(G185&gt;2,G185&lt;4)," ",G185&gt;4,"Bad handling")</f>
        <v>Bad handling</v>
      </c>
      <c r="I185" t="str">
        <f t="shared" si="5"/>
        <v>Weekend sale</v>
      </c>
    </row>
    <row r="186" spans="1:9" x14ac:dyDescent="0.3">
      <c r="A186" s="1">
        <v>45662.484121700785</v>
      </c>
      <c r="B186" t="s">
        <v>19</v>
      </c>
      <c r="C186" t="s">
        <v>15</v>
      </c>
      <c r="D186" t="s">
        <v>58</v>
      </c>
      <c r="E186" s="1">
        <v>45663.138987102946</v>
      </c>
      <c r="F186" s="3">
        <v>177.64</v>
      </c>
      <c r="G186" s="5">
        <f t="shared" ca="1" si="4"/>
        <v>0.65486540216079447</v>
      </c>
      <c r="H186" t="str" cm="1">
        <f t="array" aca="1" ref="H186" ca="1">_xlfn.IFS(G186&lt;2,"Excellent handling",AND(G186&gt;2,G186&lt;4)," ",G186&gt;4,"Bad handling")</f>
        <v>Excellent handling</v>
      </c>
      <c r="I186" t="str">
        <f t="shared" si="5"/>
        <v>Weekend sale</v>
      </c>
    </row>
    <row r="187" spans="1:9" x14ac:dyDescent="0.3">
      <c r="A187" s="1">
        <v>45638.122429015144</v>
      </c>
      <c r="B187" t="s">
        <v>25</v>
      </c>
      <c r="C187" t="s">
        <v>22</v>
      </c>
      <c r="D187" t="s">
        <v>61</v>
      </c>
      <c r="E187" s="1">
        <v>45639.365885651911</v>
      </c>
      <c r="F187" s="3">
        <v>842.47</v>
      </c>
      <c r="G187" s="5">
        <f t="shared" ca="1" si="4"/>
        <v>1.2434566367664956</v>
      </c>
      <c r="H187" t="str" cm="1">
        <f t="array" aca="1" ref="H187" ca="1">_xlfn.IFS(G187&lt;2,"Excellent handling",AND(G187&gt;2,G187&lt;4)," ",G187&gt;4,"Bad handling")</f>
        <v>Excellent handling</v>
      </c>
      <c r="I187" t="str">
        <f t="shared" si="5"/>
        <v xml:space="preserve"> </v>
      </c>
    </row>
    <row r="188" spans="1:9" x14ac:dyDescent="0.3">
      <c r="A188" s="1">
        <v>45643.183665772623</v>
      </c>
      <c r="B188" t="s">
        <v>43</v>
      </c>
      <c r="C188" t="s">
        <v>41</v>
      </c>
      <c r="D188" t="s">
        <v>57</v>
      </c>
      <c r="E188" s="1">
        <v>45646.32221910185</v>
      </c>
      <c r="F188" s="3">
        <v>793.33</v>
      </c>
      <c r="G188" s="5">
        <f t="shared" ca="1" si="4"/>
        <v>3.1385533292268519</v>
      </c>
      <c r="H188" t="str" cm="1">
        <f t="array" aca="1" ref="H188" ca="1">_xlfn.IFS(G188&lt;2,"Excellent handling",AND(G188&gt;2,G188&lt;4)," ",G188&gt;4,"Bad handling")</f>
        <v xml:space="preserve"> </v>
      </c>
      <c r="I188" t="str">
        <f t="shared" si="5"/>
        <v xml:space="preserve"> </v>
      </c>
    </row>
    <row r="189" spans="1:9" x14ac:dyDescent="0.3">
      <c r="A189" s="1">
        <v>45648.553700582699</v>
      </c>
      <c r="B189" t="s">
        <v>37</v>
      </c>
      <c r="C189" t="s">
        <v>35</v>
      </c>
      <c r="D189" t="s">
        <v>60</v>
      </c>
      <c r="E189" s="1">
        <v>45651.53123833135</v>
      </c>
      <c r="F189" s="3">
        <v>695.75</v>
      </c>
      <c r="G189" s="5">
        <f t="shared" ca="1" si="4"/>
        <v>2.9775377486512298</v>
      </c>
      <c r="H189" t="str" cm="1">
        <f t="array" aca="1" ref="H189" ca="1">_xlfn.IFS(G189&lt;2,"Excellent handling",AND(G189&gt;2,G189&lt;4)," ",G189&gt;4,"Bad handling")</f>
        <v xml:space="preserve"> </v>
      </c>
      <c r="I189" t="str">
        <f t="shared" si="5"/>
        <v>Weekend sale</v>
      </c>
    </row>
    <row r="190" spans="1:9" x14ac:dyDescent="0.3">
      <c r="A190" s="1">
        <v>45651.000341910178</v>
      </c>
      <c r="B190" t="s">
        <v>17</v>
      </c>
      <c r="C190" t="s">
        <v>15</v>
      </c>
      <c r="D190" t="s">
        <v>54</v>
      </c>
      <c r="E190" s="1">
        <v>45656.8311197894</v>
      </c>
      <c r="F190" s="3">
        <v>280.19</v>
      </c>
      <c r="G190" s="5">
        <f t="shared" ca="1" si="4"/>
        <v>5.8307778792222962</v>
      </c>
      <c r="H190" t="str" cm="1">
        <f t="array" aca="1" ref="H190" ca="1">_xlfn.IFS(G190&lt;2,"Excellent handling",AND(G190&gt;2,G190&lt;4)," ",G190&gt;4,"Bad handling")</f>
        <v>Bad handling</v>
      </c>
      <c r="I190" t="str">
        <f t="shared" si="5"/>
        <v xml:space="preserve"> </v>
      </c>
    </row>
    <row r="191" spans="1:9" x14ac:dyDescent="0.3">
      <c r="A191" s="1">
        <v>45677.565622793998</v>
      </c>
      <c r="B191" t="s">
        <v>43</v>
      </c>
      <c r="C191" t="s">
        <v>41</v>
      </c>
      <c r="D191" t="s">
        <v>57</v>
      </c>
      <c r="E191" s="1" t="s">
        <v>64</v>
      </c>
      <c r="F191" s="3">
        <v>173.07</v>
      </c>
      <c r="G191" s="5">
        <f t="shared" ca="1" si="4"/>
        <v>377.43437720600195</v>
      </c>
      <c r="H191" t="str" cm="1">
        <f t="array" aca="1" ref="H191" ca="1">_xlfn.IFS(G191&lt;2,"Excellent handling",AND(G191&gt;2,G191&lt;4)," ",G191&gt;4,"Bad handling")</f>
        <v>Bad handling</v>
      </c>
      <c r="I191" t="str">
        <f t="shared" si="5"/>
        <v xml:space="preserve"> </v>
      </c>
    </row>
    <row r="192" spans="1:9" x14ac:dyDescent="0.3">
      <c r="A192" s="1">
        <v>45668.822539175148</v>
      </c>
      <c r="B192" t="s">
        <v>29</v>
      </c>
      <c r="C192" t="s">
        <v>26</v>
      </c>
      <c r="D192" t="s">
        <v>61</v>
      </c>
      <c r="E192" s="1">
        <v>45670.439632939626</v>
      </c>
      <c r="F192" s="3">
        <v>806.02</v>
      </c>
      <c r="G192" s="5">
        <f t="shared" ca="1" si="4"/>
        <v>1.6170937644783407</v>
      </c>
      <c r="H192" t="str" cm="1">
        <f t="array" aca="1" ref="H192" ca="1">_xlfn.IFS(G192&lt;2,"Excellent handling",AND(G192&gt;2,G192&lt;4)," ",G192&gt;4,"Bad handling")</f>
        <v>Excellent handling</v>
      </c>
      <c r="I192" t="str">
        <f t="shared" si="5"/>
        <v>Weekend sale</v>
      </c>
    </row>
    <row r="193" spans="1:9" x14ac:dyDescent="0.3">
      <c r="A193" s="1">
        <v>45632.58632481825</v>
      </c>
      <c r="B193" t="s">
        <v>21</v>
      </c>
      <c r="C193" t="s">
        <v>15</v>
      </c>
      <c r="D193" t="s">
        <v>60</v>
      </c>
      <c r="E193" s="1">
        <v>45633.780519683911</v>
      </c>
      <c r="F193" s="3">
        <v>292.14999999999998</v>
      </c>
      <c r="G193" s="5">
        <f t="shared" ca="1" si="4"/>
        <v>1.1941948656603927</v>
      </c>
      <c r="H193" t="str" cm="1">
        <f t="array" aca="1" ref="H193" ca="1">_xlfn.IFS(G193&lt;2,"Excellent handling",AND(G193&gt;2,G193&lt;4)," ",G193&gt;4,"Bad handling")</f>
        <v>Excellent handling</v>
      </c>
      <c r="I193" t="str">
        <f t="shared" si="5"/>
        <v xml:space="preserve"> </v>
      </c>
    </row>
    <row r="194" spans="1:9" x14ac:dyDescent="0.3">
      <c r="A194" s="1">
        <v>45644.999376179738</v>
      </c>
      <c r="B194" t="s">
        <v>24</v>
      </c>
      <c r="C194" t="s">
        <v>22</v>
      </c>
      <c r="D194" t="s">
        <v>54</v>
      </c>
      <c r="E194" s="1">
        <v>45645.503870214372</v>
      </c>
      <c r="F194" s="3">
        <v>453.52</v>
      </c>
      <c r="G194" s="5">
        <f t="shared" ca="1" si="4"/>
        <v>0.50449403463426279</v>
      </c>
      <c r="H194" t="str" cm="1">
        <f t="array" aca="1" ref="H194" ca="1">_xlfn.IFS(G194&lt;2,"Excellent handling",AND(G194&gt;2,G194&lt;4)," ",G194&gt;4,"Bad handling")</f>
        <v>Excellent handling</v>
      </c>
      <c r="I194" t="str">
        <f t="shared" si="5"/>
        <v xml:space="preserve"> </v>
      </c>
    </row>
    <row r="195" spans="1:9" x14ac:dyDescent="0.3">
      <c r="A195" s="1">
        <v>45641.820693074878</v>
      </c>
      <c r="B195" t="s">
        <v>39</v>
      </c>
      <c r="C195" t="s">
        <v>38</v>
      </c>
      <c r="D195" t="s">
        <v>57</v>
      </c>
      <c r="E195" s="1">
        <v>45644.364366413647</v>
      </c>
      <c r="F195" s="3">
        <v>630.54999999999995</v>
      </c>
      <c r="G195" s="5">
        <f t="shared" ref="G195:G258" ca="1" si="6">IF(ISTEXT(E195),TODAY(),E195)-A195</f>
        <v>2.5436733387687127</v>
      </c>
      <c r="H195" t="str" cm="1">
        <f t="array" aca="1" ref="H195" ca="1">_xlfn.IFS(G195&lt;2,"Excellent handling",AND(G195&gt;2,G195&lt;4)," ",G195&gt;4,"Bad handling")</f>
        <v xml:space="preserve"> </v>
      </c>
      <c r="I195" t="str">
        <f t="shared" ref="I195:I258" si="7">IF(OR(WEEKDAY(A195)=7,WEEKDAY(A195)=1),"Weekend sale"," ")</f>
        <v>Weekend sale</v>
      </c>
    </row>
    <row r="196" spans="1:9" x14ac:dyDescent="0.3">
      <c r="A196" s="1">
        <v>45677.8572847041</v>
      </c>
      <c r="B196" t="s">
        <v>6</v>
      </c>
      <c r="C196" t="s">
        <v>2</v>
      </c>
      <c r="D196" t="s">
        <v>58</v>
      </c>
      <c r="E196" s="1">
        <v>45680.371538382526</v>
      </c>
      <c r="F196" s="3">
        <v>496.22</v>
      </c>
      <c r="G196" s="5">
        <f t="shared" ca="1" si="6"/>
        <v>2.5142536784260301</v>
      </c>
      <c r="H196" t="str" cm="1">
        <f t="array" aca="1" ref="H196" ca="1">_xlfn.IFS(G196&lt;2,"Excellent handling",AND(G196&gt;2,G196&lt;4)," ",G196&gt;4,"Bad handling")</f>
        <v xml:space="preserve"> </v>
      </c>
      <c r="I196" t="str">
        <f t="shared" si="7"/>
        <v xml:space="preserve"> </v>
      </c>
    </row>
    <row r="197" spans="1:9" x14ac:dyDescent="0.3">
      <c r="A197" s="1">
        <v>45638.026708679048</v>
      </c>
      <c r="B197" t="s">
        <v>3</v>
      </c>
      <c r="C197" t="s">
        <v>2</v>
      </c>
      <c r="D197" t="s">
        <v>54</v>
      </c>
      <c r="E197" s="1">
        <v>45639.510811275417</v>
      </c>
      <c r="F197" s="3">
        <v>159.03</v>
      </c>
      <c r="G197" s="5">
        <f t="shared" ca="1" si="6"/>
        <v>1.4841025963687571</v>
      </c>
      <c r="H197" t="str" cm="1">
        <f t="array" aca="1" ref="H197" ca="1">_xlfn.IFS(G197&lt;2,"Excellent handling",AND(G197&gt;2,G197&lt;4)," ",G197&gt;4,"Bad handling")</f>
        <v>Excellent handling</v>
      </c>
      <c r="I197" t="str">
        <f t="shared" si="7"/>
        <v xml:space="preserve"> </v>
      </c>
    </row>
    <row r="198" spans="1:9" x14ac:dyDescent="0.3">
      <c r="A198" s="1">
        <v>45650.287250950212</v>
      </c>
      <c r="B198" t="s">
        <v>44</v>
      </c>
      <c r="C198" t="s">
        <v>41</v>
      </c>
      <c r="D198" t="s">
        <v>62</v>
      </c>
      <c r="E198" s="1">
        <v>45652.272243322761</v>
      </c>
      <c r="F198" s="3">
        <v>500.31</v>
      </c>
      <c r="G198" s="5">
        <f t="shared" ca="1" si="6"/>
        <v>1.9849923725487315</v>
      </c>
      <c r="H198" t="str" cm="1">
        <f t="array" aca="1" ref="H198" ca="1">_xlfn.IFS(G198&lt;2,"Excellent handling",AND(G198&gt;2,G198&lt;4)," ",G198&gt;4,"Bad handling")</f>
        <v>Excellent handling</v>
      </c>
      <c r="I198" t="str">
        <f t="shared" si="7"/>
        <v xml:space="preserve"> </v>
      </c>
    </row>
    <row r="199" spans="1:9" x14ac:dyDescent="0.3">
      <c r="A199" s="1">
        <v>45634.453043230213</v>
      </c>
      <c r="B199" t="s">
        <v>17</v>
      </c>
      <c r="C199" t="s">
        <v>15</v>
      </c>
      <c r="D199" t="s">
        <v>54</v>
      </c>
      <c r="E199" s="1">
        <v>45635.28039016774</v>
      </c>
      <c r="F199" s="3">
        <v>526.54999999999995</v>
      </c>
      <c r="G199" s="5">
        <f t="shared" ca="1" si="6"/>
        <v>0.82734693752718158</v>
      </c>
      <c r="H199" t="str" cm="1">
        <f t="array" aca="1" ref="H199" ca="1">_xlfn.IFS(G199&lt;2,"Excellent handling",AND(G199&gt;2,G199&lt;4)," ",G199&gt;4,"Bad handling")</f>
        <v>Excellent handling</v>
      </c>
      <c r="I199" t="str">
        <f t="shared" si="7"/>
        <v>Weekend sale</v>
      </c>
    </row>
    <row r="200" spans="1:9" x14ac:dyDescent="0.3">
      <c r="A200" s="1">
        <v>45690.861655876826</v>
      </c>
      <c r="B200" t="s">
        <v>5</v>
      </c>
      <c r="C200" t="s">
        <v>2</v>
      </c>
      <c r="D200" t="s">
        <v>55</v>
      </c>
      <c r="E200" s="1">
        <v>45693.353222100064</v>
      </c>
      <c r="F200" s="3">
        <v>65.02</v>
      </c>
      <c r="G200" s="5">
        <f t="shared" ca="1" si="6"/>
        <v>2.4915662232378963</v>
      </c>
      <c r="H200" t="str" cm="1">
        <f t="array" aca="1" ref="H200" ca="1">_xlfn.IFS(G200&lt;2,"Excellent handling",AND(G200&gt;2,G200&lt;4)," ",G200&gt;4,"Bad handling")</f>
        <v xml:space="preserve"> </v>
      </c>
      <c r="I200" t="str">
        <f t="shared" si="7"/>
        <v>Weekend sale</v>
      </c>
    </row>
    <row r="201" spans="1:9" x14ac:dyDescent="0.3">
      <c r="A201" s="1">
        <v>45690.146694954783</v>
      </c>
      <c r="B201" t="s">
        <v>5</v>
      </c>
      <c r="C201" t="s">
        <v>2</v>
      </c>
      <c r="D201" t="s">
        <v>55</v>
      </c>
      <c r="E201" s="1">
        <v>45692.195297023485</v>
      </c>
      <c r="F201" s="3">
        <v>662.91</v>
      </c>
      <c r="G201" s="5">
        <f t="shared" ca="1" si="6"/>
        <v>2.0486020687021664</v>
      </c>
      <c r="H201" t="str" cm="1">
        <f t="array" aca="1" ref="H201" ca="1">_xlfn.IFS(G201&lt;2,"Excellent handling",AND(G201&gt;2,G201&lt;4)," ",G201&gt;4,"Bad handling")</f>
        <v xml:space="preserve"> </v>
      </c>
      <c r="I201" t="str">
        <f t="shared" si="7"/>
        <v>Weekend sale</v>
      </c>
    </row>
    <row r="202" spans="1:9" x14ac:dyDescent="0.3">
      <c r="A202" s="1">
        <v>45680.344342302888</v>
      </c>
      <c r="B202" t="s">
        <v>44</v>
      </c>
      <c r="C202" t="s">
        <v>41</v>
      </c>
      <c r="D202" t="s">
        <v>62</v>
      </c>
      <c r="E202" s="1">
        <v>45681.216478008188</v>
      </c>
      <c r="F202" s="3">
        <v>197.18</v>
      </c>
      <c r="G202" s="5">
        <f t="shared" ca="1" si="6"/>
        <v>0.87213570530002471</v>
      </c>
      <c r="H202" t="str" cm="1">
        <f t="array" aca="1" ref="H202" ca="1">_xlfn.IFS(G202&lt;2,"Excellent handling",AND(G202&gt;2,G202&lt;4)," ",G202&gt;4,"Bad handling")</f>
        <v>Excellent handling</v>
      </c>
      <c r="I202" t="str">
        <f t="shared" si="7"/>
        <v xml:space="preserve"> </v>
      </c>
    </row>
    <row r="203" spans="1:9" x14ac:dyDescent="0.3">
      <c r="A203" s="1">
        <v>45687.546162824001</v>
      </c>
      <c r="B203" t="s">
        <v>7</v>
      </c>
      <c r="C203" t="s">
        <v>2</v>
      </c>
      <c r="D203" t="s">
        <v>54</v>
      </c>
      <c r="E203" s="1">
        <v>45688.069733493248</v>
      </c>
      <c r="F203" s="3">
        <v>539.16999999999996</v>
      </c>
      <c r="G203" s="5">
        <f t="shared" ca="1" si="6"/>
        <v>0.52357066924741957</v>
      </c>
      <c r="H203" t="str" cm="1">
        <f t="array" aca="1" ref="H203" ca="1">_xlfn.IFS(G203&lt;2,"Excellent handling",AND(G203&gt;2,G203&lt;4)," ",G203&gt;4,"Bad handling")</f>
        <v>Excellent handling</v>
      </c>
      <c r="I203" t="str">
        <f t="shared" si="7"/>
        <v xml:space="preserve"> </v>
      </c>
    </row>
    <row r="204" spans="1:9" x14ac:dyDescent="0.3">
      <c r="A204" s="1">
        <v>45691.697420507655</v>
      </c>
      <c r="B204" t="s">
        <v>39</v>
      </c>
      <c r="C204" t="s">
        <v>38</v>
      </c>
      <c r="D204" t="s">
        <v>57</v>
      </c>
      <c r="E204" s="1">
        <v>45694.640414281945</v>
      </c>
      <c r="F204" s="3">
        <v>160.66</v>
      </c>
      <c r="G204" s="5">
        <f t="shared" ca="1" si="6"/>
        <v>2.9429937742897891</v>
      </c>
      <c r="H204" t="str" cm="1">
        <f t="array" aca="1" ref="H204" ca="1">_xlfn.IFS(G204&lt;2,"Excellent handling",AND(G204&gt;2,G204&lt;4)," ",G204&gt;4,"Bad handling")</f>
        <v xml:space="preserve"> </v>
      </c>
      <c r="I204" t="str">
        <f t="shared" si="7"/>
        <v xml:space="preserve"> </v>
      </c>
    </row>
    <row r="205" spans="1:9" x14ac:dyDescent="0.3">
      <c r="A205" s="1">
        <v>45628.255212665397</v>
      </c>
      <c r="B205" t="s">
        <v>19</v>
      </c>
      <c r="C205" t="s">
        <v>15</v>
      </c>
      <c r="D205" t="s">
        <v>58</v>
      </c>
      <c r="E205" s="1">
        <v>45631.079567027627</v>
      </c>
      <c r="F205" s="3">
        <v>674.47</v>
      </c>
      <c r="G205" s="5">
        <f t="shared" ca="1" si="6"/>
        <v>2.8243543622302241</v>
      </c>
      <c r="H205" t="str" cm="1">
        <f t="array" aca="1" ref="H205" ca="1">_xlfn.IFS(G205&lt;2,"Excellent handling",AND(G205&gt;2,G205&lt;4)," ",G205&gt;4,"Bad handling")</f>
        <v xml:space="preserve"> </v>
      </c>
      <c r="I205" t="str">
        <f t="shared" si="7"/>
        <v xml:space="preserve"> </v>
      </c>
    </row>
    <row r="206" spans="1:9" x14ac:dyDescent="0.3">
      <c r="A206" s="1">
        <v>45674.727907568638</v>
      </c>
      <c r="B206" t="s">
        <v>9</v>
      </c>
      <c r="C206" t="s">
        <v>8</v>
      </c>
      <c r="D206" t="s">
        <v>54</v>
      </c>
      <c r="E206" s="1">
        <v>45677.531244082136</v>
      </c>
      <c r="F206" s="3">
        <v>714.57</v>
      </c>
      <c r="G206" s="5">
        <f t="shared" ca="1" si="6"/>
        <v>2.8033365134979249</v>
      </c>
      <c r="H206" t="str" cm="1">
        <f t="array" aca="1" ref="H206" ca="1">_xlfn.IFS(G206&lt;2,"Excellent handling",AND(G206&gt;2,G206&lt;4)," ",G206&gt;4,"Bad handling")</f>
        <v xml:space="preserve"> </v>
      </c>
      <c r="I206" t="str">
        <f t="shared" si="7"/>
        <v xml:space="preserve"> </v>
      </c>
    </row>
    <row r="207" spans="1:9" x14ac:dyDescent="0.3">
      <c r="A207" s="1">
        <v>45683.340175204721</v>
      </c>
      <c r="B207" t="s">
        <v>27</v>
      </c>
      <c r="C207" t="s">
        <v>26</v>
      </c>
      <c r="D207" t="s">
        <v>55</v>
      </c>
      <c r="E207" s="1">
        <v>45684.70717527558</v>
      </c>
      <c r="F207" s="3">
        <v>460.58</v>
      </c>
      <c r="G207" s="5">
        <f t="shared" ca="1" si="6"/>
        <v>1.3670000708589214</v>
      </c>
      <c r="H207" t="str" cm="1">
        <f t="array" aca="1" ref="H207" ca="1">_xlfn.IFS(G207&lt;2,"Excellent handling",AND(G207&gt;2,G207&lt;4)," ",G207&gt;4,"Bad handling")</f>
        <v>Excellent handling</v>
      </c>
      <c r="I207" t="str">
        <f t="shared" si="7"/>
        <v>Weekend sale</v>
      </c>
    </row>
    <row r="208" spans="1:9" x14ac:dyDescent="0.3">
      <c r="A208" s="1">
        <v>45662.835387361774</v>
      </c>
      <c r="B208" t="s">
        <v>3</v>
      </c>
      <c r="C208" t="s">
        <v>2</v>
      </c>
      <c r="D208" t="s">
        <v>54</v>
      </c>
      <c r="E208" s="1">
        <v>45667.447477312315</v>
      </c>
      <c r="F208" s="3">
        <v>230.65</v>
      </c>
      <c r="G208" s="5">
        <f t="shared" ca="1" si="6"/>
        <v>4.6120899505403941</v>
      </c>
      <c r="H208" t="str" cm="1">
        <f t="array" aca="1" ref="H208" ca="1">_xlfn.IFS(G208&lt;2,"Excellent handling",AND(G208&gt;2,G208&lt;4)," ",G208&gt;4,"Bad handling")</f>
        <v>Bad handling</v>
      </c>
      <c r="I208" t="str">
        <f t="shared" si="7"/>
        <v>Weekend sale</v>
      </c>
    </row>
    <row r="209" spans="1:9" x14ac:dyDescent="0.3">
      <c r="A209" s="1">
        <v>45685.644153126843</v>
      </c>
      <c r="B209" t="s">
        <v>13</v>
      </c>
      <c r="C209" t="s">
        <v>8</v>
      </c>
      <c r="D209" t="s">
        <v>57</v>
      </c>
      <c r="E209" s="1">
        <v>45686.770685318828</v>
      </c>
      <c r="F209" s="3">
        <v>732.37</v>
      </c>
      <c r="G209" s="5">
        <f t="shared" ca="1" si="6"/>
        <v>1.1265321919854614</v>
      </c>
      <c r="H209" t="str" cm="1">
        <f t="array" aca="1" ref="H209" ca="1">_xlfn.IFS(G209&lt;2,"Excellent handling",AND(G209&gt;2,G209&lt;4)," ",G209&gt;4,"Bad handling")</f>
        <v>Excellent handling</v>
      </c>
      <c r="I209" t="str">
        <f t="shared" si="7"/>
        <v xml:space="preserve"> </v>
      </c>
    </row>
    <row r="210" spans="1:9" x14ac:dyDescent="0.3">
      <c r="A210" s="1">
        <v>45637.725069449029</v>
      </c>
      <c r="B210" t="s">
        <v>25</v>
      </c>
      <c r="C210" t="s">
        <v>22</v>
      </c>
      <c r="D210" t="s">
        <v>61</v>
      </c>
      <c r="E210" s="1">
        <v>45640.429016645387</v>
      </c>
      <c r="F210" s="3">
        <v>132.30000000000001</v>
      </c>
      <c r="G210" s="5">
        <f t="shared" ca="1" si="6"/>
        <v>2.7039471963580581</v>
      </c>
      <c r="H210" t="str" cm="1">
        <f t="array" aca="1" ref="H210" ca="1">_xlfn.IFS(G210&lt;2,"Excellent handling",AND(G210&gt;2,G210&lt;4)," ",G210&gt;4,"Bad handling")</f>
        <v xml:space="preserve"> </v>
      </c>
      <c r="I210" t="str">
        <f t="shared" si="7"/>
        <v xml:space="preserve"> </v>
      </c>
    </row>
    <row r="211" spans="1:9" x14ac:dyDescent="0.3">
      <c r="A211" s="1">
        <v>45689.098216765429</v>
      </c>
      <c r="B211" t="s">
        <v>31</v>
      </c>
      <c r="C211" t="s">
        <v>30</v>
      </c>
      <c r="D211" t="s">
        <v>56</v>
      </c>
      <c r="E211" s="1">
        <v>45691.339272753619</v>
      </c>
      <c r="F211" s="3">
        <v>290.07</v>
      </c>
      <c r="G211" s="5">
        <f t="shared" ca="1" si="6"/>
        <v>2.2410559881900554</v>
      </c>
      <c r="H211" t="str" cm="1">
        <f t="array" aca="1" ref="H211" ca="1">_xlfn.IFS(G211&lt;2,"Excellent handling",AND(G211&gt;2,G211&lt;4)," ",G211&gt;4,"Bad handling")</f>
        <v xml:space="preserve"> </v>
      </c>
      <c r="I211" t="str">
        <f t="shared" si="7"/>
        <v>Weekend sale</v>
      </c>
    </row>
    <row r="212" spans="1:9" x14ac:dyDescent="0.3">
      <c r="A212" s="1">
        <v>45669.255716241118</v>
      </c>
      <c r="B212" t="s">
        <v>17</v>
      </c>
      <c r="C212" t="s">
        <v>15</v>
      </c>
      <c r="D212" t="s">
        <v>54</v>
      </c>
      <c r="E212" s="1">
        <v>45669.701249312966</v>
      </c>
      <c r="F212" s="3">
        <v>785.91</v>
      </c>
      <c r="G212" s="5">
        <f t="shared" ca="1" si="6"/>
        <v>0.44553307184833102</v>
      </c>
      <c r="H212" t="str" cm="1">
        <f t="array" aca="1" ref="H212" ca="1">_xlfn.IFS(G212&lt;2,"Excellent handling",AND(G212&gt;2,G212&lt;4)," ",G212&gt;4,"Bad handling")</f>
        <v>Excellent handling</v>
      </c>
      <c r="I212" t="str">
        <f t="shared" si="7"/>
        <v>Weekend sale</v>
      </c>
    </row>
    <row r="213" spans="1:9" x14ac:dyDescent="0.3">
      <c r="A213" s="1">
        <v>45695.618079638341</v>
      </c>
      <c r="B213" t="s">
        <v>46</v>
      </c>
      <c r="C213" t="s">
        <v>45</v>
      </c>
      <c r="D213" t="s">
        <v>59</v>
      </c>
      <c r="E213" s="1">
        <v>45699.81853697764</v>
      </c>
      <c r="F213" s="3">
        <v>211.84</v>
      </c>
      <c r="G213" s="5">
        <f t="shared" ca="1" si="6"/>
        <v>4.2004573392987368</v>
      </c>
      <c r="H213" t="str" cm="1">
        <f t="array" aca="1" ref="H213" ca="1">_xlfn.IFS(G213&lt;2,"Excellent handling",AND(G213&gt;2,G213&lt;4)," ",G213&gt;4,"Bad handling")</f>
        <v>Bad handling</v>
      </c>
      <c r="I213" t="str">
        <f t="shared" si="7"/>
        <v xml:space="preserve"> </v>
      </c>
    </row>
    <row r="214" spans="1:9" x14ac:dyDescent="0.3">
      <c r="A214" s="1">
        <v>45693.352952028887</v>
      </c>
      <c r="B214" t="s">
        <v>37</v>
      </c>
      <c r="C214" t="s">
        <v>35</v>
      </c>
      <c r="D214" t="s">
        <v>60</v>
      </c>
      <c r="E214" s="1">
        <v>45694.668415172076</v>
      </c>
      <c r="F214" s="3">
        <v>614.41999999999996</v>
      </c>
      <c r="G214" s="5">
        <f t="shared" ca="1" si="6"/>
        <v>1.3154631431898451</v>
      </c>
      <c r="H214" t="str" cm="1">
        <f t="array" aca="1" ref="H214" ca="1">_xlfn.IFS(G214&lt;2,"Excellent handling",AND(G214&gt;2,G214&lt;4)," ",G214&gt;4,"Bad handling")</f>
        <v>Excellent handling</v>
      </c>
      <c r="I214" t="str">
        <f t="shared" si="7"/>
        <v xml:space="preserve"> </v>
      </c>
    </row>
    <row r="215" spans="1:9" x14ac:dyDescent="0.3">
      <c r="A215" s="1">
        <v>45689.427443364089</v>
      </c>
      <c r="B215" t="s">
        <v>24</v>
      </c>
      <c r="C215" t="s">
        <v>22</v>
      </c>
      <c r="D215" t="s">
        <v>54</v>
      </c>
      <c r="E215" s="1">
        <v>45691.760995145822</v>
      </c>
      <c r="F215" s="3">
        <v>518.21</v>
      </c>
      <c r="G215" s="5">
        <f t="shared" ca="1" si="6"/>
        <v>2.3335517817322398</v>
      </c>
      <c r="H215" t="str" cm="1">
        <f t="array" aca="1" ref="H215" ca="1">_xlfn.IFS(G215&lt;2,"Excellent handling",AND(G215&gt;2,G215&lt;4)," ",G215&gt;4,"Bad handling")</f>
        <v xml:space="preserve"> </v>
      </c>
      <c r="I215" t="str">
        <f t="shared" si="7"/>
        <v>Weekend sale</v>
      </c>
    </row>
    <row r="216" spans="1:9" x14ac:dyDescent="0.3">
      <c r="A216" s="1">
        <v>45641.952333935384</v>
      </c>
      <c r="B216" t="s">
        <v>17</v>
      </c>
      <c r="C216" t="s">
        <v>15</v>
      </c>
      <c r="D216" t="s">
        <v>54</v>
      </c>
      <c r="E216" s="1">
        <v>45644.898350344287</v>
      </c>
      <c r="F216" s="3">
        <v>31.29</v>
      </c>
      <c r="G216" s="5">
        <f t="shared" ca="1" si="6"/>
        <v>2.9460164089032332</v>
      </c>
      <c r="H216" t="str" cm="1">
        <f t="array" aca="1" ref="H216" ca="1">_xlfn.IFS(G216&lt;2,"Excellent handling",AND(G216&gt;2,G216&lt;4)," ",G216&gt;4,"Bad handling")</f>
        <v xml:space="preserve"> </v>
      </c>
      <c r="I216" t="str">
        <f t="shared" si="7"/>
        <v>Weekend sale</v>
      </c>
    </row>
    <row r="217" spans="1:9" x14ac:dyDescent="0.3">
      <c r="A217" s="1">
        <v>45676.171025566953</v>
      </c>
      <c r="B217" t="s">
        <v>16</v>
      </c>
      <c r="C217" t="s">
        <v>15</v>
      </c>
      <c r="D217" t="s">
        <v>60</v>
      </c>
      <c r="E217" s="1" t="s">
        <v>64</v>
      </c>
      <c r="F217" s="3">
        <v>477</v>
      </c>
      <c r="G217" s="5">
        <f t="shared" ca="1" si="6"/>
        <v>378.82897443304682</v>
      </c>
      <c r="H217" t="str" cm="1">
        <f t="array" aca="1" ref="H217" ca="1">_xlfn.IFS(G217&lt;2,"Excellent handling",AND(G217&gt;2,G217&lt;4)," ",G217&gt;4,"Bad handling")</f>
        <v>Bad handling</v>
      </c>
      <c r="I217" t="str">
        <f t="shared" si="7"/>
        <v>Weekend sale</v>
      </c>
    </row>
    <row r="218" spans="1:9" x14ac:dyDescent="0.3">
      <c r="A218" s="1">
        <v>45627.636077108407</v>
      </c>
      <c r="B218" t="s">
        <v>11</v>
      </c>
      <c r="C218" t="s">
        <v>8</v>
      </c>
      <c r="D218" t="s">
        <v>57</v>
      </c>
      <c r="E218" s="1">
        <v>45632.948670855323</v>
      </c>
      <c r="F218" s="3">
        <v>309.66000000000003</v>
      </c>
      <c r="G218" s="5">
        <f t="shared" ca="1" si="6"/>
        <v>5.3125937469158089</v>
      </c>
      <c r="H218" t="str" cm="1">
        <f t="array" aca="1" ref="H218" ca="1">_xlfn.IFS(G218&lt;2,"Excellent handling",AND(G218&gt;2,G218&lt;4)," ",G218&gt;4,"Bad handling")</f>
        <v>Bad handling</v>
      </c>
      <c r="I218" t="str">
        <f t="shared" si="7"/>
        <v>Weekend sale</v>
      </c>
    </row>
    <row r="219" spans="1:9" x14ac:dyDescent="0.3">
      <c r="A219" s="1">
        <v>45650.820417923547</v>
      </c>
      <c r="B219" t="s">
        <v>9</v>
      </c>
      <c r="C219" t="s">
        <v>8</v>
      </c>
      <c r="D219" t="s">
        <v>54</v>
      </c>
      <c r="E219" s="1" t="s">
        <v>66</v>
      </c>
      <c r="F219" s="3">
        <v>114.13</v>
      </c>
      <c r="G219" s="5">
        <f t="shared" ca="1" si="6"/>
        <v>404.17958207645279</v>
      </c>
      <c r="H219" t="str" cm="1">
        <f t="array" aca="1" ref="H219" ca="1">_xlfn.IFS(G219&lt;2,"Excellent handling",AND(G219&gt;2,G219&lt;4)," ",G219&gt;4,"Bad handling")</f>
        <v>Bad handling</v>
      </c>
      <c r="I219" t="str">
        <f t="shared" si="7"/>
        <v xml:space="preserve"> </v>
      </c>
    </row>
    <row r="220" spans="1:9" x14ac:dyDescent="0.3">
      <c r="A220" s="1">
        <v>45657.049087709514</v>
      </c>
      <c r="B220" t="s">
        <v>14</v>
      </c>
      <c r="C220" t="s">
        <v>8</v>
      </c>
      <c r="D220" t="s">
        <v>54</v>
      </c>
      <c r="E220" s="1">
        <v>45658.575564785409</v>
      </c>
      <c r="F220" s="3">
        <v>502.77</v>
      </c>
      <c r="G220" s="5">
        <f t="shared" ca="1" si="6"/>
        <v>1.5264770758949453</v>
      </c>
      <c r="H220" t="str" cm="1">
        <f t="array" aca="1" ref="H220" ca="1">_xlfn.IFS(G220&lt;2,"Excellent handling",AND(G220&gt;2,G220&lt;4)," ",G220&gt;4,"Bad handling")</f>
        <v>Excellent handling</v>
      </c>
      <c r="I220" t="str">
        <f t="shared" si="7"/>
        <v xml:space="preserve"> </v>
      </c>
    </row>
    <row r="221" spans="1:9" x14ac:dyDescent="0.3">
      <c r="A221" s="1">
        <v>45644.310180983251</v>
      </c>
      <c r="B221" t="s">
        <v>46</v>
      </c>
      <c r="C221" t="s">
        <v>45</v>
      </c>
      <c r="D221" t="s">
        <v>59</v>
      </c>
      <c r="E221" s="1">
        <v>45649.816158206129</v>
      </c>
      <c r="F221" s="3">
        <v>274.77</v>
      </c>
      <c r="G221" s="5">
        <f t="shared" ca="1" si="6"/>
        <v>5.5059772228778456</v>
      </c>
      <c r="H221" t="str" cm="1">
        <f t="array" aca="1" ref="H221" ca="1">_xlfn.IFS(G221&lt;2,"Excellent handling",AND(G221&gt;2,G221&lt;4)," ",G221&gt;4,"Bad handling")</f>
        <v>Bad handling</v>
      </c>
      <c r="I221" t="str">
        <f t="shared" si="7"/>
        <v xml:space="preserve"> </v>
      </c>
    </row>
    <row r="222" spans="1:9" x14ac:dyDescent="0.3">
      <c r="A222" s="1">
        <v>45629.638399225878</v>
      </c>
      <c r="B222" t="s">
        <v>28</v>
      </c>
      <c r="C222" t="s">
        <v>26</v>
      </c>
      <c r="D222" t="s">
        <v>60</v>
      </c>
      <c r="E222" s="1">
        <v>45633.586341284587</v>
      </c>
      <c r="F222" s="3">
        <v>55.74</v>
      </c>
      <c r="G222" s="5">
        <f t="shared" ca="1" si="6"/>
        <v>3.947942058708577</v>
      </c>
      <c r="H222" t="str" cm="1">
        <f t="array" aca="1" ref="H222" ca="1">_xlfn.IFS(G222&lt;2,"Excellent handling",AND(G222&gt;2,G222&lt;4)," ",G222&gt;4,"Bad handling")</f>
        <v xml:space="preserve"> </v>
      </c>
      <c r="I222" t="str">
        <f t="shared" si="7"/>
        <v xml:space="preserve"> </v>
      </c>
    </row>
    <row r="223" spans="1:9" x14ac:dyDescent="0.3">
      <c r="A223" s="1">
        <v>45638.961329563877</v>
      </c>
      <c r="B223" t="s">
        <v>5</v>
      </c>
      <c r="C223" t="s">
        <v>2</v>
      </c>
      <c r="D223" t="s">
        <v>55</v>
      </c>
      <c r="E223" s="1">
        <v>45640.901341824916</v>
      </c>
      <c r="F223" s="3">
        <v>664.89</v>
      </c>
      <c r="G223" s="5">
        <f t="shared" ca="1" si="6"/>
        <v>1.9400122610386461</v>
      </c>
      <c r="H223" t="str" cm="1">
        <f t="array" aca="1" ref="H223" ca="1">_xlfn.IFS(G223&lt;2,"Excellent handling",AND(G223&gt;2,G223&lt;4)," ",G223&gt;4,"Bad handling")</f>
        <v>Excellent handling</v>
      </c>
      <c r="I223" t="str">
        <f t="shared" si="7"/>
        <v xml:space="preserve"> </v>
      </c>
    </row>
    <row r="224" spans="1:9" x14ac:dyDescent="0.3">
      <c r="A224" s="1">
        <v>45662.314090888576</v>
      </c>
      <c r="B224" t="s">
        <v>47</v>
      </c>
      <c r="C224" t="s">
        <v>45</v>
      </c>
      <c r="D224" t="s">
        <v>59</v>
      </c>
      <c r="E224" s="1">
        <v>45665.441580875216</v>
      </c>
      <c r="F224" s="3">
        <v>469.95</v>
      </c>
      <c r="G224" s="5">
        <f t="shared" ca="1" si="6"/>
        <v>3.1274899866402848</v>
      </c>
      <c r="H224" t="str" cm="1">
        <f t="array" aca="1" ref="H224" ca="1">_xlfn.IFS(G224&lt;2,"Excellent handling",AND(G224&gt;2,G224&lt;4)," ",G224&gt;4,"Bad handling")</f>
        <v xml:space="preserve"> </v>
      </c>
      <c r="I224" t="str">
        <f t="shared" si="7"/>
        <v>Weekend sale</v>
      </c>
    </row>
    <row r="225" spans="1:9" x14ac:dyDescent="0.3">
      <c r="A225" s="1">
        <v>45679.504139462639</v>
      </c>
      <c r="B225" t="s">
        <v>29</v>
      </c>
      <c r="C225" t="s">
        <v>26</v>
      </c>
      <c r="D225" t="s">
        <v>61</v>
      </c>
      <c r="E225" s="1">
        <v>45681.980497269877</v>
      </c>
      <c r="F225" s="3">
        <v>782.37</v>
      </c>
      <c r="G225" s="5">
        <f t="shared" ca="1" si="6"/>
        <v>2.476357807237946</v>
      </c>
      <c r="H225" t="str" cm="1">
        <f t="array" aca="1" ref="H225" ca="1">_xlfn.IFS(G225&lt;2,"Excellent handling",AND(G225&gt;2,G225&lt;4)," ",G225&gt;4,"Bad handling")</f>
        <v xml:space="preserve"> </v>
      </c>
      <c r="I225" t="str">
        <f t="shared" si="7"/>
        <v xml:space="preserve"> </v>
      </c>
    </row>
    <row r="226" spans="1:9" x14ac:dyDescent="0.3">
      <c r="A226" s="1">
        <v>45680.124511832881</v>
      </c>
      <c r="B226" t="s">
        <v>19</v>
      </c>
      <c r="C226" t="s">
        <v>15</v>
      </c>
      <c r="D226" t="s">
        <v>58</v>
      </c>
      <c r="E226" s="1">
        <v>45682.553374180439</v>
      </c>
      <c r="F226" s="3">
        <v>356.95</v>
      </c>
      <c r="G226" s="5">
        <f t="shared" ca="1" si="6"/>
        <v>2.4288623475586064</v>
      </c>
      <c r="H226" t="str" cm="1">
        <f t="array" aca="1" ref="H226" ca="1">_xlfn.IFS(G226&lt;2,"Excellent handling",AND(G226&gt;2,G226&lt;4)," ",G226&gt;4,"Bad handling")</f>
        <v xml:space="preserve"> </v>
      </c>
      <c r="I226" t="str">
        <f t="shared" si="7"/>
        <v xml:space="preserve"> </v>
      </c>
    </row>
    <row r="227" spans="1:9" x14ac:dyDescent="0.3">
      <c r="A227" s="1">
        <v>45637.285625117751</v>
      </c>
      <c r="B227" t="s">
        <v>29</v>
      </c>
      <c r="C227" t="s">
        <v>26</v>
      </c>
      <c r="D227" t="s">
        <v>61</v>
      </c>
      <c r="E227" s="1">
        <v>45642.339930293878</v>
      </c>
      <c r="F227" s="3">
        <v>552.48</v>
      </c>
      <c r="G227" s="5">
        <f t="shared" ca="1" si="6"/>
        <v>5.0543051761269453</v>
      </c>
      <c r="H227" t="str" cm="1">
        <f t="array" aca="1" ref="H227" ca="1">_xlfn.IFS(G227&lt;2,"Excellent handling",AND(G227&gt;2,G227&lt;4)," ",G227&gt;4,"Bad handling")</f>
        <v>Bad handling</v>
      </c>
      <c r="I227" t="str">
        <f t="shared" si="7"/>
        <v xml:space="preserve"> </v>
      </c>
    </row>
    <row r="228" spans="1:9" x14ac:dyDescent="0.3">
      <c r="A228" s="1">
        <v>45684.39417367112</v>
      </c>
      <c r="B228" t="s">
        <v>16</v>
      </c>
      <c r="C228" t="s">
        <v>15</v>
      </c>
      <c r="D228" t="s">
        <v>60</v>
      </c>
      <c r="E228" s="1">
        <v>45686.546213590496</v>
      </c>
      <c r="F228" s="3">
        <v>519.13</v>
      </c>
      <c r="G228" s="5">
        <f t="shared" ca="1" si="6"/>
        <v>2.1520399193759658</v>
      </c>
      <c r="H228" t="str" cm="1">
        <f t="array" aca="1" ref="H228" ca="1">_xlfn.IFS(G228&lt;2,"Excellent handling",AND(G228&gt;2,G228&lt;4)," ",G228&gt;4,"Bad handling")</f>
        <v xml:space="preserve"> </v>
      </c>
      <c r="I228" t="str">
        <f t="shared" si="7"/>
        <v xml:space="preserve"> </v>
      </c>
    </row>
    <row r="229" spans="1:9" x14ac:dyDescent="0.3">
      <c r="A229" s="1">
        <v>45637.753902348144</v>
      </c>
      <c r="B229" t="s">
        <v>49</v>
      </c>
      <c r="C229" t="s">
        <v>45</v>
      </c>
      <c r="D229" t="s">
        <v>60</v>
      </c>
      <c r="E229" s="1">
        <v>45638.041734919425</v>
      </c>
      <c r="F229" s="3">
        <v>105.54</v>
      </c>
      <c r="G229" s="5">
        <f t="shared" ca="1" si="6"/>
        <v>0.28783257128088735</v>
      </c>
      <c r="H229" t="str" cm="1">
        <f t="array" aca="1" ref="H229" ca="1">_xlfn.IFS(G229&lt;2,"Excellent handling",AND(G229&gt;2,G229&lt;4)," ",G229&gt;4,"Bad handling")</f>
        <v>Excellent handling</v>
      </c>
      <c r="I229" t="str">
        <f t="shared" si="7"/>
        <v xml:space="preserve"> </v>
      </c>
    </row>
    <row r="230" spans="1:9" x14ac:dyDescent="0.3">
      <c r="A230" s="1">
        <v>45670.498282464672</v>
      </c>
      <c r="B230" t="s">
        <v>43</v>
      </c>
      <c r="C230" t="s">
        <v>41</v>
      </c>
      <c r="D230" t="s">
        <v>57</v>
      </c>
      <c r="E230" s="1" t="s">
        <v>65</v>
      </c>
      <c r="F230" s="3">
        <v>363.65</v>
      </c>
      <c r="G230" s="5">
        <f t="shared" ca="1" si="6"/>
        <v>384.50171753532777</v>
      </c>
      <c r="H230" t="str" cm="1">
        <f t="array" aca="1" ref="H230" ca="1">_xlfn.IFS(G230&lt;2,"Excellent handling",AND(G230&gt;2,G230&lt;4)," ",G230&gt;4,"Bad handling")</f>
        <v>Bad handling</v>
      </c>
      <c r="I230" t="str">
        <f t="shared" si="7"/>
        <v xml:space="preserve"> </v>
      </c>
    </row>
    <row r="231" spans="1:9" x14ac:dyDescent="0.3">
      <c r="A231" s="1">
        <v>45679.75744845147</v>
      </c>
      <c r="B231" t="s">
        <v>5</v>
      </c>
      <c r="C231" t="s">
        <v>2</v>
      </c>
      <c r="D231" t="s">
        <v>55</v>
      </c>
      <c r="E231" s="1">
        <v>45682.138333584997</v>
      </c>
      <c r="F231" s="3">
        <v>826.94</v>
      </c>
      <c r="G231" s="5">
        <f t="shared" ca="1" si="6"/>
        <v>2.3808851335270447</v>
      </c>
      <c r="H231" t="str" cm="1">
        <f t="array" aca="1" ref="H231" ca="1">_xlfn.IFS(G231&lt;2,"Excellent handling",AND(G231&gt;2,G231&lt;4)," ",G231&gt;4,"Bad handling")</f>
        <v xml:space="preserve"> </v>
      </c>
      <c r="I231" t="str">
        <f t="shared" si="7"/>
        <v xml:space="preserve"> </v>
      </c>
    </row>
    <row r="232" spans="1:9" x14ac:dyDescent="0.3">
      <c r="A232" s="1">
        <v>45646.049293240685</v>
      </c>
      <c r="B232" t="s">
        <v>31</v>
      </c>
      <c r="C232" t="s">
        <v>30</v>
      </c>
      <c r="D232" t="s">
        <v>56</v>
      </c>
      <c r="E232" s="1">
        <v>45650.560332475972</v>
      </c>
      <c r="F232" s="3">
        <v>540.49</v>
      </c>
      <c r="G232" s="5">
        <f t="shared" ca="1" si="6"/>
        <v>4.5110392352871713</v>
      </c>
      <c r="H232" t="str" cm="1">
        <f t="array" aca="1" ref="H232" ca="1">_xlfn.IFS(G232&lt;2,"Excellent handling",AND(G232&gt;2,G232&lt;4)," ",G232&gt;4,"Bad handling")</f>
        <v>Bad handling</v>
      </c>
      <c r="I232" t="str">
        <f t="shared" si="7"/>
        <v xml:space="preserve"> </v>
      </c>
    </row>
    <row r="233" spans="1:9" x14ac:dyDescent="0.3">
      <c r="A233" s="1">
        <v>45669.062385183672</v>
      </c>
      <c r="B233" t="s">
        <v>5</v>
      </c>
      <c r="C233" t="s">
        <v>2</v>
      </c>
      <c r="D233" t="s">
        <v>55</v>
      </c>
      <c r="E233" s="1">
        <v>45670.651063794794</v>
      </c>
      <c r="F233" s="3">
        <v>712.7</v>
      </c>
      <c r="G233" s="5">
        <f t="shared" ca="1" si="6"/>
        <v>1.5886786111223046</v>
      </c>
      <c r="H233" t="str" cm="1">
        <f t="array" aca="1" ref="H233" ca="1">_xlfn.IFS(G233&lt;2,"Excellent handling",AND(G233&gt;2,G233&lt;4)," ",G233&gt;4,"Bad handling")</f>
        <v>Excellent handling</v>
      </c>
      <c r="I233" t="str">
        <f t="shared" si="7"/>
        <v>Weekend sale</v>
      </c>
    </row>
    <row r="234" spans="1:9" x14ac:dyDescent="0.3">
      <c r="A234" s="1">
        <v>45678.993263134973</v>
      </c>
      <c r="B234" t="s">
        <v>7</v>
      </c>
      <c r="C234" t="s">
        <v>2</v>
      </c>
      <c r="D234" t="s">
        <v>54</v>
      </c>
      <c r="E234" s="1">
        <v>45680.871237103012</v>
      </c>
      <c r="F234" s="3">
        <v>652.5</v>
      </c>
      <c r="G234" s="5">
        <f t="shared" ca="1" si="6"/>
        <v>1.8779739680394414</v>
      </c>
      <c r="H234" t="str" cm="1">
        <f t="array" aca="1" ref="H234" ca="1">_xlfn.IFS(G234&lt;2,"Excellent handling",AND(G234&gt;2,G234&lt;4)," ",G234&gt;4,"Bad handling")</f>
        <v>Excellent handling</v>
      </c>
      <c r="I234" t="str">
        <f t="shared" si="7"/>
        <v xml:space="preserve"> </v>
      </c>
    </row>
    <row r="235" spans="1:9" x14ac:dyDescent="0.3">
      <c r="A235" s="1">
        <v>45647.069224600156</v>
      </c>
      <c r="B235" t="s">
        <v>4</v>
      </c>
      <c r="C235" t="s">
        <v>2</v>
      </c>
      <c r="D235" t="s">
        <v>60</v>
      </c>
      <c r="E235" s="1">
        <v>45649.577017200289</v>
      </c>
      <c r="F235" s="3">
        <v>750.59</v>
      </c>
      <c r="G235" s="5">
        <f t="shared" ca="1" si="6"/>
        <v>2.5077926001322339</v>
      </c>
      <c r="H235" t="str" cm="1">
        <f t="array" aca="1" ref="H235" ca="1">_xlfn.IFS(G235&lt;2,"Excellent handling",AND(G235&gt;2,G235&lt;4)," ",G235&gt;4,"Bad handling")</f>
        <v xml:space="preserve"> </v>
      </c>
      <c r="I235" t="str">
        <f t="shared" si="7"/>
        <v>Weekend sale</v>
      </c>
    </row>
    <row r="236" spans="1:9" x14ac:dyDescent="0.3">
      <c r="A236" s="1">
        <v>45678.263897135876</v>
      </c>
      <c r="B236" t="s">
        <v>40</v>
      </c>
      <c r="C236" t="s">
        <v>38</v>
      </c>
      <c r="D236" t="s">
        <v>53</v>
      </c>
      <c r="E236" s="1">
        <v>45681.774424673524</v>
      </c>
      <c r="F236" s="3">
        <v>243.4</v>
      </c>
      <c r="G236" s="5">
        <f t="shared" ca="1" si="6"/>
        <v>3.5105275376481586</v>
      </c>
      <c r="H236" t="str" cm="1">
        <f t="array" aca="1" ref="H236" ca="1">_xlfn.IFS(G236&lt;2,"Excellent handling",AND(G236&gt;2,G236&lt;4)," ",G236&gt;4,"Bad handling")</f>
        <v xml:space="preserve"> </v>
      </c>
      <c r="I236" t="str">
        <f t="shared" si="7"/>
        <v xml:space="preserve"> </v>
      </c>
    </row>
    <row r="237" spans="1:9" x14ac:dyDescent="0.3">
      <c r="A237" s="1">
        <v>45643.712155997739</v>
      </c>
      <c r="B237" t="s">
        <v>27</v>
      </c>
      <c r="C237" t="s">
        <v>26</v>
      </c>
      <c r="D237" t="s">
        <v>55</v>
      </c>
      <c r="E237" s="1">
        <v>45644.993316487678</v>
      </c>
      <c r="F237" s="3">
        <v>26.53</v>
      </c>
      <c r="G237" s="5">
        <f t="shared" ca="1" si="6"/>
        <v>1.2811604899397935</v>
      </c>
      <c r="H237" t="str" cm="1">
        <f t="array" aca="1" ref="H237" ca="1">_xlfn.IFS(G237&lt;2,"Excellent handling",AND(G237&gt;2,G237&lt;4)," ",G237&gt;4,"Bad handling")</f>
        <v>Excellent handling</v>
      </c>
      <c r="I237" t="str">
        <f t="shared" si="7"/>
        <v xml:space="preserve"> </v>
      </c>
    </row>
    <row r="238" spans="1:9" x14ac:dyDescent="0.3">
      <c r="A238" s="1">
        <v>45653.47975490259</v>
      </c>
      <c r="B238" t="s">
        <v>39</v>
      </c>
      <c r="C238" t="s">
        <v>38</v>
      </c>
      <c r="D238" t="s">
        <v>57</v>
      </c>
      <c r="E238" s="1">
        <v>45657.897258379475</v>
      </c>
      <c r="F238" s="3">
        <v>378.89</v>
      </c>
      <c r="G238" s="5">
        <f t="shared" ca="1" si="6"/>
        <v>4.417503476885031</v>
      </c>
      <c r="H238" t="str" cm="1">
        <f t="array" aca="1" ref="H238" ca="1">_xlfn.IFS(G238&lt;2,"Excellent handling",AND(G238&gt;2,G238&lt;4)," ",G238&gt;4,"Bad handling")</f>
        <v>Bad handling</v>
      </c>
      <c r="I238" t="str">
        <f t="shared" si="7"/>
        <v xml:space="preserve"> </v>
      </c>
    </row>
    <row r="239" spans="1:9" x14ac:dyDescent="0.3">
      <c r="A239" s="1">
        <v>45657.989644438829</v>
      </c>
      <c r="B239" t="s">
        <v>9</v>
      </c>
      <c r="C239" t="s">
        <v>8</v>
      </c>
      <c r="D239" t="s">
        <v>54</v>
      </c>
      <c r="E239" s="1">
        <v>45659.546029675388</v>
      </c>
      <c r="F239" s="3">
        <v>544.67999999999995</v>
      </c>
      <c r="G239" s="5">
        <f t="shared" ca="1" si="6"/>
        <v>1.5563852365594357</v>
      </c>
      <c r="H239" t="str" cm="1">
        <f t="array" aca="1" ref="H239" ca="1">_xlfn.IFS(G239&lt;2,"Excellent handling",AND(G239&gt;2,G239&lt;4)," ",G239&gt;4,"Bad handling")</f>
        <v>Excellent handling</v>
      </c>
      <c r="I239" t="str">
        <f t="shared" si="7"/>
        <v xml:space="preserve"> </v>
      </c>
    </row>
    <row r="240" spans="1:9" x14ac:dyDescent="0.3">
      <c r="A240" s="1">
        <v>45635.804646687997</v>
      </c>
      <c r="B240" t="s">
        <v>23</v>
      </c>
      <c r="C240" t="s">
        <v>22</v>
      </c>
      <c r="D240" t="s">
        <v>61</v>
      </c>
      <c r="E240" s="1">
        <v>45636.8780651462</v>
      </c>
      <c r="F240" s="3">
        <v>707.89</v>
      </c>
      <c r="G240" s="5">
        <f t="shared" ca="1" si="6"/>
        <v>1.0734184582033777</v>
      </c>
      <c r="H240" t="str" cm="1">
        <f t="array" aca="1" ref="H240" ca="1">_xlfn.IFS(G240&lt;2,"Excellent handling",AND(G240&gt;2,G240&lt;4)," ",G240&gt;4,"Bad handling")</f>
        <v>Excellent handling</v>
      </c>
      <c r="I240" t="str">
        <f t="shared" si="7"/>
        <v xml:space="preserve"> </v>
      </c>
    </row>
    <row r="241" spans="1:9" x14ac:dyDescent="0.3">
      <c r="A241" s="1">
        <v>45653.762543232602</v>
      </c>
      <c r="B241" t="s">
        <v>46</v>
      </c>
      <c r="C241" t="s">
        <v>45</v>
      </c>
      <c r="D241" t="s">
        <v>59</v>
      </c>
      <c r="E241" s="1" t="s">
        <v>65</v>
      </c>
      <c r="F241" s="3">
        <v>471.15</v>
      </c>
      <c r="G241" s="5">
        <f t="shared" ca="1" si="6"/>
        <v>401.23745676739782</v>
      </c>
      <c r="H241" t="str" cm="1">
        <f t="array" aca="1" ref="H241" ca="1">_xlfn.IFS(G241&lt;2,"Excellent handling",AND(G241&gt;2,G241&lt;4)," ",G241&gt;4,"Bad handling")</f>
        <v>Bad handling</v>
      </c>
      <c r="I241" t="str">
        <f t="shared" si="7"/>
        <v xml:space="preserve"> </v>
      </c>
    </row>
    <row r="242" spans="1:9" x14ac:dyDescent="0.3">
      <c r="A242" s="1">
        <v>45667.716932922165</v>
      </c>
      <c r="B242" t="s">
        <v>16</v>
      </c>
      <c r="C242" t="s">
        <v>15</v>
      </c>
      <c r="D242" t="s">
        <v>60</v>
      </c>
      <c r="E242" s="1">
        <v>45670.104210167774</v>
      </c>
      <c r="F242" s="3">
        <v>280</v>
      </c>
      <c r="G242" s="5">
        <f t="shared" ca="1" si="6"/>
        <v>2.3872772456088569</v>
      </c>
      <c r="H242" t="str" cm="1">
        <f t="array" aca="1" ref="H242" ca="1">_xlfn.IFS(G242&lt;2,"Excellent handling",AND(G242&gt;2,G242&lt;4)," ",G242&gt;4,"Bad handling")</f>
        <v xml:space="preserve"> </v>
      </c>
      <c r="I242" t="str">
        <f t="shared" si="7"/>
        <v xml:space="preserve"> </v>
      </c>
    </row>
    <row r="243" spans="1:9" x14ac:dyDescent="0.3">
      <c r="A243" s="1">
        <v>45629.870289015285</v>
      </c>
      <c r="B243" t="s">
        <v>42</v>
      </c>
      <c r="C243" t="s">
        <v>41</v>
      </c>
      <c r="D243" t="s">
        <v>56</v>
      </c>
      <c r="E243" s="1">
        <v>45631.699425786152</v>
      </c>
      <c r="F243" s="3">
        <v>669.86</v>
      </c>
      <c r="G243" s="5">
        <f t="shared" ca="1" si="6"/>
        <v>1.829136770866171</v>
      </c>
      <c r="H243" t="str" cm="1">
        <f t="array" aca="1" ref="H243" ca="1">_xlfn.IFS(G243&lt;2,"Excellent handling",AND(G243&gt;2,G243&lt;4)," ",G243&gt;4,"Bad handling")</f>
        <v>Excellent handling</v>
      </c>
      <c r="I243" t="str">
        <f t="shared" si="7"/>
        <v xml:space="preserve"> </v>
      </c>
    </row>
    <row r="244" spans="1:9" x14ac:dyDescent="0.3">
      <c r="A244" s="1">
        <v>45689.267860431035</v>
      </c>
      <c r="B244" t="s">
        <v>44</v>
      </c>
      <c r="C244" t="s">
        <v>41</v>
      </c>
      <c r="D244" t="s">
        <v>62</v>
      </c>
      <c r="E244" s="1">
        <v>45691.799455374858</v>
      </c>
      <c r="F244" s="3">
        <v>660.46</v>
      </c>
      <c r="G244" s="5">
        <f t="shared" ca="1" si="6"/>
        <v>2.5315949438227108</v>
      </c>
      <c r="H244" t="str" cm="1">
        <f t="array" aca="1" ref="H244" ca="1">_xlfn.IFS(G244&lt;2,"Excellent handling",AND(G244&gt;2,G244&lt;4)," ",G244&gt;4,"Bad handling")</f>
        <v xml:space="preserve"> </v>
      </c>
      <c r="I244" t="str">
        <f t="shared" si="7"/>
        <v>Weekend sale</v>
      </c>
    </row>
    <row r="245" spans="1:9" x14ac:dyDescent="0.3">
      <c r="A245" s="1">
        <v>45692.893905798395</v>
      </c>
      <c r="B245" t="s">
        <v>9</v>
      </c>
      <c r="C245" t="s">
        <v>8</v>
      </c>
      <c r="D245" t="s">
        <v>54</v>
      </c>
      <c r="E245" s="1">
        <v>45695.377756138172</v>
      </c>
      <c r="F245" s="3">
        <v>65.7</v>
      </c>
      <c r="G245" s="5">
        <f t="shared" ca="1" si="6"/>
        <v>2.4838503397768363</v>
      </c>
      <c r="H245" t="str" cm="1">
        <f t="array" aca="1" ref="H245" ca="1">_xlfn.IFS(G245&lt;2,"Excellent handling",AND(G245&gt;2,G245&lt;4)," ",G245&gt;4,"Bad handling")</f>
        <v xml:space="preserve"> </v>
      </c>
      <c r="I245" t="str">
        <f t="shared" si="7"/>
        <v xml:space="preserve"> </v>
      </c>
    </row>
    <row r="246" spans="1:9" x14ac:dyDescent="0.3">
      <c r="A246" s="1">
        <v>45628.698909415638</v>
      </c>
      <c r="B246" t="s">
        <v>3</v>
      </c>
      <c r="C246" t="s">
        <v>2</v>
      </c>
      <c r="D246" t="s">
        <v>54</v>
      </c>
      <c r="E246" s="1">
        <v>45631.922949985637</v>
      </c>
      <c r="F246" s="3">
        <v>395.84</v>
      </c>
      <c r="G246" s="5">
        <f t="shared" ca="1" si="6"/>
        <v>3.2240405699994881</v>
      </c>
      <c r="H246" t="str" cm="1">
        <f t="array" aca="1" ref="H246" ca="1">_xlfn.IFS(G246&lt;2,"Excellent handling",AND(G246&gt;2,G246&lt;4)," ",G246&gt;4,"Bad handling")</f>
        <v xml:space="preserve"> </v>
      </c>
      <c r="I246" t="str">
        <f t="shared" si="7"/>
        <v xml:space="preserve"> </v>
      </c>
    </row>
    <row r="247" spans="1:9" x14ac:dyDescent="0.3">
      <c r="A247" s="1">
        <v>45647.075877334428</v>
      </c>
      <c r="B247" t="s">
        <v>33</v>
      </c>
      <c r="C247" t="s">
        <v>30</v>
      </c>
      <c r="D247" t="s">
        <v>59</v>
      </c>
      <c r="E247" s="1">
        <v>45648.713368794626</v>
      </c>
      <c r="F247" s="3">
        <v>663.67</v>
      </c>
      <c r="G247" s="5">
        <f t="shared" ca="1" si="6"/>
        <v>1.6374914601983619</v>
      </c>
      <c r="H247" t="str" cm="1">
        <f t="array" aca="1" ref="H247" ca="1">_xlfn.IFS(G247&lt;2,"Excellent handling",AND(G247&gt;2,G247&lt;4)," ",G247&gt;4,"Bad handling")</f>
        <v>Excellent handling</v>
      </c>
      <c r="I247" t="str">
        <f t="shared" si="7"/>
        <v>Weekend sale</v>
      </c>
    </row>
    <row r="248" spans="1:9" x14ac:dyDescent="0.3">
      <c r="A248" s="1">
        <v>45630.200070703344</v>
      </c>
      <c r="B248" t="s">
        <v>14</v>
      </c>
      <c r="C248" t="s">
        <v>8</v>
      </c>
      <c r="D248" t="s">
        <v>54</v>
      </c>
      <c r="E248" s="1" t="s">
        <v>66</v>
      </c>
      <c r="F248" s="3">
        <v>821.12</v>
      </c>
      <c r="G248" s="5">
        <f t="shared" ca="1" si="6"/>
        <v>424.79992929665605</v>
      </c>
      <c r="H248" t="str" cm="1">
        <f t="array" aca="1" ref="H248" ca="1">_xlfn.IFS(G248&lt;2,"Excellent handling",AND(G248&gt;2,G248&lt;4)," ",G248&gt;4,"Bad handling")</f>
        <v>Bad handling</v>
      </c>
      <c r="I248" t="str">
        <f t="shared" si="7"/>
        <v xml:space="preserve"> </v>
      </c>
    </row>
    <row r="249" spans="1:9" x14ac:dyDescent="0.3">
      <c r="A249" s="1">
        <v>45678.187999259993</v>
      </c>
      <c r="B249" t="s">
        <v>16</v>
      </c>
      <c r="C249" t="s">
        <v>15</v>
      </c>
      <c r="D249" t="s">
        <v>60</v>
      </c>
      <c r="E249" s="1">
        <v>45678.412065537406</v>
      </c>
      <c r="F249" s="3">
        <v>444.28</v>
      </c>
      <c r="G249" s="5">
        <f t="shared" ca="1" si="6"/>
        <v>0.2240662774129305</v>
      </c>
      <c r="H249" t="str" cm="1">
        <f t="array" aca="1" ref="H249" ca="1">_xlfn.IFS(G249&lt;2,"Excellent handling",AND(G249&gt;2,G249&lt;4)," ",G249&gt;4,"Bad handling")</f>
        <v>Excellent handling</v>
      </c>
      <c r="I249" t="str">
        <f t="shared" si="7"/>
        <v xml:space="preserve"> </v>
      </c>
    </row>
    <row r="250" spans="1:9" x14ac:dyDescent="0.3">
      <c r="A250" s="1">
        <v>45695.911747645063</v>
      </c>
      <c r="B250" t="s">
        <v>31</v>
      </c>
      <c r="C250" t="s">
        <v>30</v>
      </c>
      <c r="D250" t="s">
        <v>56</v>
      </c>
      <c r="E250" s="1">
        <v>45698.875444912468</v>
      </c>
      <c r="F250" s="3">
        <v>112.8</v>
      </c>
      <c r="G250" s="5">
        <f t="shared" ca="1" si="6"/>
        <v>2.9636972674052231</v>
      </c>
      <c r="H250" t="str" cm="1">
        <f t="array" aca="1" ref="H250" ca="1">_xlfn.IFS(G250&lt;2,"Excellent handling",AND(G250&gt;2,G250&lt;4)," ",G250&gt;4,"Bad handling")</f>
        <v xml:space="preserve"> </v>
      </c>
      <c r="I250" t="str">
        <f t="shared" si="7"/>
        <v xml:space="preserve"> </v>
      </c>
    </row>
    <row r="251" spans="1:9" x14ac:dyDescent="0.3">
      <c r="A251" s="1">
        <v>45667.60758050673</v>
      </c>
      <c r="B251" t="s">
        <v>13</v>
      </c>
      <c r="C251" t="s">
        <v>8</v>
      </c>
      <c r="D251" t="s">
        <v>57</v>
      </c>
      <c r="E251" s="1">
        <v>45670.038046060472</v>
      </c>
      <c r="F251" s="3">
        <v>30</v>
      </c>
      <c r="G251" s="5">
        <f t="shared" ca="1" si="6"/>
        <v>2.4304655537416693</v>
      </c>
      <c r="H251" t="str" cm="1">
        <f t="array" aca="1" ref="H251" ca="1">_xlfn.IFS(G251&lt;2,"Excellent handling",AND(G251&gt;2,G251&lt;4)," ",G251&gt;4,"Bad handling")</f>
        <v xml:space="preserve"> </v>
      </c>
      <c r="I251" t="str">
        <f t="shared" si="7"/>
        <v xml:space="preserve"> </v>
      </c>
    </row>
    <row r="252" spans="1:9" x14ac:dyDescent="0.3">
      <c r="A252" s="1">
        <v>45653.070275347956</v>
      </c>
      <c r="B252" t="s">
        <v>25</v>
      </c>
      <c r="C252" t="s">
        <v>22</v>
      </c>
      <c r="D252" t="s">
        <v>61</v>
      </c>
      <c r="E252" s="1">
        <v>45653.80019356413</v>
      </c>
      <c r="F252" s="3">
        <v>818.38</v>
      </c>
      <c r="G252" s="5">
        <f t="shared" ca="1" si="6"/>
        <v>0.72991821617324604</v>
      </c>
      <c r="H252" t="str" cm="1">
        <f t="array" aca="1" ref="H252" ca="1">_xlfn.IFS(G252&lt;2,"Excellent handling",AND(G252&gt;2,G252&lt;4)," ",G252&gt;4,"Bad handling")</f>
        <v>Excellent handling</v>
      </c>
      <c r="I252" t="str">
        <f t="shared" si="7"/>
        <v xml:space="preserve"> </v>
      </c>
    </row>
    <row r="253" spans="1:9" x14ac:dyDescent="0.3">
      <c r="A253" s="1">
        <v>45662.91400269595</v>
      </c>
      <c r="B253" t="s">
        <v>17</v>
      </c>
      <c r="C253" t="s">
        <v>15</v>
      </c>
      <c r="D253" t="s">
        <v>54</v>
      </c>
      <c r="E253" s="1">
        <v>45667.631062253407</v>
      </c>
      <c r="F253" s="3">
        <v>576.14</v>
      </c>
      <c r="G253" s="5">
        <f t="shared" ca="1" si="6"/>
        <v>4.7170595574571053</v>
      </c>
      <c r="H253" t="str" cm="1">
        <f t="array" aca="1" ref="H253" ca="1">_xlfn.IFS(G253&lt;2,"Excellent handling",AND(G253&gt;2,G253&lt;4)," ",G253&gt;4,"Bad handling")</f>
        <v>Bad handling</v>
      </c>
      <c r="I253" t="str">
        <f t="shared" si="7"/>
        <v>Weekend sale</v>
      </c>
    </row>
    <row r="254" spans="1:9" x14ac:dyDescent="0.3">
      <c r="A254" s="1">
        <v>45680.834493010967</v>
      </c>
      <c r="B254" t="s">
        <v>17</v>
      </c>
      <c r="C254" t="s">
        <v>15</v>
      </c>
      <c r="D254" t="s">
        <v>54</v>
      </c>
      <c r="E254" s="1">
        <v>45682.363582866034</v>
      </c>
      <c r="F254" s="3">
        <v>716.83</v>
      </c>
      <c r="G254" s="5">
        <f t="shared" ca="1" si="6"/>
        <v>1.5290898550665588</v>
      </c>
      <c r="H254" t="str" cm="1">
        <f t="array" aca="1" ref="H254" ca="1">_xlfn.IFS(G254&lt;2,"Excellent handling",AND(G254&gt;2,G254&lt;4)," ",G254&gt;4,"Bad handling")</f>
        <v>Excellent handling</v>
      </c>
      <c r="I254" t="str">
        <f t="shared" si="7"/>
        <v xml:space="preserve"> </v>
      </c>
    </row>
    <row r="255" spans="1:9" x14ac:dyDescent="0.3">
      <c r="A255" s="1">
        <v>45677.198579849435</v>
      </c>
      <c r="B255" t="s">
        <v>10</v>
      </c>
      <c r="C255" t="s">
        <v>8</v>
      </c>
      <c r="D255" t="s">
        <v>55</v>
      </c>
      <c r="E255" s="1">
        <v>45677.281829128988</v>
      </c>
      <c r="F255" s="3">
        <v>241.28</v>
      </c>
      <c r="G255" s="5">
        <f t="shared" ca="1" si="6"/>
        <v>8.3249279552546795E-2</v>
      </c>
      <c r="H255" t="str" cm="1">
        <f t="array" aca="1" ref="H255" ca="1">_xlfn.IFS(G255&lt;2,"Excellent handling",AND(G255&gt;2,G255&lt;4)," ",G255&gt;4,"Bad handling")</f>
        <v>Excellent handling</v>
      </c>
      <c r="I255" t="str">
        <f t="shared" si="7"/>
        <v xml:space="preserve"> </v>
      </c>
    </row>
    <row r="256" spans="1:9" x14ac:dyDescent="0.3">
      <c r="A256" s="1">
        <v>45637.711818366588</v>
      </c>
      <c r="B256" t="s">
        <v>17</v>
      </c>
      <c r="C256" t="s">
        <v>15</v>
      </c>
      <c r="D256" t="s">
        <v>54</v>
      </c>
      <c r="E256" s="1">
        <v>45643.169446205451</v>
      </c>
      <c r="F256" s="3">
        <v>183.66</v>
      </c>
      <c r="G256" s="5">
        <f t="shared" ca="1" si="6"/>
        <v>5.4576278388631181</v>
      </c>
      <c r="H256" t="str" cm="1">
        <f t="array" aca="1" ref="H256" ca="1">_xlfn.IFS(G256&lt;2,"Excellent handling",AND(G256&gt;2,G256&lt;4)," ",G256&gt;4,"Bad handling")</f>
        <v>Bad handling</v>
      </c>
      <c r="I256" t="str">
        <f t="shared" si="7"/>
        <v xml:space="preserve"> </v>
      </c>
    </row>
    <row r="257" spans="1:9" x14ac:dyDescent="0.3">
      <c r="A257" s="1">
        <v>45628.002592621917</v>
      </c>
      <c r="B257" t="s">
        <v>32</v>
      </c>
      <c r="C257" t="s">
        <v>30</v>
      </c>
      <c r="D257" t="s">
        <v>58</v>
      </c>
      <c r="E257" s="1">
        <v>45629.493203204765</v>
      </c>
      <c r="F257" s="3">
        <v>686.14</v>
      </c>
      <c r="G257" s="5">
        <f t="shared" ca="1" si="6"/>
        <v>1.4906105828486034</v>
      </c>
      <c r="H257" t="str" cm="1">
        <f t="array" aca="1" ref="H257" ca="1">_xlfn.IFS(G257&lt;2,"Excellent handling",AND(G257&gt;2,G257&lt;4)," ",G257&gt;4,"Bad handling")</f>
        <v>Excellent handling</v>
      </c>
      <c r="I257" t="str">
        <f t="shared" si="7"/>
        <v xml:space="preserve"> </v>
      </c>
    </row>
    <row r="258" spans="1:9" x14ac:dyDescent="0.3">
      <c r="A258" s="1">
        <v>45628.38645425409</v>
      </c>
      <c r="B258" t="s">
        <v>12</v>
      </c>
      <c r="C258" t="s">
        <v>8</v>
      </c>
      <c r="D258" t="s">
        <v>56</v>
      </c>
      <c r="E258" s="1">
        <v>45630.131264127122</v>
      </c>
      <c r="F258" s="3">
        <v>48.66</v>
      </c>
      <c r="G258" s="5">
        <f t="shared" ca="1" si="6"/>
        <v>1.7448098730310448</v>
      </c>
      <c r="H258" t="str" cm="1">
        <f t="array" aca="1" ref="H258" ca="1">_xlfn.IFS(G258&lt;2,"Excellent handling",AND(G258&gt;2,G258&lt;4)," ",G258&gt;4,"Bad handling")</f>
        <v>Excellent handling</v>
      </c>
      <c r="I258" t="str">
        <f t="shared" si="7"/>
        <v xml:space="preserve"> </v>
      </c>
    </row>
    <row r="259" spans="1:9" x14ac:dyDescent="0.3">
      <c r="A259" s="1">
        <v>45646.764421134147</v>
      </c>
      <c r="B259" t="s">
        <v>25</v>
      </c>
      <c r="C259" t="s">
        <v>22</v>
      </c>
      <c r="D259" t="s">
        <v>61</v>
      </c>
      <c r="E259" s="1">
        <v>45651.839063269115</v>
      </c>
      <c r="F259" s="3">
        <v>361.5</v>
      </c>
      <c r="G259" s="5">
        <f t="shared" ref="G259:G322" ca="1" si="8">IF(ISTEXT(E259),TODAY(),E259)-A259</f>
        <v>5.0746421349685988</v>
      </c>
      <c r="H259" t="str" cm="1">
        <f t="array" aca="1" ref="H259" ca="1">_xlfn.IFS(G259&lt;2,"Excellent handling",AND(G259&gt;2,G259&lt;4)," ",G259&gt;4,"Bad handling")</f>
        <v>Bad handling</v>
      </c>
      <c r="I259" t="str">
        <f t="shared" ref="I259:I322" si="9">IF(OR(WEEKDAY(A259)=7,WEEKDAY(A259)=1),"Weekend sale"," ")</f>
        <v xml:space="preserve"> </v>
      </c>
    </row>
    <row r="260" spans="1:9" x14ac:dyDescent="0.3">
      <c r="A260" s="1">
        <v>45667.918401661896</v>
      </c>
      <c r="B260" t="s">
        <v>48</v>
      </c>
      <c r="C260" t="s">
        <v>45</v>
      </c>
      <c r="D260" t="s">
        <v>60</v>
      </c>
      <c r="E260" s="1">
        <v>45668.651525505156</v>
      </c>
      <c r="F260" s="3">
        <v>50.22</v>
      </c>
      <c r="G260" s="5">
        <f t="shared" ca="1" si="8"/>
        <v>0.73312384325981839</v>
      </c>
      <c r="H260" t="str" cm="1">
        <f t="array" aca="1" ref="H260" ca="1">_xlfn.IFS(G260&lt;2,"Excellent handling",AND(G260&gt;2,G260&lt;4)," ",G260&gt;4,"Bad handling")</f>
        <v>Excellent handling</v>
      </c>
      <c r="I260" t="str">
        <f t="shared" si="9"/>
        <v xml:space="preserve"> </v>
      </c>
    </row>
    <row r="261" spans="1:9" x14ac:dyDescent="0.3">
      <c r="A261" s="1">
        <v>45695.05576678479</v>
      </c>
      <c r="B261" t="s">
        <v>23</v>
      </c>
      <c r="C261" t="s">
        <v>22</v>
      </c>
      <c r="D261" t="s">
        <v>61</v>
      </c>
      <c r="E261" s="1">
        <v>45696.914931399675</v>
      </c>
      <c r="F261" s="3">
        <v>376.39</v>
      </c>
      <c r="G261" s="5">
        <f t="shared" ca="1" si="8"/>
        <v>1.8591646148852305</v>
      </c>
      <c r="H261" t="str" cm="1">
        <f t="array" aca="1" ref="H261" ca="1">_xlfn.IFS(G261&lt;2,"Excellent handling",AND(G261&gt;2,G261&lt;4)," ",G261&gt;4,"Bad handling")</f>
        <v>Excellent handling</v>
      </c>
      <c r="I261" t="str">
        <f t="shared" si="9"/>
        <v xml:space="preserve"> </v>
      </c>
    </row>
    <row r="262" spans="1:9" x14ac:dyDescent="0.3">
      <c r="A262" s="1">
        <v>45665.771232263469</v>
      </c>
      <c r="B262" t="s">
        <v>31</v>
      </c>
      <c r="C262" t="s">
        <v>30</v>
      </c>
      <c r="D262" t="s">
        <v>56</v>
      </c>
      <c r="E262" s="1">
        <v>45668.957402188891</v>
      </c>
      <c r="F262" s="3">
        <v>90.52</v>
      </c>
      <c r="G262" s="5">
        <f t="shared" ca="1" si="8"/>
        <v>3.1861699254222913</v>
      </c>
      <c r="H262" t="str" cm="1">
        <f t="array" aca="1" ref="H262" ca="1">_xlfn.IFS(G262&lt;2,"Excellent handling",AND(G262&gt;2,G262&lt;4)," ",G262&gt;4,"Bad handling")</f>
        <v xml:space="preserve"> </v>
      </c>
      <c r="I262" t="str">
        <f t="shared" si="9"/>
        <v xml:space="preserve"> </v>
      </c>
    </row>
    <row r="263" spans="1:9" x14ac:dyDescent="0.3">
      <c r="A263" s="1">
        <v>45638.706921537902</v>
      </c>
      <c r="B263" t="s">
        <v>37</v>
      </c>
      <c r="C263" t="s">
        <v>35</v>
      </c>
      <c r="D263" t="s">
        <v>60</v>
      </c>
      <c r="E263" s="1">
        <v>45640.86499301844</v>
      </c>
      <c r="F263" s="3">
        <v>174.02</v>
      </c>
      <c r="G263" s="5">
        <f t="shared" ca="1" si="8"/>
        <v>2.1580714805386378</v>
      </c>
      <c r="H263" t="str" cm="1">
        <f t="array" aca="1" ref="H263" ca="1">_xlfn.IFS(G263&lt;2,"Excellent handling",AND(G263&gt;2,G263&lt;4)," ",G263&gt;4,"Bad handling")</f>
        <v xml:space="preserve"> </v>
      </c>
      <c r="I263" t="str">
        <f t="shared" si="9"/>
        <v xml:space="preserve"> </v>
      </c>
    </row>
    <row r="264" spans="1:9" x14ac:dyDescent="0.3">
      <c r="A264" s="1">
        <v>45683.414702443464</v>
      </c>
      <c r="B264" t="s">
        <v>19</v>
      </c>
      <c r="C264" t="s">
        <v>15</v>
      </c>
      <c r="D264" t="s">
        <v>58</v>
      </c>
      <c r="E264" s="1">
        <v>45685.095118734018</v>
      </c>
      <c r="F264" s="3">
        <v>613.55999999999995</v>
      </c>
      <c r="G264" s="5">
        <f t="shared" ca="1" si="8"/>
        <v>1.6804162905536941</v>
      </c>
      <c r="H264" t="str" cm="1">
        <f t="array" aca="1" ref="H264" ca="1">_xlfn.IFS(G264&lt;2,"Excellent handling",AND(G264&gt;2,G264&lt;4)," ",G264&gt;4,"Bad handling")</f>
        <v>Excellent handling</v>
      </c>
      <c r="I264" t="str">
        <f t="shared" si="9"/>
        <v>Weekend sale</v>
      </c>
    </row>
    <row r="265" spans="1:9" x14ac:dyDescent="0.3">
      <c r="A265" s="1">
        <v>45671.454434978121</v>
      </c>
      <c r="B265" t="s">
        <v>5</v>
      </c>
      <c r="C265" t="s">
        <v>2</v>
      </c>
      <c r="D265" t="s">
        <v>55</v>
      </c>
      <c r="E265" s="1">
        <v>45673.478239337506</v>
      </c>
      <c r="F265" s="3">
        <v>441.29</v>
      </c>
      <c r="G265" s="5">
        <f t="shared" ca="1" si="8"/>
        <v>2.0238043593853945</v>
      </c>
      <c r="H265" t="str" cm="1">
        <f t="array" aca="1" ref="H265" ca="1">_xlfn.IFS(G265&lt;2,"Excellent handling",AND(G265&gt;2,G265&lt;4)," ",G265&gt;4,"Bad handling")</f>
        <v xml:space="preserve"> </v>
      </c>
      <c r="I265" t="str">
        <f t="shared" si="9"/>
        <v xml:space="preserve"> </v>
      </c>
    </row>
    <row r="266" spans="1:9" x14ac:dyDescent="0.3">
      <c r="A266" s="1">
        <v>45651.941750906139</v>
      </c>
      <c r="B266" t="s">
        <v>36</v>
      </c>
      <c r="C266" t="s">
        <v>35</v>
      </c>
      <c r="D266" t="s">
        <v>55</v>
      </c>
      <c r="E266" s="1">
        <v>45653.071178944243</v>
      </c>
      <c r="F266" s="3">
        <v>721.1</v>
      </c>
      <c r="G266" s="5">
        <f t="shared" ca="1" si="8"/>
        <v>1.1294280381043791</v>
      </c>
      <c r="H266" t="str" cm="1">
        <f t="array" aca="1" ref="H266" ca="1">_xlfn.IFS(G266&lt;2,"Excellent handling",AND(G266&gt;2,G266&lt;4)," ",G266&gt;4,"Bad handling")</f>
        <v>Excellent handling</v>
      </c>
      <c r="I266" t="str">
        <f t="shared" si="9"/>
        <v xml:space="preserve"> </v>
      </c>
    </row>
    <row r="267" spans="1:9" x14ac:dyDescent="0.3">
      <c r="A267" s="1">
        <v>45678.042258367474</v>
      </c>
      <c r="B267" t="s">
        <v>29</v>
      </c>
      <c r="C267" t="s">
        <v>26</v>
      </c>
      <c r="D267" t="s">
        <v>61</v>
      </c>
      <c r="E267" s="1">
        <v>45683.354781669594</v>
      </c>
      <c r="F267" s="3">
        <v>213.67</v>
      </c>
      <c r="G267" s="5">
        <f t="shared" ca="1" si="8"/>
        <v>5.3125233021200984</v>
      </c>
      <c r="H267" t="str" cm="1">
        <f t="array" aca="1" ref="H267" ca="1">_xlfn.IFS(G267&lt;2,"Excellent handling",AND(G267&gt;2,G267&lt;4)," ",G267&gt;4,"Bad handling")</f>
        <v>Bad handling</v>
      </c>
      <c r="I267" t="str">
        <f t="shared" si="9"/>
        <v xml:space="preserve"> </v>
      </c>
    </row>
    <row r="268" spans="1:9" x14ac:dyDescent="0.3">
      <c r="A268" s="1">
        <v>45654.027421088605</v>
      </c>
      <c r="B268" t="s">
        <v>39</v>
      </c>
      <c r="C268" t="s">
        <v>38</v>
      </c>
      <c r="D268" t="s">
        <v>57</v>
      </c>
      <c r="E268" s="1">
        <v>45658.806093811872</v>
      </c>
      <c r="F268" s="3">
        <v>474.83</v>
      </c>
      <c r="G268" s="5">
        <f t="shared" ca="1" si="8"/>
        <v>4.7786727232669364</v>
      </c>
      <c r="H268" t="str" cm="1">
        <f t="array" aca="1" ref="H268" ca="1">_xlfn.IFS(G268&lt;2,"Excellent handling",AND(G268&gt;2,G268&lt;4)," ",G268&gt;4,"Bad handling")</f>
        <v>Bad handling</v>
      </c>
      <c r="I268" t="str">
        <f t="shared" si="9"/>
        <v>Weekend sale</v>
      </c>
    </row>
    <row r="269" spans="1:9" x14ac:dyDescent="0.3">
      <c r="A269" s="1">
        <v>45694.75854586585</v>
      </c>
      <c r="B269" t="s">
        <v>17</v>
      </c>
      <c r="C269" t="s">
        <v>15</v>
      </c>
      <c r="D269" t="s">
        <v>54</v>
      </c>
      <c r="E269" s="1">
        <v>45697.218815812033</v>
      </c>
      <c r="F269" s="3">
        <v>106.47</v>
      </c>
      <c r="G269" s="5">
        <f t="shared" ca="1" si="8"/>
        <v>2.4602699461829616</v>
      </c>
      <c r="H269" t="str" cm="1">
        <f t="array" aca="1" ref="H269" ca="1">_xlfn.IFS(G269&lt;2,"Excellent handling",AND(G269&gt;2,G269&lt;4)," ",G269&gt;4,"Bad handling")</f>
        <v xml:space="preserve"> </v>
      </c>
      <c r="I269" t="str">
        <f t="shared" si="9"/>
        <v xml:space="preserve"> </v>
      </c>
    </row>
    <row r="270" spans="1:9" x14ac:dyDescent="0.3">
      <c r="A270" s="1">
        <v>45641.995002283635</v>
      </c>
      <c r="B270" t="s">
        <v>34</v>
      </c>
      <c r="C270" t="s">
        <v>30</v>
      </c>
      <c r="D270" t="s">
        <v>61</v>
      </c>
      <c r="E270" s="1">
        <v>45644.628621594049</v>
      </c>
      <c r="F270" s="3">
        <v>666.82</v>
      </c>
      <c r="G270" s="5">
        <f t="shared" ca="1" si="8"/>
        <v>2.6336193104143604</v>
      </c>
      <c r="H270" t="str" cm="1">
        <f t="array" aca="1" ref="H270" ca="1">_xlfn.IFS(G270&lt;2,"Excellent handling",AND(G270&gt;2,G270&lt;4)," ",G270&gt;4,"Bad handling")</f>
        <v xml:space="preserve"> </v>
      </c>
      <c r="I270" t="str">
        <f t="shared" si="9"/>
        <v>Weekend sale</v>
      </c>
    </row>
    <row r="271" spans="1:9" x14ac:dyDescent="0.3">
      <c r="A271" s="1">
        <v>45681.940885196971</v>
      </c>
      <c r="B271" t="s">
        <v>44</v>
      </c>
      <c r="C271" t="s">
        <v>41</v>
      </c>
      <c r="D271" t="s">
        <v>62</v>
      </c>
      <c r="E271" s="1">
        <v>45685.916297883276</v>
      </c>
      <c r="F271" s="3">
        <v>823.63</v>
      </c>
      <c r="G271" s="5">
        <f t="shared" ca="1" si="8"/>
        <v>3.9754126863044803</v>
      </c>
      <c r="H271" t="str" cm="1">
        <f t="array" aca="1" ref="H271" ca="1">_xlfn.IFS(G271&lt;2,"Excellent handling",AND(G271&gt;2,G271&lt;4)," ",G271&gt;4,"Bad handling")</f>
        <v xml:space="preserve"> </v>
      </c>
      <c r="I271" t="str">
        <f t="shared" si="9"/>
        <v xml:space="preserve"> </v>
      </c>
    </row>
    <row r="272" spans="1:9" x14ac:dyDescent="0.3">
      <c r="A272" s="1">
        <v>45669.892660375008</v>
      </c>
      <c r="B272" t="s">
        <v>24</v>
      </c>
      <c r="C272" t="s">
        <v>22</v>
      </c>
      <c r="D272" t="s">
        <v>54</v>
      </c>
      <c r="E272" s="1">
        <v>45671.25659549376</v>
      </c>
      <c r="F272" s="3">
        <v>55.75</v>
      </c>
      <c r="G272" s="5">
        <f t="shared" ca="1" si="8"/>
        <v>1.3639351187521243</v>
      </c>
      <c r="H272" t="str" cm="1">
        <f t="array" aca="1" ref="H272" ca="1">_xlfn.IFS(G272&lt;2,"Excellent handling",AND(G272&gt;2,G272&lt;4)," ",G272&gt;4,"Bad handling")</f>
        <v>Excellent handling</v>
      </c>
      <c r="I272" t="str">
        <f t="shared" si="9"/>
        <v>Weekend sale</v>
      </c>
    </row>
    <row r="273" spans="1:9" x14ac:dyDescent="0.3">
      <c r="A273" s="1">
        <v>45671.0033394438</v>
      </c>
      <c r="B273" t="s">
        <v>18</v>
      </c>
      <c r="C273" t="s">
        <v>15</v>
      </c>
      <c r="D273" t="s">
        <v>53</v>
      </c>
      <c r="E273" s="1">
        <v>45675.904359601634</v>
      </c>
      <c r="F273" s="3">
        <v>737.01</v>
      </c>
      <c r="G273" s="5">
        <f t="shared" ca="1" si="8"/>
        <v>4.9010201578348642</v>
      </c>
      <c r="H273" t="str" cm="1">
        <f t="array" aca="1" ref="H273" ca="1">_xlfn.IFS(G273&lt;2,"Excellent handling",AND(G273&gt;2,G273&lt;4)," ",G273&gt;4,"Bad handling")</f>
        <v>Bad handling</v>
      </c>
      <c r="I273" t="str">
        <f t="shared" si="9"/>
        <v xml:space="preserve"> </v>
      </c>
    </row>
    <row r="274" spans="1:9" x14ac:dyDescent="0.3">
      <c r="A274" s="1">
        <v>45652.488129699086</v>
      </c>
      <c r="B274" t="s">
        <v>9</v>
      </c>
      <c r="C274" t="s">
        <v>8</v>
      </c>
      <c r="D274" t="s">
        <v>54</v>
      </c>
      <c r="E274" s="1">
        <v>45655.436197980496</v>
      </c>
      <c r="F274" s="3">
        <v>501.15</v>
      </c>
      <c r="G274" s="5">
        <f t="shared" ca="1" si="8"/>
        <v>2.9480682814100874</v>
      </c>
      <c r="H274" t="str" cm="1">
        <f t="array" aca="1" ref="H274" ca="1">_xlfn.IFS(G274&lt;2,"Excellent handling",AND(G274&gt;2,G274&lt;4)," ",G274&gt;4,"Bad handling")</f>
        <v xml:space="preserve"> </v>
      </c>
      <c r="I274" t="str">
        <f t="shared" si="9"/>
        <v xml:space="preserve"> </v>
      </c>
    </row>
    <row r="275" spans="1:9" x14ac:dyDescent="0.3">
      <c r="A275" s="1">
        <v>45666.98037783202</v>
      </c>
      <c r="B275" t="s">
        <v>19</v>
      </c>
      <c r="C275" t="s">
        <v>15</v>
      </c>
      <c r="D275" t="s">
        <v>58</v>
      </c>
      <c r="E275" s="1">
        <v>45669.28465155408</v>
      </c>
      <c r="F275" s="3">
        <v>185.75</v>
      </c>
      <c r="G275" s="5">
        <f t="shared" ca="1" si="8"/>
        <v>2.3042737220603158</v>
      </c>
      <c r="H275" t="str" cm="1">
        <f t="array" aca="1" ref="H275" ca="1">_xlfn.IFS(G275&lt;2,"Excellent handling",AND(G275&gt;2,G275&lt;4)," ",G275&gt;4,"Bad handling")</f>
        <v xml:space="preserve"> </v>
      </c>
      <c r="I275" t="str">
        <f t="shared" si="9"/>
        <v xml:space="preserve"> </v>
      </c>
    </row>
    <row r="276" spans="1:9" x14ac:dyDescent="0.3">
      <c r="A276" s="1">
        <v>45654.46389259219</v>
      </c>
      <c r="B276" t="s">
        <v>34</v>
      </c>
      <c r="C276" t="s">
        <v>30</v>
      </c>
      <c r="D276" t="s">
        <v>61</v>
      </c>
      <c r="E276" s="1">
        <v>45655.665014781815</v>
      </c>
      <c r="F276" s="3">
        <v>56.08</v>
      </c>
      <c r="G276" s="5">
        <f t="shared" ca="1" si="8"/>
        <v>1.2011221896245843</v>
      </c>
      <c r="H276" t="str" cm="1">
        <f t="array" aca="1" ref="H276" ca="1">_xlfn.IFS(G276&lt;2,"Excellent handling",AND(G276&gt;2,G276&lt;4)," ",G276&gt;4,"Bad handling")</f>
        <v>Excellent handling</v>
      </c>
      <c r="I276" t="str">
        <f t="shared" si="9"/>
        <v>Weekend sale</v>
      </c>
    </row>
    <row r="277" spans="1:9" x14ac:dyDescent="0.3">
      <c r="A277" s="1">
        <v>45649.20040633771</v>
      </c>
      <c r="B277" t="s">
        <v>28</v>
      </c>
      <c r="C277" t="s">
        <v>26</v>
      </c>
      <c r="D277" t="s">
        <v>60</v>
      </c>
      <c r="E277" s="1">
        <v>45651.311619718414</v>
      </c>
      <c r="F277" s="3">
        <v>390.01</v>
      </c>
      <c r="G277" s="5">
        <f t="shared" ca="1" si="8"/>
        <v>2.1112133807037026</v>
      </c>
      <c r="H277" t="str" cm="1">
        <f t="array" aca="1" ref="H277" ca="1">_xlfn.IFS(G277&lt;2,"Excellent handling",AND(G277&gt;2,G277&lt;4)," ",G277&gt;4,"Bad handling")</f>
        <v xml:space="preserve"> </v>
      </c>
      <c r="I277" t="str">
        <f t="shared" si="9"/>
        <v xml:space="preserve"> </v>
      </c>
    </row>
    <row r="278" spans="1:9" x14ac:dyDescent="0.3">
      <c r="A278" s="1">
        <v>45679.894848009018</v>
      </c>
      <c r="B278" t="s">
        <v>24</v>
      </c>
      <c r="C278" t="s">
        <v>22</v>
      </c>
      <c r="D278" t="s">
        <v>54</v>
      </c>
      <c r="E278" s="1">
        <v>45682.785283618534</v>
      </c>
      <c r="F278" s="3">
        <v>752.14</v>
      </c>
      <c r="G278" s="5">
        <f t="shared" ca="1" si="8"/>
        <v>2.8904356095154071</v>
      </c>
      <c r="H278" t="str" cm="1">
        <f t="array" aca="1" ref="H278" ca="1">_xlfn.IFS(G278&lt;2,"Excellent handling",AND(G278&gt;2,G278&lt;4)," ",G278&gt;4,"Bad handling")</f>
        <v xml:space="preserve"> </v>
      </c>
      <c r="I278" t="str">
        <f t="shared" si="9"/>
        <v xml:space="preserve"> </v>
      </c>
    </row>
    <row r="279" spans="1:9" x14ac:dyDescent="0.3">
      <c r="A279" s="1">
        <v>45642.044677746861</v>
      </c>
      <c r="B279" t="s">
        <v>16</v>
      </c>
      <c r="C279" t="s">
        <v>15</v>
      </c>
      <c r="D279" t="s">
        <v>60</v>
      </c>
      <c r="E279" s="1">
        <v>45644.267477793881</v>
      </c>
      <c r="F279" s="3">
        <v>823.14</v>
      </c>
      <c r="G279" s="5">
        <f t="shared" ca="1" si="8"/>
        <v>2.2228000470204279</v>
      </c>
      <c r="H279" t="str" cm="1">
        <f t="array" aca="1" ref="H279" ca="1">_xlfn.IFS(G279&lt;2,"Excellent handling",AND(G279&gt;2,G279&lt;4)," ",G279&gt;4,"Bad handling")</f>
        <v xml:space="preserve"> </v>
      </c>
      <c r="I279" t="str">
        <f t="shared" si="9"/>
        <v xml:space="preserve"> </v>
      </c>
    </row>
    <row r="280" spans="1:9" x14ac:dyDescent="0.3">
      <c r="A280" s="1">
        <v>45631.693442769414</v>
      </c>
      <c r="B280" t="s">
        <v>6</v>
      </c>
      <c r="C280" t="s">
        <v>2</v>
      </c>
      <c r="D280" t="s">
        <v>58</v>
      </c>
      <c r="E280" s="1">
        <v>45635.538928176662</v>
      </c>
      <c r="F280" s="3">
        <v>253.66</v>
      </c>
      <c r="G280" s="5">
        <f t="shared" ca="1" si="8"/>
        <v>3.8454854072479066</v>
      </c>
      <c r="H280" t="str" cm="1">
        <f t="array" aca="1" ref="H280" ca="1">_xlfn.IFS(G280&lt;2,"Excellent handling",AND(G280&gt;2,G280&lt;4)," ",G280&gt;4,"Bad handling")</f>
        <v xml:space="preserve"> </v>
      </c>
      <c r="I280" t="str">
        <f t="shared" si="9"/>
        <v xml:space="preserve"> </v>
      </c>
    </row>
    <row r="281" spans="1:9" x14ac:dyDescent="0.3">
      <c r="A281" s="1">
        <v>45655.450335157257</v>
      </c>
      <c r="B281" t="s">
        <v>34</v>
      </c>
      <c r="C281" t="s">
        <v>30</v>
      </c>
      <c r="D281" t="s">
        <v>61</v>
      </c>
      <c r="E281" s="1">
        <v>45656.513415168236</v>
      </c>
      <c r="F281" s="3">
        <v>73.58</v>
      </c>
      <c r="G281" s="5">
        <f t="shared" ca="1" si="8"/>
        <v>1.0630800109793199</v>
      </c>
      <c r="H281" t="str" cm="1">
        <f t="array" aca="1" ref="H281" ca="1">_xlfn.IFS(G281&lt;2,"Excellent handling",AND(G281&gt;2,G281&lt;4)," ",G281&gt;4,"Bad handling")</f>
        <v>Excellent handling</v>
      </c>
      <c r="I281" t="str">
        <f t="shared" si="9"/>
        <v>Weekend sale</v>
      </c>
    </row>
    <row r="282" spans="1:9" x14ac:dyDescent="0.3">
      <c r="A282" s="1">
        <v>45689.807158841235</v>
      </c>
      <c r="B282" t="s">
        <v>27</v>
      </c>
      <c r="C282" t="s">
        <v>26</v>
      </c>
      <c r="D282" t="s">
        <v>55</v>
      </c>
      <c r="E282" s="1">
        <v>45692.347553388063</v>
      </c>
      <c r="F282" s="3">
        <v>776.65</v>
      </c>
      <c r="G282" s="5">
        <f t="shared" ca="1" si="8"/>
        <v>2.5403945468278835</v>
      </c>
      <c r="H282" t="str" cm="1">
        <f t="array" aca="1" ref="H282" ca="1">_xlfn.IFS(G282&lt;2,"Excellent handling",AND(G282&gt;2,G282&lt;4)," ",G282&gt;4,"Bad handling")</f>
        <v xml:space="preserve"> </v>
      </c>
      <c r="I282" t="str">
        <f t="shared" si="9"/>
        <v>Weekend sale</v>
      </c>
    </row>
    <row r="283" spans="1:9" x14ac:dyDescent="0.3">
      <c r="A283" s="1">
        <v>45665.970311337063</v>
      </c>
      <c r="B283" t="s">
        <v>7</v>
      </c>
      <c r="C283" t="s">
        <v>2</v>
      </c>
      <c r="D283" t="s">
        <v>54</v>
      </c>
      <c r="E283" s="1">
        <v>45669.425832105451</v>
      </c>
      <c r="F283" s="3">
        <v>759.94</v>
      </c>
      <c r="G283" s="5">
        <f t="shared" ca="1" si="8"/>
        <v>3.4555207683879416</v>
      </c>
      <c r="H283" t="str" cm="1">
        <f t="array" aca="1" ref="H283" ca="1">_xlfn.IFS(G283&lt;2,"Excellent handling",AND(G283&gt;2,G283&lt;4)," ",G283&gt;4,"Bad handling")</f>
        <v xml:space="preserve"> </v>
      </c>
      <c r="I283" t="str">
        <f t="shared" si="9"/>
        <v xml:space="preserve"> </v>
      </c>
    </row>
    <row r="284" spans="1:9" x14ac:dyDescent="0.3">
      <c r="A284" s="1">
        <v>45649.822959458412</v>
      </c>
      <c r="B284" t="s">
        <v>10</v>
      </c>
      <c r="C284" t="s">
        <v>8</v>
      </c>
      <c r="D284" t="s">
        <v>55</v>
      </c>
      <c r="E284" s="1" t="s">
        <v>66</v>
      </c>
      <c r="F284" s="3">
        <v>509.15</v>
      </c>
      <c r="G284" s="5">
        <f t="shared" ca="1" si="8"/>
        <v>405.17704054158821</v>
      </c>
      <c r="H284" t="str" cm="1">
        <f t="array" aca="1" ref="H284" ca="1">_xlfn.IFS(G284&lt;2,"Excellent handling",AND(G284&gt;2,G284&lt;4)," ",G284&gt;4,"Bad handling")</f>
        <v>Bad handling</v>
      </c>
      <c r="I284" t="str">
        <f t="shared" si="9"/>
        <v xml:space="preserve"> </v>
      </c>
    </row>
    <row r="285" spans="1:9" x14ac:dyDescent="0.3">
      <c r="A285" s="1">
        <v>45650.70773442107</v>
      </c>
      <c r="B285" t="s">
        <v>39</v>
      </c>
      <c r="C285" t="s">
        <v>38</v>
      </c>
      <c r="D285" t="s">
        <v>57</v>
      </c>
      <c r="E285" s="1">
        <v>45652.212328201858</v>
      </c>
      <c r="F285" s="3">
        <v>340.17</v>
      </c>
      <c r="G285" s="5">
        <f t="shared" ca="1" si="8"/>
        <v>1.5045937807881273</v>
      </c>
      <c r="H285" t="str" cm="1">
        <f t="array" aca="1" ref="H285" ca="1">_xlfn.IFS(G285&lt;2,"Excellent handling",AND(G285&gt;2,G285&lt;4)," ",G285&gt;4,"Bad handling")</f>
        <v>Excellent handling</v>
      </c>
      <c r="I285" t="str">
        <f t="shared" si="9"/>
        <v xml:space="preserve"> </v>
      </c>
    </row>
    <row r="286" spans="1:9" x14ac:dyDescent="0.3">
      <c r="A286" s="1">
        <v>45660.721838722849</v>
      </c>
      <c r="B286" t="s">
        <v>32</v>
      </c>
      <c r="C286" t="s">
        <v>30</v>
      </c>
      <c r="D286" t="s">
        <v>58</v>
      </c>
      <c r="E286" s="1">
        <v>45666.3225611362</v>
      </c>
      <c r="F286" s="3">
        <v>28.39</v>
      </c>
      <c r="G286" s="5">
        <f t="shared" ca="1" si="8"/>
        <v>5.6007224133500131</v>
      </c>
      <c r="H286" t="str" cm="1">
        <f t="array" aca="1" ref="H286" ca="1">_xlfn.IFS(G286&lt;2,"Excellent handling",AND(G286&gt;2,G286&lt;4)," ",G286&gt;4,"Bad handling")</f>
        <v>Bad handling</v>
      </c>
      <c r="I286" t="str">
        <f t="shared" si="9"/>
        <v xml:space="preserve"> </v>
      </c>
    </row>
    <row r="287" spans="1:9" x14ac:dyDescent="0.3">
      <c r="A287" s="1">
        <v>45675.963803531267</v>
      </c>
      <c r="B287" t="s">
        <v>46</v>
      </c>
      <c r="C287" t="s">
        <v>45</v>
      </c>
      <c r="D287" t="s">
        <v>59</v>
      </c>
      <c r="E287" s="1">
        <v>45677.917219750947</v>
      </c>
      <c r="F287" s="3">
        <v>580.12</v>
      </c>
      <c r="G287" s="5">
        <f t="shared" ca="1" si="8"/>
        <v>1.9534162196796387</v>
      </c>
      <c r="H287" t="str" cm="1">
        <f t="array" aca="1" ref="H287" ca="1">_xlfn.IFS(G287&lt;2,"Excellent handling",AND(G287&gt;2,G287&lt;4)," ",G287&gt;4,"Bad handling")</f>
        <v>Excellent handling</v>
      </c>
      <c r="I287" t="str">
        <f t="shared" si="9"/>
        <v>Weekend sale</v>
      </c>
    </row>
    <row r="288" spans="1:9" x14ac:dyDescent="0.3">
      <c r="A288" s="1">
        <v>45685.050654903207</v>
      </c>
      <c r="B288" t="s">
        <v>32</v>
      </c>
      <c r="C288" t="s">
        <v>30</v>
      </c>
      <c r="D288" t="s">
        <v>58</v>
      </c>
      <c r="E288" s="1">
        <v>45686.862309591008</v>
      </c>
      <c r="F288" s="3">
        <v>573.54999999999995</v>
      </c>
      <c r="G288" s="5">
        <f t="shared" ca="1" si="8"/>
        <v>1.8116546878009103</v>
      </c>
      <c r="H288" t="str" cm="1">
        <f t="array" aca="1" ref="H288" ca="1">_xlfn.IFS(G288&lt;2,"Excellent handling",AND(G288&gt;2,G288&lt;4)," ",G288&gt;4,"Bad handling")</f>
        <v>Excellent handling</v>
      </c>
      <c r="I288" t="str">
        <f t="shared" si="9"/>
        <v xml:space="preserve"> </v>
      </c>
    </row>
    <row r="289" spans="1:9" x14ac:dyDescent="0.3">
      <c r="A289" s="1">
        <v>45686.204020163204</v>
      </c>
      <c r="B289" t="s">
        <v>49</v>
      </c>
      <c r="C289" t="s">
        <v>45</v>
      </c>
      <c r="D289" t="s">
        <v>60</v>
      </c>
      <c r="E289" s="1">
        <v>45688.500866933551</v>
      </c>
      <c r="F289" s="3">
        <v>257.57</v>
      </c>
      <c r="G289" s="5">
        <f t="shared" ca="1" si="8"/>
        <v>2.2968467703467468</v>
      </c>
      <c r="H289" t="str" cm="1">
        <f t="array" aca="1" ref="H289" ca="1">_xlfn.IFS(G289&lt;2,"Excellent handling",AND(G289&gt;2,G289&lt;4)," ",G289&gt;4,"Bad handling")</f>
        <v xml:space="preserve"> </v>
      </c>
      <c r="I289" t="str">
        <f t="shared" si="9"/>
        <v xml:space="preserve"> </v>
      </c>
    </row>
    <row r="290" spans="1:9" x14ac:dyDescent="0.3">
      <c r="A290" s="1">
        <v>45690.95512680689</v>
      </c>
      <c r="B290" t="s">
        <v>48</v>
      </c>
      <c r="C290" t="s">
        <v>45</v>
      </c>
      <c r="D290" t="s">
        <v>60</v>
      </c>
      <c r="E290" s="1">
        <v>45694.727095995302</v>
      </c>
      <c r="F290" s="3">
        <v>328.58</v>
      </c>
      <c r="G290" s="5">
        <f t="shared" ca="1" si="8"/>
        <v>3.7719691884121858</v>
      </c>
      <c r="H290" t="str" cm="1">
        <f t="array" aca="1" ref="H290" ca="1">_xlfn.IFS(G290&lt;2,"Excellent handling",AND(G290&gt;2,G290&lt;4)," ",G290&gt;4,"Bad handling")</f>
        <v xml:space="preserve"> </v>
      </c>
      <c r="I290" t="str">
        <f t="shared" si="9"/>
        <v>Weekend sale</v>
      </c>
    </row>
    <row r="291" spans="1:9" x14ac:dyDescent="0.3">
      <c r="A291" s="1">
        <v>45693.471608052321</v>
      </c>
      <c r="B291" t="s">
        <v>27</v>
      </c>
      <c r="C291" t="s">
        <v>26</v>
      </c>
      <c r="D291" t="s">
        <v>55</v>
      </c>
      <c r="E291" s="1">
        <v>45693.512738138183</v>
      </c>
      <c r="F291" s="3">
        <v>513.41999999999996</v>
      </c>
      <c r="G291" s="5">
        <f t="shared" ca="1" si="8"/>
        <v>4.113008586136857E-2</v>
      </c>
      <c r="H291" t="str" cm="1">
        <f t="array" aca="1" ref="H291" ca="1">_xlfn.IFS(G291&lt;2,"Excellent handling",AND(G291&gt;2,G291&lt;4)," ",G291&gt;4,"Bad handling")</f>
        <v>Excellent handling</v>
      </c>
      <c r="I291" t="str">
        <f t="shared" si="9"/>
        <v xml:space="preserve"> </v>
      </c>
    </row>
    <row r="292" spans="1:9" x14ac:dyDescent="0.3">
      <c r="A292" s="1">
        <v>45680.33542311249</v>
      </c>
      <c r="B292" t="s">
        <v>31</v>
      </c>
      <c r="C292" t="s">
        <v>30</v>
      </c>
      <c r="D292" t="s">
        <v>56</v>
      </c>
      <c r="E292" s="1">
        <v>45681.911989362612</v>
      </c>
      <c r="F292" s="3">
        <v>790.49</v>
      </c>
      <c r="G292" s="5">
        <f t="shared" ca="1" si="8"/>
        <v>1.5765662501216866</v>
      </c>
      <c r="H292" t="str" cm="1">
        <f t="array" aca="1" ref="H292" ca="1">_xlfn.IFS(G292&lt;2,"Excellent handling",AND(G292&gt;2,G292&lt;4)," ",G292&gt;4,"Bad handling")</f>
        <v>Excellent handling</v>
      </c>
      <c r="I292" t="str">
        <f t="shared" si="9"/>
        <v xml:space="preserve"> </v>
      </c>
    </row>
    <row r="293" spans="1:9" x14ac:dyDescent="0.3">
      <c r="A293" s="1">
        <v>45654.882037466363</v>
      </c>
      <c r="B293" t="s">
        <v>36</v>
      </c>
      <c r="C293" t="s">
        <v>35</v>
      </c>
      <c r="D293" t="s">
        <v>55</v>
      </c>
      <c r="E293" s="1">
        <v>45656.758193744194</v>
      </c>
      <c r="F293" s="3">
        <v>179.54</v>
      </c>
      <c r="G293" s="5">
        <f t="shared" ca="1" si="8"/>
        <v>1.8761562778308871</v>
      </c>
      <c r="H293" t="str" cm="1">
        <f t="array" aca="1" ref="H293" ca="1">_xlfn.IFS(G293&lt;2,"Excellent handling",AND(G293&gt;2,G293&lt;4)," ",G293&gt;4,"Bad handling")</f>
        <v>Excellent handling</v>
      </c>
      <c r="I293" t="str">
        <f t="shared" si="9"/>
        <v>Weekend sale</v>
      </c>
    </row>
    <row r="294" spans="1:9" x14ac:dyDescent="0.3">
      <c r="A294" s="1">
        <v>45696.544276102992</v>
      </c>
      <c r="B294" t="s">
        <v>4</v>
      </c>
      <c r="C294" t="s">
        <v>2</v>
      </c>
      <c r="D294" t="s">
        <v>60</v>
      </c>
      <c r="E294" s="1">
        <v>45699.007106951634</v>
      </c>
      <c r="F294" s="3">
        <v>325.76</v>
      </c>
      <c r="G294" s="5">
        <f t="shared" ca="1" si="8"/>
        <v>2.4628308486426249</v>
      </c>
      <c r="H294" t="str" cm="1">
        <f t="array" aca="1" ref="H294" ca="1">_xlfn.IFS(G294&lt;2,"Excellent handling",AND(G294&gt;2,G294&lt;4)," ",G294&gt;4,"Bad handling")</f>
        <v xml:space="preserve"> </v>
      </c>
      <c r="I294" t="str">
        <f t="shared" si="9"/>
        <v>Weekend sale</v>
      </c>
    </row>
    <row r="295" spans="1:9" x14ac:dyDescent="0.3">
      <c r="A295" s="1">
        <v>45670.17022094701</v>
      </c>
      <c r="B295" t="s">
        <v>36</v>
      </c>
      <c r="C295" t="s">
        <v>35</v>
      </c>
      <c r="D295" t="s">
        <v>55</v>
      </c>
      <c r="E295" s="1" t="s">
        <v>65</v>
      </c>
      <c r="F295" s="3">
        <v>63.1</v>
      </c>
      <c r="G295" s="5">
        <f t="shared" ca="1" si="8"/>
        <v>384.82977905299049</v>
      </c>
      <c r="H295" t="str" cm="1">
        <f t="array" aca="1" ref="H295" ca="1">_xlfn.IFS(G295&lt;2,"Excellent handling",AND(G295&gt;2,G295&lt;4)," ",G295&gt;4,"Bad handling")</f>
        <v>Bad handling</v>
      </c>
      <c r="I295" t="str">
        <f t="shared" si="9"/>
        <v xml:space="preserve"> </v>
      </c>
    </row>
    <row r="296" spans="1:9" x14ac:dyDescent="0.3">
      <c r="A296" s="1">
        <v>45685.250743896402</v>
      </c>
      <c r="B296" t="s">
        <v>25</v>
      </c>
      <c r="C296" t="s">
        <v>22</v>
      </c>
      <c r="D296" t="s">
        <v>61</v>
      </c>
      <c r="E296" s="1">
        <v>45687.220421311496</v>
      </c>
      <c r="F296" s="3">
        <v>451.88</v>
      </c>
      <c r="G296" s="5">
        <f t="shared" ca="1" si="8"/>
        <v>1.9696774150943384</v>
      </c>
      <c r="H296" t="str" cm="1">
        <f t="array" aca="1" ref="H296" ca="1">_xlfn.IFS(G296&lt;2,"Excellent handling",AND(G296&gt;2,G296&lt;4)," ",G296&gt;4,"Bad handling")</f>
        <v>Excellent handling</v>
      </c>
      <c r="I296" t="str">
        <f t="shared" si="9"/>
        <v xml:space="preserve"> </v>
      </c>
    </row>
    <row r="297" spans="1:9" x14ac:dyDescent="0.3">
      <c r="A297" s="1">
        <v>45695.620768453358</v>
      </c>
      <c r="B297" t="s">
        <v>24</v>
      </c>
      <c r="C297" t="s">
        <v>22</v>
      </c>
      <c r="D297" t="s">
        <v>54</v>
      </c>
      <c r="E297" s="1">
        <v>45700.789657694535</v>
      </c>
      <c r="F297" s="3">
        <v>675.24</v>
      </c>
      <c r="G297" s="5">
        <f t="shared" ca="1" si="8"/>
        <v>5.1688892411766574</v>
      </c>
      <c r="H297" t="str" cm="1">
        <f t="array" aca="1" ref="H297" ca="1">_xlfn.IFS(G297&lt;2,"Excellent handling",AND(G297&gt;2,G297&lt;4)," ",G297&gt;4,"Bad handling")</f>
        <v>Bad handling</v>
      </c>
      <c r="I297" t="str">
        <f t="shared" si="9"/>
        <v xml:space="preserve"> </v>
      </c>
    </row>
    <row r="298" spans="1:9" x14ac:dyDescent="0.3">
      <c r="A298" s="1">
        <v>45655.411124261496</v>
      </c>
      <c r="B298" t="s">
        <v>33</v>
      </c>
      <c r="C298" t="s">
        <v>30</v>
      </c>
      <c r="D298" t="s">
        <v>59</v>
      </c>
      <c r="E298" s="1">
        <v>45658.592055016845</v>
      </c>
      <c r="F298" s="3">
        <v>767.13</v>
      </c>
      <c r="G298" s="5">
        <f t="shared" ca="1" si="8"/>
        <v>3.1809307553485269</v>
      </c>
      <c r="H298" t="str" cm="1">
        <f t="array" aca="1" ref="H298" ca="1">_xlfn.IFS(G298&lt;2,"Excellent handling",AND(G298&gt;2,G298&lt;4)," ",G298&gt;4,"Bad handling")</f>
        <v xml:space="preserve"> </v>
      </c>
      <c r="I298" t="str">
        <f t="shared" si="9"/>
        <v>Weekend sale</v>
      </c>
    </row>
    <row r="299" spans="1:9" x14ac:dyDescent="0.3">
      <c r="A299" s="1">
        <v>45678.042278530331</v>
      </c>
      <c r="B299" t="s">
        <v>19</v>
      </c>
      <c r="C299" t="s">
        <v>15</v>
      </c>
      <c r="D299" t="s">
        <v>58</v>
      </c>
      <c r="E299" s="1">
        <v>45680.966968891829</v>
      </c>
      <c r="F299" s="3">
        <v>506.35</v>
      </c>
      <c r="G299" s="5">
        <f t="shared" ca="1" si="8"/>
        <v>2.9246903614985058</v>
      </c>
      <c r="H299" t="str" cm="1">
        <f t="array" aca="1" ref="H299" ca="1">_xlfn.IFS(G299&lt;2,"Excellent handling",AND(G299&gt;2,G299&lt;4)," ",G299&gt;4,"Bad handling")</f>
        <v xml:space="preserve"> </v>
      </c>
      <c r="I299" t="str">
        <f t="shared" si="9"/>
        <v xml:space="preserve"> </v>
      </c>
    </row>
    <row r="300" spans="1:9" x14ac:dyDescent="0.3">
      <c r="A300" s="1">
        <v>45633.199559377928</v>
      </c>
      <c r="B300" t="s">
        <v>43</v>
      </c>
      <c r="C300" t="s">
        <v>41</v>
      </c>
      <c r="D300" t="s">
        <v>57</v>
      </c>
      <c r="E300" s="1">
        <v>45635.749601405267</v>
      </c>
      <c r="F300" s="3">
        <v>630.33000000000004</v>
      </c>
      <c r="G300" s="5">
        <f t="shared" ca="1" si="8"/>
        <v>2.5500420273383497</v>
      </c>
      <c r="H300" t="str" cm="1">
        <f t="array" aca="1" ref="H300" ca="1">_xlfn.IFS(G300&lt;2,"Excellent handling",AND(G300&gt;2,G300&lt;4)," ",G300&gt;4,"Bad handling")</f>
        <v xml:space="preserve"> </v>
      </c>
      <c r="I300" t="str">
        <f t="shared" si="9"/>
        <v>Weekend sale</v>
      </c>
    </row>
    <row r="301" spans="1:9" x14ac:dyDescent="0.3">
      <c r="A301" s="1">
        <v>45689.907175873093</v>
      </c>
      <c r="B301" t="s">
        <v>31</v>
      </c>
      <c r="C301" t="s">
        <v>30</v>
      </c>
      <c r="D301" t="s">
        <v>56</v>
      </c>
      <c r="E301" s="1">
        <v>45691.988993720559</v>
      </c>
      <c r="F301" s="3">
        <v>145.75</v>
      </c>
      <c r="G301" s="5">
        <f t="shared" ca="1" si="8"/>
        <v>2.0818178474655724</v>
      </c>
      <c r="H301" t="str" cm="1">
        <f t="array" aca="1" ref="H301" ca="1">_xlfn.IFS(G301&lt;2,"Excellent handling",AND(G301&gt;2,G301&lt;4)," ",G301&gt;4,"Bad handling")</f>
        <v xml:space="preserve"> </v>
      </c>
      <c r="I301" t="str">
        <f t="shared" si="9"/>
        <v>Weekend sale</v>
      </c>
    </row>
    <row r="302" spans="1:9" x14ac:dyDescent="0.3">
      <c r="A302" s="1">
        <v>45631.847084453242</v>
      </c>
      <c r="B302" t="s">
        <v>39</v>
      </c>
      <c r="C302" t="s">
        <v>38</v>
      </c>
      <c r="D302" t="s">
        <v>57</v>
      </c>
      <c r="E302" s="1">
        <v>45635.557864035261</v>
      </c>
      <c r="F302" s="3">
        <v>359.71</v>
      </c>
      <c r="G302" s="5">
        <f t="shared" ca="1" si="8"/>
        <v>3.7107795820193132</v>
      </c>
      <c r="H302" t="str" cm="1">
        <f t="array" aca="1" ref="H302" ca="1">_xlfn.IFS(G302&lt;2,"Excellent handling",AND(G302&gt;2,G302&lt;4)," ",G302&gt;4,"Bad handling")</f>
        <v xml:space="preserve"> </v>
      </c>
      <c r="I302" t="str">
        <f t="shared" si="9"/>
        <v xml:space="preserve"> </v>
      </c>
    </row>
    <row r="303" spans="1:9" x14ac:dyDescent="0.3">
      <c r="A303" s="1">
        <v>45664.141635104294</v>
      </c>
      <c r="B303" t="s">
        <v>16</v>
      </c>
      <c r="C303" t="s">
        <v>15</v>
      </c>
      <c r="D303" t="s">
        <v>60</v>
      </c>
      <c r="E303" s="1">
        <v>45667.356823017988</v>
      </c>
      <c r="F303" s="3">
        <v>445.55</v>
      </c>
      <c r="G303" s="5">
        <f t="shared" ca="1" si="8"/>
        <v>3.2151879136945354</v>
      </c>
      <c r="H303" t="str" cm="1">
        <f t="array" aca="1" ref="H303" ca="1">_xlfn.IFS(G303&lt;2,"Excellent handling",AND(G303&gt;2,G303&lt;4)," ",G303&gt;4,"Bad handling")</f>
        <v xml:space="preserve"> </v>
      </c>
      <c r="I303" t="str">
        <f t="shared" si="9"/>
        <v xml:space="preserve"> </v>
      </c>
    </row>
    <row r="304" spans="1:9" x14ac:dyDescent="0.3">
      <c r="A304" s="1">
        <v>45677.336950170233</v>
      </c>
      <c r="B304" t="s">
        <v>5</v>
      </c>
      <c r="C304" t="s">
        <v>2</v>
      </c>
      <c r="D304" t="s">
        <v>55</v>
      </c>
      <c r="E304" s="1" t="s">
        <v>66</v>
      </c>
      <c r="F304" s="3">
        <v>592.48</v>
      </c>
      <c r="G304" s="5">
        <f t="shared" ca="1" si="8"/>
        <v>377.66304982976726</v>
      </c>
      <c r="H304" t="str" cm="1">
        <f t="array" aca="1" ref="H304" ca="1">_xlfn.IFS(G304&lt;2,"Excellent handling",AND(G304&gt;2,G304&lt;4)," ",G304&gt;4,"Bad handling")</f>
        <v>Bad handling</v>
      </c>
      <c r="I304" t="str">
        <f t="shared" si="9"/>
        <v xml:space="preserve"> </v>
      </c>
    </row>
    <row r="305" spans="1:9" x14ac:dyDescent="0.3">
      <c r="A305" s="1">
        <v>45667.205391638818</v>
      </c>
      <c r="B305" t="s">
        <v>4</v>
      </c>
      <c r="C305" t="s">
        <v>2</v>
      </c>
      <c r="D305" t="s">
        <v>60</v>
      </c>
      <c r="E305" s="1">
        <v>45669.815050832418</v>
      </c>
      <c r="F305" s="3">
        <v>822.55</v>
      </c>
      <c r="G305" s="5">
        <f t="shared" ca="1" si="8"/>
        <v>2.6096591936002369</v>
      </c>
      <c r="H305" t="str" cm="1">
        <f t="array" aca="1" ref="H305" ca="1">_xlfn.IFS(G305&lt;2,"Excellent handling",AND(G305&gt;2,G305&lt;4)," ",G305&gt;4,"Bad handling")</f>
        <v xml:space="preserve"> </v>
      </c>
      <c r="I305" t="str">
        <f t="shared" si="9"/>
        <v xml:space="preserve"> </v>
      </c>
    </row>
    <row r="306" spans="1:9" x14ac:dyDescent="0.3">
      <c r="A306" s="1">
        <v>45678.936484329104</v>
      </c>
      <c r="B306" t="s">
        <v>24</v>
      </c>
      <c r="C306" t="s">
        <v>22</v>
      </c>
      <c r="D306" t="s">
        <v>54</v>
      </c>
      <c r="E306" s="1">
        <v>45679.417628038944</v>
      </c>
      <c r="F306" s="3">
        <v>48.19</v>
      </c>
      <c r="G306" s="5">
        <f t="shared" ca="1" si="8"/>
        <v>0.48114370983967092</v>
      </c>
      <c r="H306" t="str" cm="1">
        <f t="array" aca="1" ref="H306" ca="1">_xlfn.IFS(G306&lt;2,"Excellent handling",AND(G306&gt;2,G306&lt;4)," ",G306&gt;4,"Bad handling")</f>
        <v>Excellent handling</v>
      </c>
      <c r="I306" t="str">
        <f t="shared" si="9"/>
        <v xml:space="preserve"> </v>
      </c>
    </row>
    <row r="307" spans="1:9" x14ac:dyDescent="0.3">
      <c r="A307" s="1">
        <v>45683.593102942679</v>
      </c>
      <c r="B307" t="s">
        <v>14</v>
      </c>
      <c r="C307" t="s">
        <v>8</v>
      </c>
      <c r="D307" t="s">
        <v>54</v>
      </c>
      <c r="E307" s="1">
        <v>45687.205354224963</v>
      </c>
      <c r="F307" s="3">
        <v>773.46</v>
      </c>
      <c r="G307" s="5">
        <f t="shared" ca="1" si="8"/>
        <v>3.6122512822839781</v>
      </c>
      <c r="H307" t="str" cm="1">
        <f t="array" aca="1" ref="H307" ca="1">_xlfn.IFS(G307&lt;2,"Excellent handling",AND(G307&gt;2,G307&lt;4)," ",G307&gt;4,"Bad handling")</f>
        <v xml:space="preserve"> </v>
      </c>
      <c r="I307" t="str">
        <f t="shared" si="9"/>
        <v>Weekend sale</v>
      </c>
    </row>
    <row r="308" spans="1:9" x14ac:dyDescent="0.3">
      <c r="A308" s="1">
        <v>45679.938667747323</v>
      </c>
      <c r="B308" t="s">
        <v>43</v>
      </c>
      <c r="C308" t="s">
        <v>41</v>
      </c>
      <c r="D308" t="s">
        <v>57</v>
      </c>
      <c r="E308" s="1">
        <v>45681.261126390527</v>
      </c>
      <c r="F308" s="3">
        <v>486.74</v>
      </c>
      <c r="G308" s="5">
        <f t="shared" ca="1" si="8"/>
        <v>1.3224586432042997</v>
      </c>
      <c r="H308" t="str" cm="1">
        <f t="array" aca="1" ref="H308" ca="1">_xlfn.IFS(G308&lt;2,"Excellent handling",AND(G308&gt;2,G308&lt;4)," ",G308&gt;4,"Bad handling")</f>
        <v>Excellent handling</v>
      </c>
      <c r="I308" t="str">
        <f t="shared" si="9"/>
        <v xml:space="preserve"> </v>
      </c>
    </row>
    <row r="309" spans="1:9" x14ac:dyDescent="0.3">
      <c r="A309" s="1">
        <v>45672.335499074426</v>
      </c>
      <c r="B309" t="s">
        <v>16</v>
      </c>
      <c r="C309" t="s">
        <v>15</v>
      </c>
      <c r="D309" t="s">
        <v>60</v>
      </c>
      <c r="E309" s="1">
        <v>45674.743522945508</v>
      </c>
      <c r="F309" s="3">
        <v>826.09</v>
      </c>
      <c r="G309" s="5">
        <f t="shared" ca="1" si="8"/>
        <v>2.4080238710812409</v>
      </c>
      <c r="H309" t="str" cm="1">
        <f t="array" aca="1" ref="H309" ca="1">_xlfn.IFS(G309&lt;2,"Excellent handling",AND(G309&gt;2,G309&lt;4)," ",G309&gt;4,"Bad handling")</f>
        <v xml:space="preserve"> </v>
      </c>
      <c r="I309" t="str">
        <f t="shared" si="9"/>
        <v xml:space="preserve"> </v>
      </c>
    </row>
    <row r="310" spans="1:9" x14ac:dyDescent="0.3">
      <c r="A310" s="1">
        <v>45668.714074821532</v>
      </c>
      <c r="B310" t="s">
        <v>25</v>
      </c>
      <c r="C310" t="s">
        <v>22</v>
      </c>
      <c r="D310" t="s">
        <v>61</v>
      </c>
      <c r="E310" s="1">
        <v>45671.626611178152</v>
      </c>
      <c r="F310" s="3">
        <v>726.08</v>
      </c>
      <c r="G310" s="5">
        <f t="shared" ca="1" si="8"/>
        <v>2.9125363566199667</v>
      </c>
      <c r="H310" t="str" cm="1">
        <f t="array" aca="1" ref="H310" ca="1">_xlfn.IFS(G310&lt;2,"Excellent handling",AND(G310&gt;2,G310&lt;4)," ",G310&gt;4,"Bad handling")</f>
        <v xml:space="preserve"> </v>
      </c>
      <c r="I310" t="str">
        <f t="shared" si="9"/>
        <v>Weekend sale</v>
      </c>
    </row>
    <row r="311" spans="1:9" x14ac:dyDescent="0.3">
      <c r="A311" s="1">
        <v>45651.812258625287</v>
      </c>
      <c r="B311" t="s">
        <v>23</v>
      </c>
      <c r="C311" t="s">
        <v>22</v>
      </c>
      <c r="D311" t="s">
        <v>61</v>
      </c>
      <c r="E311" s="1" t="s">
        <v>66</v>
      </c>
      <c r="F311" s="3">
        <v>508.56</v>
      </c>
      <c r="G311" s="5">
        <f t="shared" ca="1" si="8"/>
        <v>403.18774137471337</v>
      </c>
      <c r="H311" t="str" cm="1">
        <f t="array" aca="1" ref="H311" ca="1">_xlfn.IFS(G311&lt;2,"Excellent handling",AND(G311&gt;2,G311&lt;4)," ",G311&gt;4,"Bad handling")</f>
        <v>Bad handling</v>
      </c>
      <c r="I311" t="str">
        <f t="shared" si="9"/>
        <v xml:space="preserve"> </v>
      </c>
    </row>
    <row r="312" spans="1:9" x14ac:dyDescent="0.3">
      <c r="A312" s="1">
        <v>45691.348351201814</v>
      </c>
      <c r="B312" t="s">
        <v>44</v>
      </c>
      <c r="C312" t="s">
        <v>41</v>
      </c>
      <c r="D312" t="s">
        <v>62</v>
      </c>
      <c r="E312" s="1">
        <v>45696.221746442439</v>
      </c>
      <c r="F312" s="3">
        <v>74.540000000000006</v>
      </c>
      <c r="G312" s="5">
        <f t="shared" ca="1" si="8"/>
        <v>4.8733952406255412</v>
      </c>
      <c r="H312" t="str" cm="1">
        <f t="array" aca="1" ref="H312" ca="1">_xlfn.IFS(G312&lt;2,"Excellent handling",AND(G312&gt;2,G312&lt;4)," ",G312&gt;4,"Bad handling")</f>
        <v>Bad handling</v>
      </c>
      <c r="I312" t="str">
        <f t="shared" si="9"/>
        <v xml:space="preserve"> </v>
      </c>
    </row>
    <row r="313" spans="1:9" x14ac:dyDescent="0.3">
      <c r="A313" s="1">
        <v>45674.863496643331</v>
      </c>
      <c r="B313" t="s">
        <v>4</v>
      </c>
      <c r="C313" t="s">
        <v>2</v>
      </c>
      <c r="D313" t="s">
        <v>60</v>
      </c>
      <c r="E313" s="1">
        <v>45678.832296533139</v>
      </c>
      <c r="F313" s="3">
        <v>770.29</v>
      </c>
      <c r="G313" s="5">
        <f t="shared" ca="1" si="8"/>
        <v>3.9687998898079968</v>
      </c>
      <c r="H313" t="str" cm="1">
        <f t="array" aca="1" ref="H313" ca="1">_xlfn.IFS(G313&lt;2,"Excellent handling",AND(G313&gt;2,G313&lt;4)," ",G313&gt;4,"Bad handling")</f>
        <v xml:space="preserve"> </v>
      </c>
      <c r="I313" t="str">
        <f t="shared" si="9"/>
        <v xml:space="preserve"> </v>
      </c>
    </row>
    <row r="314" spans="1:9" x14ac:dyDescent="0.3">
      <c r="A314" s="1">
        <v>45689.415658620121</v>
      </c>
      <c r="B314" t="s">
        <v>4</v>
      </c>
      <c r="C314" t="s">
        <v>2</v>
      </c>
      <c r="D314" t="s">
        <v>60</v>
      </c>
      <c r="E314" s="1">
        <v>45691.489172051093</v>
      </c>
      <c r="F314" s="3">
        <v>511.4</v>
      </c>
      <c r="G314" s="5">
        <f t="shared" ca="1" si="8"/>
        <v>2.0735134309725254</v>
      </c>
      <c r="H314" t="str" cm="1">
        <f t="array" aca="1" ref="H314" ca="1">_xlfn.IFS(G314&lt;2,"Excellent handling",AND(G314&gt;2,G314&lt;4)," ",G314&gt;4,"Bad handling")</f>
        <v xml:space="preserve"> </v>
      </c>
      <c r="I314" t="str">
        <f t="shared" si="9"/>
        <v>Weekend sale</v>
      </c>
    </row>
    <row r="315" spans="1:9" x14ac:dyDescent="0.3">
      <c r="A315" s="1">
        <v>45681.551549873082</v>
      </c>
      <c r="B315" t="s">
        <v>12</v>
      </c>
      <c r="C315" t="s">
        <v>8</v>
      </c>
      <c r="D315" t="s">
        <v>56</v>
      </c>
      <c r="E315" s="1">
        <v>45684.814064370497</v>
      </c>
      <c r="F315" s="3">
        <v>339.55</v>
      </c>
      <c r="G315" s="5">
        <f t="shared" ca="1" si="8"/>
        <v>3.2625144974153955</v>
      </c>
      <c r="H315" t="str" cm="1">
        <f t="array" aca="1" ref="H315" ca="1">_xlfn.IFS(G315&lt;2,"Excellent handling",AND(G315&gt;2,G315&lt;4)," ",G315&gt;4,"Bad handling")</f>
        <v xml:space="preserve"> </v>
      </c>
      <c r="I315" t="str">
        <f t="shared" si="9"/>
        <v xml:space="preserve"> </v>
      </c>
    </row>
    <row r="316" spans="1:9" x14ac:dyDescent="0.3">
      <c r="A316" s="1">
        <v>45627.967748810588</v>
      </c>
      <c r="B316" t="s">
        <v>21</v>
      </c>
      <c r="C316" t="s">
        <v>15</v>
      </c>
      <c r="D316" t="s">
        <v>60</v>
      </c>
      <c r="E316" s="1">
        <v>45633.243669317446</v>
      </c>
      <c r="F316" s="3">
        <v>786.63</v>
      </c>
      <c r="G316" s="5">
        <f t="shared" ca="1" si="8"/>
        <v>5.2759205068578012</v>
      </c>
      <c r="H316" t="str" cm="1">
        <f t="array" aca="1" ref="H316" ca="1">_xlfn.IFS(G316&lt;2,"Excellent handling",AND(G316&gt;2,G316&lt;4)," ",G316&gt;4,"Bad handling")</f>
        <v>Bad handling</v>
      </c>
      <c r="I316" t="str">
        <f t="shared" si="9"/>
        <v>Weekend sale</v>
      </c>
    </row>
    <row r="317" spans="1:9" x14ac:dyDescent="0.3">
      <c r="A317" s="1">
        <v>45664.523557944929</v>
      </c>
      <c r="B317" t="s">
        <v>17</v>
      </c>
      <c r="C317" t="s">
        <v>15</v>
      </c>
      <c r="D317" t="s">
        <v>54</v>
      </c>
      <c r="E317" s="1">
        <v>45665.715264268234</v>
      </c>
      <c r="F317" s="3">
        <v>590.41</v>
      </c>
      <c r="G317" s="5">
        <f t="shared" ca="1" si="8"/>
        <v>1.1917063233049703</v>
      </c>
      <c r="H317" t="str" cm="1">
        <f t="array" aca="1" ref="H317" ca="1">_xlfn.IFS(G317&lt;2,"Excellent handling",AND(G317&gt;2,G317&lt;4)," ",G317&gt;4,"Bad handling")</f>
        <v>Excellent handling</v>
      </c>
      <c r="I317" t="str">
        <f t="shared" si="9"/>
        <v xml:space="preserve"> </v>
      </c>
    </row>
    <row r="318" spans="1:9" x14ac:dyDescent="0.3">
      <c r="A318" s="1">
        <v>45631.642260646651</v>
      </c>
      <c r="B318" t="s">
        <v>43</v>
      </c>
      <c r="C318" t="s">
        <v>41</v>
      </c>
      <c r="D318" t="s">
        <v>57</v>
      </c>
      <c r="E318" s="1">
        <v>45635.49300428111</v>
      </c>
      <c r="F318" s="3">
        <v>383.41</v>
      </c>
      <c r="G318" s="5">
        <f t="shared" ca="1" si="8"/>
        <v>3.8507436344589223</v>
      </c>
      <c r="H318" t="str" cm="1">
        <f t="array" aca="1" ref="H318" ca="1">_xlfn.IFS(G318&lt;2,"Excellent handling",AND(G318&gt;2,G318&lt;4)," ",G318&gt;4,"Bad handling")</f>
        <v xml:space="preserve"> </v>
      </c>
      <c r="I318" t="str">
        <f t="shared" si="9"/>
        <v xml:space="preserve"> </v>
      </c>
    </row>
    <row r="319" spans="1:9" x14ac:dyDescent="0.3">
      <c r="A319" s="1">
        <v>45630.194155966718</v>
      </c>
      <c r="B319" t="s">
        <v>47</v>
      </c>
      <c r="C319" t="s">
        <v>45</v>
      </c>
      <c r="D319" t="s">
        <v>59</v>
      </c>
      <c r="E319" s="1">
        <v>45631.596654683017</v>
      </c>
      <c r="F319" s="3">
        <v>362.8</v>
      </c>
      <c r="G319" s="5">
        <f t="shared" ca="1" si="8"/>
        <v>1.4024987162993057</v>
      </c>
      <c r="H319" t="str" cm="1">
        <f t="array" aca="1" ref="H319" ca="1">_xlfn.IFS(G319&lt;2,"Excellent handling",AND(G319&gt;2,G319&lt;4)," ",G319&gt;4,"Bad handling")</f>
        <v>Excellent handling</v>
      </c>
      <c r="I319" t="str">
        <f t="shared" si="9"/>
        <v xml:space="preserve"> </v>
      </c>
    </row>
    <row r="320" spans="1:9" x14ac:dyDescent="0.3">
      <c r="A320" s="1">
        <v>45660.509241620559</v>
      </c>
      <c r="B320" t="s">
        <v>28</v>
      </c>
      <c r="C320" t="s">
        <v>26</v>
      </c>
      <c r="D320" t="s">
        <v>60</v>
      </c>
      <c r="E320" s="1" t="s">
        <v>64</v>
      </c>
      <c r="F320" s="3">
        <v>51.81</v>
      </c>
      <c r="G320" s="5">
        <f t="shared" ca="1" si="8"/>
        <v>394.4907583794411</v>
      </c>
      <c r="H320" t="str" cm="1">
        <f t="array" aca="1" ref="H320" ca="1">_xlfn.IFS(G320&lt;2,"Excellent handling",AND(G320&gt;2,G320&lt;4)," ",G320&gt;4,"Bad handling")</f>
        <v>Bad handling</v>
      </c>
      <c r="I320" t="str">
        <f t="shared" si="9"/>
        <v xml:space="preserve"> </v>
      </c>
    </row>
    <row r="321" spans="1:9" x14ac:dyDescent="0.3">
      <c r="A321" s="1">
        <v>45630.256311563717</v>
      </c>
      <c r="B321" t="s">
        <v>28</v>
      </c>
      <c r="C321" t="s">
        <v>26</v>
      </c>
      <c r="D321" t="s">
        <v>60</v>
      </c>
      <c r="E321" s="1">
        <v>45633.228245034312</v>
      </c>
      <c r="F321" s="3">
        <v>827.94</v>
      </c>
      <c r="G321" s="5">
        <f t="shared" ca="1" si="8"/>
        <v>2.9719334705951042</v>
      </c>
      <c r="H321" t="str" cm="1">
        <f t="array" aca="1" ref="H321" ca="1">_xlfn.IFS(G321&lt;2,"Excellent handling",AND(G321&gt;2,G321&lt;4)," ",G321&gt;4,"Bad handling")</f>
        <v xml:space="preserve"> </v>
      </c>
      <c r="I321" t="str">
        <f t="shared" si="9"/>
        <v xml:space="preserve"> </v>
      </c>
    </row>
    <row r="322" spans="1:9" x14ac:dyDescent="0.3">
      <c r="A322" s="1">
        <v>45634.19426182015</v>
      </c>
      <c r="B322" t="s">
        <v>18</v>
      </c>
      <c r="C322" t="s">
        <v>15</v>
      </c>
      <c r="D322" t="s">
        <v>53</v>
      </c>
      <c r="E322" s="1">
        <v>45639.391188575282</v>
      </c>
      <c r="F322" s="3">
        <v>100.33</v>
      </c>
      <c r="G322" s="5">
        <f t="shared" ca="1" si="8"/>
        <v>5.1969267551321536</v>
      </c>
      <c r="H322" t="str" cm="1">
        <f t="array" aca="1" ref="H322" ca="1">_xlfn.IFS(G322&lt;2,"Excellent handling",AND(G322&gt;2,G322&lt;4)," ",G322&gt;4,"Bad handling")</f>
        <v>Bad handling</v>
      </c>
      <c r="I322" t="str">
        <f t="shared" si="9"/>
        <v>Weekend sale</v>
      </c>
    </row>
    <row r="323" spans="1:9" x14ac:dyDescent="0.3">
      <c r="A323" s="1">
        <v>45694.270144380847</v>
      </c>
      <c r="B323" t="s">
        <v>32</v>
      </c>
      <c r="C323" t="s">
        <v>30</v>
      </c>
      <c r="D323" t="s">
        <v>58</v>
      </c>
      <c r="E323" s="1">
        <v>45695.878553239105</v>
      </c>
      <c r="F323" s="3">
        <v>492.08</v>
      </c>
      <c r="G323" s="5">
        <f t="shared" ref="G323:G386" ca="1" si="10">IF(ISTEXT(E323),TODAY(),E323)-A323</f>
        <v>1.6084088582574623</v>
      </c>
      <c r="H323" t="str" cm="1">
        <f t="array" aca="1" ref="H323" ca="1">_xlfn.IFS(G323&lt;2,"Excellent handling",AND(G323&gt;2,G323&lt;4)," ",G323&gt;4,"Bad handling")</f>
        <v>Excellent handling</v>
      </c>
      <c r="I323" t="str">
        <f t="shared" ref="I323:I386" si="11">IF(OR(WEEKDAY(A323)=7,WEEKDAY(A323)=1),"Weekend sale"," ")</f>
        <v xml:space="preserve"> </v>
      </c>
    </row>
    <row r="324" spans="1:9" x14ac:dyDescent="0.3">
      <c r="A324" s="1">
        <v>45639.699359262835</v>
      </c>
      <c r="B324" t="s">
        <v>25</v>
      </c>
      <c r="C324" t="s">
        <v>22</v>
      </c>
      <c r="D324" t="s">
        <v>61</v>
      </c>
      <c r="E324" s="1">
        <v>45641.895984326315</v>
      </c>
      <c r="F324" s="3">
        <v>575.61</v>
      </c>
      <c r="G324" s="5">
        <f t="shared" ca="1" si="10"/>
        <v>2.196625063479587</v>
      </c>
      <c r="H324" t="str" cm="1">
        <f t="array" aca="1" ref="H324" ca="1">_xlfn.IFS(G324&lt;2,"Excellent handling",AND(G324&gt;2,G324&lt;4)," ",G324&gt;4,"Bad handling")</f>
        <v xml:space="preserve"> </v>
      </c>
      <c r="I324" t="str">
        <f t="shared" si="11"/>
        <v xml:space="preserve"> </v>
      </c>
    </row>
    <row r="325" spans="1:9" x14ac:dyDescent="0.3">
      <c r="A325" s="1">
        <v>45631.930400898636</v>
      </c>
      <c r="B325" t="s">
        <v>21</v>
      </c>
      <c r="C325" t="s">
        <v>15</v>
      </c>
      <c r="D325" t="s">
        <v>60</v>
      </c>
      <c r="E325" s="1">
        <v>45632.960384937658</v>
      </c>
      <c r="F325" s="3">
        <v>430.66</v>
      </c>
      <c r="G325" s="5">
        <f t="shared" ca="1" si="10"/>
        <v>1.0299840390216559</v>
      </c>
      <c r="H325" t="str" cm="1">
        <f t="array" aca="1" ref="H325" ca="1">_xlfn.IFS(G325&lt;2,"Excellent handling",AND(G325&gt;2,G325&lt;4)," ",G325&gt;4,"Bad handling")</f>
        <v>Excellent handling</v>
      </c>
      <c r="I325" t="str">
        <f t="shared" si="11"/>
        <v xml:space="preserve"> </v>
      </c>
    </row>
    <row r="326" spans="1:9" x14ac:dyDescent="0.3">
      <c r="A326" s="1">
        <v>45630.654073112004</v>
      </c>
      <c r="B326" t="s">
        <v>42</v>
      </c>
      <c r="C326" t="s">
        <v>41</v>
      </c>
      <c r="D326" t="s">
        <v>56</v>
      </c>
      <c r="E326" s="1">
        <v>45632.175917541113</v>
      </c>
      <c r="F326" s="3">
        <v>61.83</v>
      </c>
      <c r="G326" s="5">
        <f t="shared" ca="1" si="10"/>
        <v>1.5218444291094784</v>
      </c>
      <c r="H326" t="str" cm="1">
        <f t="array" aca="1" ref="H326" ca="1">_xlfn.IFS(G326&lt;2,"Excellent handling",AND(G326&gt;2,G326&lt;4)," ",G326&gt;4,"Bad handling")</f>
        <v>Excellent handling</v>
      </c>
      <c r="I326" t="str">
        <f t="shared" si="11"/>
        <v xml:space="preserve"> </v>
      </c>
    </row>
    <row r="327" spans="1:9" x14ac:dyDescent="0.3">
      <c r="A327" s="1">
        <v>45649.945252376288</v>
      </c>
      <c r="B327" t="s">
        <v>7</v>
      </c>
      <c r="C327" t="s">
        <v>2</v>
      </c>
      <c r="D327" t="s">
        <v>54</v>
      </c>
      <c r="E327" s="1">
        <v>45651.787333977751</v>
      </c>
      <c r="F327" s="3">
        <v>729.92</v>
      </c>
      <c r="G327" s="5">
        <f t="shared" ca="1" si="10"/>
        <v>1.8420816014622687</v>
      </c>
      <c r="H327" t="str" cm="1">
        <f t="array" aca="1" ref="H327" ca="1">_xlfn.IFS(G327&lt;2,"Excellent handling",AND(G327&gt;2,G327&lt;4)," ",G327&gt;4,"Bad handling")</f>
        <v>Excellent handling</v>
      </c>
      <c r="I327" t="str">
        <f t="shared" si="11"/>
        <v xml:space="preserve"> </v>
      </c>
    </row>
    <row r="328" spans="1:9" x14ac:dyDescent="0.3">
      <c r="A328" s="1">
        <v>45679.039825062675</v>
      </c>
      <c r="B328" t="s">
        <v>40</v>
      </c>
      <c r="C328" t="s">
        <v>38</v>
      </c>
      <c r="D328" t="s">
        <v>53</v>
      </c>
      <c r="E328" s="1">
        <v>45681.155599444915</v>
      </c>
      <c r="F328" s="3">
        <v>238.96</v>
      </c>
      <c r="G328" s="5">
        <f t="shared" ca="1" si="10"/>
        <v>2.1157743822404882</v>
      </c>
      <c r="H328" t="str" cm="1">
        <f t="array" aca="1" ref="H328" ca="1">_xlfn.IFS(G328&lt;2,"Excellent handling",AND(G328&gt;2,G328&lt;4)," ",G328&gt;4,"Bad handling")</f>
        <v xml:space="preserve"> </v>
      </c>
      <c r="I328" t="str">
        <f t="shared" si="11"/>
        <v xml:space="preserve"> </v>
      </c>
    </row>
    <row r="329" spans="1:9" x14ac:dyDescent="0.3">
      <c r="A329" s="1">
        <v>45644.560621488301</v>
      </c>
      <c r="B329" t="s">
        <v>47</v>
      </c>
      <c r="C329" t="s">
        <v>45</v>
      </c>
      <c r="D329" t="s">
        <v>59</v>
      </c>
      <c r="E329" s="1">
        <v>45648.342832456212</v>
      </c>
      <c r="F329" s="3">
        <v>589.54999999999995</v>
      </c>
      <c r="G329" s="5">
        <f t="shared" ca="1" si="10"/>
        <v>3.7822109679109417</v>
      </c>
      <c r="H329" t="str" cm="1">
        <f t="array" aca="1" ref="H329" ca="1">_xlfn.IFS(G329&lt;2,"Excellent handling",AND(G329&gt;2,G329&lt;4)," ",G329&gt;4,"Bad handling")</f>
        <v xml:space="preserve"> </v>
      </c>
      <c r="I329" t="str">
        <f t="shared" si="11"/>
        <v xml:space="preserve"> </v>
      </c>
    </row>
    <row r="330" spans="1:9" x14ac:dyDescent="0.3">
      <c r="A330" s="1">
        <v>45648.921579226801</v>
      </c>
      <c r="B330" t="s">
        <v>12</v>
      </c>
      <c r="C330" t="s">
        <v>8</v>
      </c>
      <c r="D330" t="s">
        <v>56</v>
      </c>
      <c r="E330" s="1">
        <v>45651.589341855266</v>
      </c>
      <c r="F330" s="3">
        <v>306.35000000000002</v>
      </c>
      <c r="G330" s="5">
        <f t="shared" ca="1" si="10"/>
        <v>2.6677626284654252</v>
      </c>
      <c r="H330" t="str" cm="1">
        <f t="array" aca="1" ref="H330" ca="1">_xlfn.IFS(G330&lt;2,"Excellent handling",AND(G330&gt;2,G330&lt;4)," ",G330&gt;4,"Bad handling")</f>
        <v xml:space="preserve"> </v>
      </c>
      <c r="I330" t="str">
        <f t="shared" si="11"/>
        <v>Weekend sale</v>
      </c>
    </row>
    <row r="331" spans="1:9" x14ac:dyDescent="0.3">
      <c r="A331" s="1">
        <v>45647.375159235184</v>
      </c>
      <c r="B331" t="s">
        <v>18</v>
      </c>
      <c r="C331" t="s">
        <v>15</v>
      </c>
      <c r="D331" t="s">
        <v>53</v>
      </c>
      <c r="E331" s="1" t="s">
        <v>66</v>
      </c>
      <c r="F331" s="3">
        <v>601.63</v>
      </c>
      <c r="G331" s="5">
        <f t="shared" ca="1" si="10"/>
        <v>407.62484076481633</v>
      </c>
      <c r="H331" t="str" cm="1">
        <f t="array" aca="1" ref="H331" ca="1">_xlfn.IFS(G331&lt;2,"Excellent handling",AND(G331&gt;2,G331&lt;4)," ",G331&gt;4,"Bad handling")</f>
        <v>Bad handling</v>
      </c>
      <c r="I331" t="str">
        <f t="shared" si="11"/>
        <v>Weekend sale</v>
      </c>
    </row>
    <row r="332" spans="1:9" x14ac:dyDescent="0.3">
      <c r="A332" s="1">
        <v>45646.859851524037</v>
      </c>
      <c r="B332" t="s">
        <v>42</v>
      </c>
      <c r="C332" t="s">
        <v>41</v>
      </c>
      <c r="D332" t="s">
        <v>56</v>
      </c>
      <c r="E332" s="1">
        <v>45647.459014871056</v>
      </c>
      <c r="F332" s="3">
        <v>168.57</v>
      </c>
      <c r="G332" s="5">
        <f t="shared" ca="1" si="10"/>
        <v>0.59916334701847518</v>
      </c>
      <c r="H332" t="str" cm="1">
        <f t="array" aca="1" ref="H332" ca="1">_xlfn.IFS(G332&lt;2,"Excellent handling",AND(G332&gt;2,G332&lt;4)," ",G332&gt;4,"Bad handling")</f>
        <v>Excellent handling</v>
      </c>
      <c r="I332" t="str">
        <f t="shared" si="11"/>
        <v xml:space="preserve"> </v>
      </c>
    </row>
    <row r="333" spans="1:9" x14ac:dyDescent="0.3">
      <c r="A333" s="1">
        <v>45627.130299945158</v>
      </c>
      <c r="B333" t="s">
        <v>42</v>
      </c>
      <c r="C333" t="s">
        <v>41</v>
      </c>
      <c r="D333" t="s">
        <v>56</v>
      </c>
      <c r="E333" s="1">
        <v>45629.958882932515</v>
      </c>
      <c r="F333" s="3">
        <v>282.76</v>
      </c>
      <c r="G333" s="5">
        <f t="shared" ca="1" si="10"/>
        <v>2.8285829873566399</v>
      </c>
      <c r="H333" t="str" cm="1">
        <f t="array" aca="1" ref="H333" ca="1">_xlfn.IFS(G333&lt;2,"Excellent handling",AND(G333&gt;2,G333&lt;4)," ",G333&gt;4,"Bad handling")</f>
        <v xml:space="preserve"> </v>
      </c>
      <c r="I333" t="str">
        <f t="shared" si="11"/>
        <v>Weekend sale</v>
      </c>
    </row>
    <row r="334" spans="1:9" x14ac:dyDescent="0.3">
      <c r="A334" s="1">
        <v>45653.942081966015</v>
      </c>
      <c r="B334" t="s">
        <v>36</v>
      </c>
      <c r="C334" t="s">
        <v>35</v>
      </c>
      <c r="D334" t="s">
        <v>55</v>
      </c>
      <c r="E334" s="1">
        <v>45655.546691444186</v>
      </c>
      <c r="F334" s="3">
        <v>222.13</v>
      </c>
      <c r="G334" s="5">
        <f t="shared" ca="1" si="10"/>
        <v>1.6046094781704596</v>
      </c>
      <c r="H334" t="str" cm="1">
        <f t="array" aca="1" ref="H334" ca="1">_xlfn.IFS(G334&lt;2,"Excellent handling",AND(G334&gt;2,G334&lt;4)," ",G334&gt;4,"Bad handling")</f>
        <v>Excellent handling</v>
      </c>
      <c r="I334" t="str">
        <f t="shared" si="11"/>
        <v xml:space="preserve"> </v>
      </c>
    </row>
    <row r="335" spans="1:9" x14ac:dyDescent="0.3">
      <c r="A335" s="1">
        <v>45674.616608921366</v>
      </c>
      <c r="B335" t="s">
        <v>29</v>
      </c>
      <c r="C335" t="s">
        <v>26</v>
      </c>
      <c r="D335" t="s">
        <v>61</v>
      </c>
      <c r="E335" s="1">
        <v>45676.467646800833</v>
      </c>
      <c r="F335" s="3">
        <v>419.77</v>
      </c>
      <c r="G335" s="5">
        <f t="shared" ca="1" si="10"/>
        <v>1.8510378794671851</v>
      </c>
      <c r="H335" t="str" cm="1">
        <f t="array" aca="1" ref="H335" ca="1">_xlfn.IFS(G335&lt;2,"Excellent handling",AND(G335&gt;2,G335&lt;4)," ",G335&gt;4,"Bad handling")</f>
        <v>Excellent handling</v>
      </c>
      <c r="I335" t="str">
        <f t="shared" si="11"/>
        <v xml:space="preserve"> </v>
      </c>
    </row>
    <row r="336" spans="1:9" x14ac:dyDescent="0.3">
      <c r="A336" s="1">
        <v>45669.07666415436</v>
      </c>
      <c r="B336" t="s">
        <v>39</v>
      </c>
      <c r="C336" t="s">
        <v>38</v>
      </c>
      <c r="D336" t="s">
        <v>57</v>
      </c>
      <c r="E336" s="1">
        <v>45670.425797519427</v>
      </c>
      <c r="F336" s="3">
        <v>729.47</v>
      </c>
      <c r="G336" s="5">
        <f t="shared" ca="1" si="10"/>
        <v>1.3491333650672459</v>
      </c>
      <c r="H336" t="str" cm="1">
        <f t="array" aca="1" ref="H336" ca="1">_xlfn.IFS(G336&lt;2,"Excellent handling",AND(G336&gt;2,G336&lt;4)," ",G336&gt;4,"Bad handling")</f>
        <v>Excellent handling</v>
      </c>
      <c r="I336" t="str">
        <f t="shared" si="11"/>
        <v>Weekend sale</v>
      </c>
    </row>
    <row r="337" spans="1:9" x14ac:dyDescent="0.3">
      <c r="A337" s="1">
        <v>45668.314184237424</v>
      </c>
      <c r="B337" t="s">
        <v>48</v>
      </c>
      <c r="C337" t="s">
        <v>45</v>
      </c>
      <c r="D337" t="s">
        <v>60</v>
      </c>
      <c r="E337" s="1">
        <v>45669.675093403501</v>
      </c>
      <c r="F337" s="3">
        <v>163.22999999999999</v>
      </c>
      <c r="G337" s="5">
        <f t="shared" ca="1" si="10"/>
        <v>1.3609091660764534</v>
      </c>
      <c r="H337" t="str" cm="1">
        <f t="array" aca="1" ref="H337" ca="1">_xlfn.IFS(G337&lt;2,"Excellent handling",AND(G337&gt;2,G337&lt;4)," ",G337&gt;4,"Bad handling")</f>
        <v>Excellent handling</v>
      </c>
      <c r="I337" t="str">
        <f t="shared" si="11"/>
        <v>Weekend sale</v>
      </c>
    </row>
    <row r="338" spans="1:9" x14ac:dyDescent="0.3">
      <c r="A338" s="1">
        <v>45683.405594105192</v>
      </c>
      <c r="B338" t="s">
        <v>5</v>
      </c>
      <c r="C338" t="s">
        <v>2</v>
      </c>
      <c r="D338" t="s">
        <v>55</v>
      </c>
      <c r="E338" s="1">
        <v>45685.949107001237</v>
      </c>
      <c r="F338" s="3">
        <v>120.24</v>
      </c>
      <c r="G338" s="5">
        <f t="shared" ca="1" si="10"/>
        <v>2.5435128960452857</v>
      </c>
      <c r="H338" t="str" cm="1">
        <f t="array" aca="1" ref="H338" ca="1">_xlfn.IFS(G338&lt;2,"Excellent handling",AND(G338&gt;2,G338&lt;4)," ",G338&gt;4,"Bad handling")</f>
        <v xml:space="preserve"> </v>
      </c>
      <c r="I338" t="str">
        <f t="shared" si="11"/>
        <v>Weekend sale</v>
      </c>
    </row>
    <row r="339" spans="1:9" x14ac:dyDescent="0.3">
      <c r="A339" s="1">
        <v>45635.004616172831</v>
      </c>
      <c r="B339" t="s">
        <v>28</v>
      </c>
      <c r="C339" t="s">
        <v>26</v>
      </c>
      <c r="D339" t="s">
        <v>60</v>
      </c>
      <c r="E339" s="1" t="s">
        <v>65</v>
      </c>
      <c r="F339" s="3">
        <v>113.17</v>
      </c>
      <c r="G339" s="5">
        <f t="shared" ca="1" si="10"/>
        <v>419.99538382716855</v>
      </c>
      <c r="H339" t="str" cm="1">
        <f t="array" aca="1" ref="H339" ca="1">_xlfn.IFS(G339&lt;2,"Excellent handling",AND(G339&gt;2,G339&lt;4)," ",G339&gt;4,"Bad handling")</f>
        <v>Bad handling</v>
      </c>
      <c r="I339" t="str">
        <f t="shared" si="11"/>
        <v xml:space="preserve"> </v>
      </c>
    </row>
    <row r="340" spans="1:9" x14ac:dyDescent="0.3">
      <c r="A340" s="1">
        <v>45638.487207358114</v>
      </c>
      <c r="B340" t="s">
        <v>12</v>
      </c>
      <c r="C340" t="s">
        <v>8</v>
      </c>
      <c r="D340" t="s">
        <v>56</v>
      </c>
      <c r="E340" s="1">
        <v>45639.637333899533</v>
      </c>
      <c r="F340" s="3">
        <v>215.57</v>
      </c>
      <c r="G340" s="5">
        <f t="shared" ca="1" si="10"/>
        <v>1.1501265414190129</v>
      </c>
      <c r="H340" t="str" cm="1">
        <f t="array" aca="1" ref="H340" ca="1">_xlfn.IFS(G340&lt;2,"Excellent handling",AND(G340&gt;2,G340&lt;4)," ",G340&gt;4,"Bad handling")</f>
        <v>Excellent handling</v>
      </c>
      <c r="I340" t="str">
        <f t="shared" si="11"/>
        <v xml:space="preserve"> </v>
      </c>
    </row>
    <row r="341" spans="1:9" x14ac:dyDescent="0.3">
      <c r="A341" s="1">
        <v>45638.016840033961</v>
      </c>
      <c r="B341" t="s">
        <v>32</v>
      </c>
      <c r="C341" t="s">
        <v>30</v>
      </c>
      <c r="D341" t="s">
        <v>58</v>
      </c>
      <c r="E341" s="1">
        <v>45640.898681105944</v>
      </c>
      <c r="F341" s="3">
        <v>731.05</v>
      </c>
      <c r="G341" s="5">
        <f t="shared" ca="1" si="10"/>
        <v>2.8818410719832173</v>
      </c>
      <c r="H341" t="str" cm="1">
        <f t="array" aca="1" ref="H341" ca="1">_xlfn.IFS(G341&lt;2,"Excellent handling",AND(G341&gt;2,G341&lt;4)," ",G341&gt;4,"Bad handling")</f>
        <v xml:space="preserve"> </v>
      </c>
      <c r="I341" t="str">
        <f t="shared" si="11"/>
        <v xml:space="preserve"> </v>
      </c>
    </row>
    <row r="342" spans="1:9" x14ac:dyDescent="0.3">
      <c r="A342" s="1">
        <v>45679.004809832804</v>
      </c>
      <c r="B342" t="s">
        <v>17</v>
      </c>
      <c r="C342" t="s">
        <v>15</v>
      </c>
      <c r="D342" t="s">
        <v>54</v>
      </c>
      <c r="E342" s="1">
        <v>45681.275815468958</v>
      </c>
      <c r="F342" s="3">
        <v>688.64</v>
      </c>
      <c r="G342" s="5">
        <f t="shared" ca="1" si="10"/>
        <v>2.2710056361538591</v>
      </c>
      <c r="H342" t="str" cm="1">
        <f t="array" aca="1" ref="H342" ca="1">_xlfn.IFS(G342&lt;2,"Excellent handling",AND(G342&gt;2,G342&lt;4)," ",G342&gt;4,"Bad handling")</f>
        <v xml:space="preserve"> </v>
      </c>
      <c r="I342" t="str">
        <f t="shared" si="11"/>
        <v xml:space="preserve"> </v>
      </c>
    </row>
    <row r="343" spans="1:9" x14ac:dyDescent="0.3">
      <c r="A343" s="1">
        <v>45683.881573691433</v>
      </c>
      <c r="B343" t="s">
        <v>18</v>
      </c>
      <c r="C343" t="s">
        <v>15</v>
      </c>
      <c r="D343" t="s">
        <v>53</v>
      </c>
      <c r="E343" s="1">
        <v>45686.409716062954</v>
      </c>
      <c r="F343" s="3">
        <v>544.09</v>
      </c>
      <c r="G343" s="5">
        <f t="shared" ca="1" si="10"/>
        <v>2.5281423715205165</v>
      </c>
      <c r="H343" t="str" cm="1">
        <f t="array" aca="1" ref="H343" ca="1">_xlfn.IFS(G343&lt;2,"Excellent handling",AND(G343&gt;2,G343&lt;4)," ",G343&gt;4,"Bad handling")</f>
        <v xml:space="preserve"> </v>
      </c>
      <c r="I343" t="str">
        <f t="shared" si="11"/>
        <v>Weekend sale</v>
      </c>
    </row>
    <row r="344" spans="1:9" x14ac:dyDescent="0.3">
      <c r="A344" s="1">
        <v>45649.493444131411</v>
      </c>
      <c r="B344" t="s">
        <v>40</v>
      </c>
      <c r="C344" t="s">
        <v>38</v>
      </c>
      <c r="D344" t="s">
        <v>53</v>
      </c>
      <c r="E344" s="1">
        <v>45649.745055884247</v>
      </c>
      <c r="F344" s="3">
        <v>158.71</v>
      </c>
      <c r="G344" s="5">
        <f t="shared" ca="1" si="10"/>
        <v>0.25161175283574266</v>
      </c>
      <c r="H344" t="str" cm="1">
        <f t="array" aca="1" ref="H344" ca="1">_xlfn.IFS(G344&lt;2,"Excellent handling",AND(G344&gt;2,G344&lt;4)," ",G344&gt;4,"Bad handling")</f>
        <v>Excellent handling</v>
      </c>
      <c r="I344" t="str">
        <f t="shared" si="11"/>
        <v xml:space="preserve"> </v>
      </c>
    </row>
    <row r="345" spans="1:9" x14ac:dyDescent="0.3">
      <c r="A345" s="1">
        <v>45643.134712607643</v>
      </c>
      <c r="B345" t="s">
        <v>40</v>
      </c>
      <c r="C345" t="s">
        <v>38</v>
      </c>
      <c r="D345" t="s">
        <v>53</v>
      </c>
      <c r="E345" s="1" t="s">
        <v>66</v>
      </c>
      <c r="F345" s="3">
        <v>496.75</v>
      </c>
      <c r="G345" s="5">
        <f t="shared" ca="1" si="10"/>
        <v>411.86528739235655</v>
      </c>
      <c r="H345" t="str" cm="1">
        <f t="array" aca="1" ref="H345" ca="1">_xlfn.IFS(G345&lt;2,"Excellent handling",AND(G345&gt;2,G345&lt;4)," ",G345&gt;4,"Bad handling")</f>
        <v>Bad handling</v>
      </c>
      <c r="I345" t="str">
        <f t="shared" si="11"/>
        <v xml:space="preserve"> </v>
      </c>
    </row>
    <row r="346" spans="1:9" x14ac:dyDescent="0.3">
      <c r="A346" s="1">
        <v>45677.496026602312</v>
      </c>
      <c r="B346" t="s">
        <v>27</v>
      </c>
      <c r="C346" t="s">
        <v>26</v>
      </c>
      <c r="D346" t="s">
        <v>55</v>
      </c>
      <c r="E346" s="1">
        <v>45679.604095634822</v>
      </c>
      <c r="F346" s="3">
        <v>596.54</v>
      </c>
      <c r="G346" s="5">
        <f t="shared" ca="1" si="10"/>
        <v>2.1080690325106843</v>
      </c>
      <c r="H346" t="str" cm="1">
        <f t="array" aca="1" ref="H346" ca="1">_xlfn.IFS(G346&lt;2,"Excellent handling",AND(G346&gt;2,G346&lt;4)," ",G346&gt;4,"Bad handling")</f>
        <v xml:space="preserve"> </v>
      </c>
      <c r="I346" t="str">
        <f t="shared" si="11"/>
        <v xml:space="preserve"> </v>
      </c>
    </row>
    <row r="347" spans="1:9" x14ac:dyDescent="0.3">
      <c r="A347" s="1">
        <v>45682.235805503726</v>
      </c>
      <c r="B347" t="s">
        <v>16</v>
      </c>
      <c r="C347" t="s">
        <v>15</v>
      </c>
      <c r="D347" t="s">
        <v>60</v>
      </c>
      <c r="E347" s="1">
        <v>45687.286477769594</v>
      </c>
      <c r="F347" s="3">
        <v>202.15</v>
      </c>
      <c r="G347" s="5">
        <f t="shared" ca="1" si="10"/>
        <v>5.0506722658683429</v>
      </c>
      <c r="H347" t="str" cm="1">
        <f t="array" aca="1" ref="H347" ca="1">_xlfn.IFS(G347&lt;2,"Excellent handling",AND(G347&gt;2,G347&lt;4)," ",G347&gt;4,"Bad handling")</f>
        <v>Bad handling</v>
      </c>
      <c r="I347" t="str">
        <f t="shared" si="11"/>
        <v>Weekend sale</v>
      </c>
    </row>
    <row r="348" spans="1:9" x14ac:dyDescent="0.3">
      <c r="A348" s="1">
        <v>45649.353428003757</v>
      </c>
      <c r="B348" t="s">
        <v>5</v>
      </c>
      <c r="C348" t="s">
        <v>2</v>
      </c>
      <c r="D348" t="s">
        <v>55</v>
      </c>
      <c r="E348" s="1">
        <v>45651.907976874762</v>
      </c>
      <c r="F348" s="3">
        <v>375.53</v>
      </c>
      <c r="G348" s="5">
        <f t="shared" ca="1" si="10"/>
        <v>2.554548871004954</v>
      </c>
      <c r="H348" t="str" cm="1">
        <f t="array" aca="1" ref="H348" ca="1">_xlfn.IFS(G348&lt;2,"Excellent handling",AND(G348&gt;2,G348&lt;4)," ",G348&gt;4,"Bad handling")</f>
        <v xml:space="preserve"> </v>
      </c>
      <c r="I348" t="str">
        <f t="shared" si="11"/>
        <v xml:space="preserve"> </v>
      </c>
    </row>
    <row r="349" spans="1:9" x14ac:dyDescent="0.3">
      <c r="A349" s="1">
        <v>45638.193004926165</v>
      </c>
      <c r="B349" t="s">
        <v>16</v>
      </c>
      <c r="C349" t="s">
        <v>15</v>
      </c>
      <c r="D349" t="s">
        <v>60</v>
      </c>
      <c r="E349" s="1">
        <v>45639.552864487116</v>
      </c>
      <c r="F349" s="3">
        <v>415.11</v>
      </c>
      <c r="G349" s="5">
        <f t="shared" ca="1" si="10"/>
        <v>1.3598595609510085</v>
      </c>
      <c r="H349" t="str" cm="1">
        <f t="array" aca="1" ref="H349" ca="1">_xlfn.IFS(G349&lt;2,"Excellent handling",AND(G349&gt;2,G349&lt;4)," ",G349&gt;4,"Bad handling")</f>
        <v>Excellent handling</v>
      </c>
      <c r="I349" t="str">
        <f t="shared" si="11"/>
        <v xml:space="preserve"> </v>
      </c>
    </row>
    <row r="350" spans="1:9" x14ac:dyDescent="0.3">
      <c r="A350" s="1">
        <v>45665.990083063065</v>
      </c>
      <c r="B350" t="s">
        <v>19</v>
      </c>
      <c r="C350" t="s">
        <v>15</v>
      </c>
      <c r="D350" t="s">
        <v>58</v>
      </c>
      <c r="E350" s="1">
        <v>45668.63383168156</v>
      </c>
      <c r="F350" s="3">
        <v>568.96</v>
      </c>
      <c r="G350" s="5">
        <f t="shared" ca="1" si="10"/>
        <v>2.6437486184950103</v>
      </c>
      <c r="H350" t="str" cm="1">
        <f t="array" aca="1" ref="H350" ca="1">_xlfn.IFS(G350&lt;2,"Excellent handling",AND(G350&gt;2,G350&lt;4)," ",G350&gt;4,"Bad handling")</f>
        <v xml:space="preserve"> </v>
      </c>
      <c r="I350" t="str">
        <f t="shared" si="11"/>
        <v xml:space="preserve"> </v>
      </c>
    </row>
    <row r="351" spans="1:9" x14ac:dyDescent="0.3">
      <c r="A351" s="1">
        <v>45691.777930565484</v>
      </c>
      <c r="B351" t="s">
        <v>28</v>
      </c>
      <c r="C351" t="s">
        <v>26</v>
      </c>
      <c r="D351" t="s">
        <v>60</v>
      </c>
      <c r="E351" s="1">
        <v>45696.655312426112</v>
      </c>
      <c r="F351" s="3">
        <v>840.63</v>
      </c>
      <c r="G351" s="5">
        <f t="shared" ca="1" si="10"/>
        <v>4.8773818606277928</v>
      </c>
      <c r="H351" t="str" cm="1">
        <f t="array" aca="1" ref="H351" ca="1">_xlfn.IFS(G351&lt;2,"Excellent handling",AND(G351&gt;2,G351&lt;4)," ",G351&gt;4,"Bad handling")</f>
        <v>Bad handling</v>
      </c>
      <c r="I351" t="str">
        <f t="shared" si="11"/>
        <v xml:space="preserve"> </v>
      </c>
    </row>
    <row r="352" spans="1:9" x14ac:dyDescent="0.3">
      <c r="A352" s="1">
        <v>45631.79775783189</v>
      </c>
      <c r="B352" t="s">
        <v>16</v>
      </c>
      <c r="C352" t="s">
        <v>15</v>
      </c>
      <c r="D352" t="s">
        <v>60</v>
      </c>
      <c r="E352" s="1">
        <v>45631.955198675256</v>
      </c>
      <c r="F352" s="3">
        <v>720.81</v>
      </c>
      <c r="G352" s="5">
        <f t="shared" ca="1" si="10"/>
        <v>0.1574408433662029</v>
      </c>
      <c r="H352" t="str" cm="1">
        <f t="array" aca="1" ref="H352" ca="1">_xlfn.IFS(G352&lt;2,"Excellent handling",AND(G352&gt;2,G352&lt;4)," ",G352&gt;4,"Bad handling")</f>
        <v>Excellent handling</v>
      </c>
      <c r="I352" t="str">
        <f t="shared" si="11"/>
        <v xml:space="preserve"> </v>
      </c>
    </row>
    <row r="353" spans="1:9" x14ac:dyDescent="0.3">
      <c r="A353" s="1">
        <v>45640.524975777858</v>
      </c>
      <c r="B353" t="s">
        <v>27</v>
      </c>
      <c r="C353" t="s">
        <v>26</v>
      </c>
      <c r="D353" t="s">
        <v>55</v>
      </c>
      <c r="E353" s="1">
        <v>45643.7841512753</v>
      </c>
      <c r="F353" s="3">
        <v>622.49</v>
      </c>
      <c r="G353" s="5">
        <f t="shared" ca="1" si="10"/>
        <v>3.2591754974419018</v>
      </c>
      <c r="H353" t="str" cm="1">
        <f t="array" aca="1" ref="H353" ca="1">_xlfn.IFS(G353&lt;2,"Excellent handling",AND(G353&gt;2,G353&lt;4)," ",G353&gt;4,"Bad handling")</f>
        <v xml:space="preserve"> </v>
      </c>
      <c r="I353" t="str">
        <f t="shared" si="11"/>
        <v>Weekend sale</v>
      </c>
    </row>
    <row r="354" spans="1:9" x14ac:dyDescent="0.3">
      <c r="A354" s="1">
        <v>45662.95840711597</v>
      </c>
      <c r="B354" t="s">
        <v>19</v>
      </c>
      <c r="C354" t="s">
        <v>15</v>
      </c>
      <c r="D354" t="s">
        <v>58</v>
      </c>
      <c r="E354" s="1">
        <v>45664.845864749099</v>
      </c>
      <c r="F354" s="3">
        <v>432.89</v>
      </c>
      <c r="G354" s="5">
        <f t="shared" ca="1" si="10"/>
        <v>1.8874576331290882</v>
      </c>
      <c r="H354" t="str" cm="1">
        <f t="array" aca="1" ref="H354" ca="1">_xlfn.IFS(G354&lt;2,"Excellent handling",AND(G354&gt;2,G354&lt;4)," ",G354&gt;4,"Bad handling")</f>
        <v>Excellent handling</v>
      </c>
      <c r="I354" t="str">
        <f t="shared" si="11"/>
        <v>Weekend sale</v>
      </c>
    </row>
    <row r="355" spans="1:9" x14ac:dyDescent="0.3">
      <c r="A355" s="1">
        <v>45679.702681084476</v>
      </c>
      <c r="B355" t="s">
        <v>18</v>
      </c>
      <c r="C355" t="s">
        <v>15</v>
      </c>
      <c r="D355" t="s">
        <v>53</v>
      </c>
      <c r="E355" s="1">
        <v>45682.017873656972</v>
      </c>
      <c r="F355" s="3">
        <v>158.19999999999999</v>
      </c>
      <c r="G355" s="5">
        <f t="shared" ca="1" si="10"/>
        <v>2.3151925724960165</v>
      </c>
      <c r="H355" t="str" cm="1">
        <f t="array" aca="1" ref="H355" ca="1">_xlfn.IFS(G355&lt;2,"Excellent handling",AND(G355&gt;2,G355&lt;4)," ",G355&gt;4,"Bad handling")</f>
        <v xml:space="preserve"> </v>
      </c>
      <c r="I355" t="str">
        <f t="shared" si="11"/>
        <v xml:space="preserve"> </v>
      </c>
    </row>
    <row r="356" spans="1:9" x14ac:dyDescent="0.3">
      <c r="A356" s="1">
        <v>45681.217600042881</v>
      </c>
      <c r="B356" t="s">
        <v>11</v>
      </c>
      <c r="C356" t="s">
        <v>8</v>
      </c>
      <c r="D356" t="s">
        <v>57</v>
      </c>
      <c r="E356" s="1">
        <v>45684.720238661488</v>
      </c>
      <c r="F356" s="3">
        <v>456.84</v>
      </c>
      <c r="G356" s="5">
        <f t="shared" ca="1" si="10"/>
        <v>3.5026386186073069</v>
      </c>
      <c r="H356" t="str" cm="1">
        <f t="array" aca="1" ref="H356" ca="1">_xlfn.IFS(G356&lt;2,"Excellent handling",AND(G356&gt;2,G356&lt;4)," ",G356&gt;4,"Bad handling")</f>
        <v xml:space="preserve"> </v>
      </c>
      <c r="I356" t="str">
        <f t="shared" si="11"/>
        <v xml:space="preserve"> </v>
      </c>
    </row>
    <row r="357" spans="1:9" x14ac:dyDescent="0.3">
      <c r="A357" s="1">
        <v>45673.114673510056</v>
      </c>
      <c r="B357" t="s">
        <v>47</v>
      </c>
      <c r="C357" t="s">
        <v>45</v>
      </c>
      <c r="D357" t="s">
        <v>59</v>
      </c>
      <c r="E357" s="1">
        <v>45673.215709402881</v>
      </c>
      <c r="F357" s="3">
        <v>505.13</v>
      </c>
      <c r="G357" s="5">
        <f t="shared" ca="1" si="10"/>
        <v>0.10103589282516623</v>
      </c>
      <c r="H357" t="str" cm="1">
        <f t="array" aca="1" ref="H357" ca="1">_xlfn.IFS(G357&lt;2,"Excellent handling",AND(G357&gt;2,G357&lt;4)," ",G357&gt;4,"Bad handling")</f>
        <v>Excellent handling</v>
      </c>
      <c r="I357" t="str">
        <f t="shared" si="11"/>
        <v xml:space="preserve"> </v>
      </c>
    </row>
    <row r="358" spans="1:9" x14ac:dyDescent="0.3">
      <c r="A358" s="1">
        <v>45653.808677221605</v>
      </c>
      <c r="B358" t="s">
        <v>25</v>
      </c>
      <c r="C358" t="s">
        <v>22</v>
      </c>
      <c r="D358" t="s">
        <v>61</v>
      </c>
      <c r="E358" s="1">
        <v>45656.223063757665</v>
      </c>
      <c r="F358" s="3">
        <v>231.18</v>
      </c>
      <c r="G358" s="5">
        <f t="shared" ca="1" si="10"/>
        <v>2.4143865360601922</v>
      </c>
      <c r="H358" t="str" cm="1">
        <f t="array" aca="1" ref="H358" ca="1">_xlfn.IFS(G358&lt;2,"Excellent handling",AND(G358&gt;2,G358&lt;4)," ",G358&gt;4,"Bad handling")</f>
        <v xml:space="preserve"> </v>
      </c>
      <c r="I358" t="str">
        <f t="shared" si="11"/>
        <v xml:space="preserve"> </v>
      </c>
    </row>
    <row r="359" spans="1:9" x14ac:dyDescent="0.3">
      <c r="A359" s="1">
        <v>45654.365377940194</v>
      </c>
      <c r="B359" t="s">
        <v>3</v>
      </c>
      <c r="C359" t="s">
        <v>2</v>
      </c>
      <c r="D359" t="s">
        <v>54</v>
      </c>
      <c r="E359" s="1">
        <v>45657.071842909398</v>
      </c>
      <c r="F359" s="3">
        <v>162.08000000000001</v>
      </c>
      <c r="G359" s="5">
        <f t="shared" ca="1" si="10"/>
        <v>2.7064649692038074</v>
      </c>
      <c r="H359" t="str" cm="1">
        <f t="array" aca="1" ref="H359" ca="1">_xlfn.IFS(G359&lt;2,"Excellent handling",AND(G359&gt;2,G359&lt;4)," ",G359&gt;4,"Bad handling")</f>
        <v xml:space="preserve"> </v>
      </c>
      <c r="I359" t="str">
        <f t="shared" si="11"/>
        <v>Weekend sale</v>
      </c>
    </row>
    <row r="360" spans="1:9" x14ac:dyDescent="0.3">
      <c r="A360" s="1">
        <v>45663.926536006009</v>
      </c>
      <c r="B360" t="s">
        <v>46</v>
      </c>
      <c r="C360" t="s">
        <v>45</v>
      </c>
      <c r="D360" t="s">
        <v>59</v>
      </c>
      <c r="E360" s="1">
        <v>45666.977169515463</v>
      </c>
      <c r="F360" s="3">
        <v>526.4</v>
      </c>
      <c r="G360" s="5">
        <f t="shared" ca="1" si="10"/>
        <v>3.050633509454201</v>
      </c>
      <c r="H360" t="str" cm="1">
        <f t="array" aca="1" ref="H360" ca="1">_xlfn.IFS(G360&lt;2,"Excellent handling",AND(G360&gt;2,G360&lt;4)," ",G360&gt;4,"Bad handling")</f>
        <v xml:space="preserve"> </v>
      </c>
      <c r="I360" t="str">
        <f t="shared" si="11"/>
        <v xml:space="preserve"> </v>
      </c>
    </row>
    <row r="361" spans="1:9" x14ac:dyDescent="0.3">
      <c r="A361" s="1">
        <v>45684.769217756126</v>
      </c>
      <c r="B361" t="s">
        <v>7</v>
      </c>
      <c r="C361" t="s">
        <v>2</v>
      </c>
      <c r="D361" t="s">
        <v>54</v>
      </c>
      <c r="E361" s="1">
        <v>45686.150671831558</v>
      </c>
      <c r="F361" s="3">
        <v>334.77</v>
      </c>
      <c r="G361" s="5">
        <f t="shared" ca="1" si="10"/>
        <v>1.3814540754319751</v>
      </c>
      <c r="H361" t="str" cm="1">
        <f t="array" aca="1" ref="H361" ca="1">_xlfn.IFS(G361&lt;2,"Excellent handling",AND(G361&gt;2,G361&lt;4)," ",G361&gt;4,"Bad handling")</f>
        <v>Excellent handling</v>
      </c>
      <c r="I361" t="str">
        <f t="shared" si="11"/>
        <v xml:space="preserve"> </v>
      </c>
    </row>
    <row r="362" spans="1:9" x14ac:dyDescent="0.3">
      <c r="A362" s="1">
        <v>45663.884606295956</v>
      </c>
      <c r="B362" t="s">
        <v>28</v>
      </c>
      <c r="C362" t="s">
        <v>26</v>
      </c>
      <c r="D362" t="s">
        <v>60</v>
      </c>
      <c r="E362" s="1">
        <v>45665.447009309602</v>
      </c>
      <c r="F362" s="3">
        <v>559.41</v>
      </c>
      <c r="G362" s="5">
        <f t="shared" ca="1" si="10"/>
        <v>1.5624030136459623</v>
      </c>
      <c r="H362" t="str" cm="1">
        <f t="array" aca="1" ref="H362" ca="1">_xlfn.IFS(G362&lt;2,"Excellent handling",AND(G362&gt;2,G362&lt;4)," ",G362&gt;4,"Bad handling")</f>
        <v>Excellent handling</v>
      </c>
      <c r="I362" t="str">
        <f t="shared" si="11"/>
        <v xml:space="preserve"> </v>
      </c>
    </row>
    <row r="363" spans="1:9" x14ac:dyDescent="0.3">
      <c r="A363" s="1">
        <v>45651.090966176052</v>
      </c>
      <c r="B363" t="s">
        <v>18</v>
      </c>
      <c r="C363" t="s">
        <v>15</v>
      </c>
      <c r="D363" t="s">
        <v>53</v>
      </c>
      <c r="E363" s="1">
        <v>45654.656729699673</v>
      </c>
      <c r="F363" s="3">
        <v>813.01</v>
      </c>
      <c r="G363" s="5">
        <f t="shared" ca="1" si="10"/>
        <v>3.5657635236202623</v>
      </c>
      <c r="H363" t="str" cm="1">
        <f t="array" aca="1" ref="H363" ca="1">_xlfn.IFS(G363&lt;2,"Excellent handling",AND(G363&gt;2,G363&lt;4)," ",G363&gt;4,"Bad handling")</f>
        <v xml:space="preserve"> </v>
      </c>
      <c r="I363" t="str">
        <f t="shared" si="11"/>
        <v xml:space="preserve"> </v>
      </c>
    </row>
    <row r="364" spans="1:9" x14ac:dyDescent="0.3">
      <c r="A364" s="1">
        <v>45664.590826520907</v>
      </c>
      <c r="B364" t="s">
        <v>48</v>
      </c>
      <c r="C364" t="s">
        <v>45</v>
      </c>
      <c r="D364" t="s">
        <v>60</v>
      </c>
      <c r="E364" s="1" t="s">
        <v>64</v>
      </c>
      <c r="F364" s="3">
        <v>177.92</v>
      </c>
      <c r="G364" s="5">
        <f t="shared" ca="1" si="10"/>
        <v>390.40917347909271</v>
      </c>
      <c r="H364" t="str" cm="1">
        <f t="array" aca="1" ref="H364" ca="1">_xlfn.IFS(G364&lt;2,"Excellent handling",AND(G364&gt;2,G364&lt;4)," ",G364&gt;4,"Bad handling")</f>
        <v>Bad handling</v>
      </c>
      <c r="I364" t="str">
        <f t="shared" si="11"/>
        <v xml:space="preserve"> </v>
      </c>
    </row>
    <row r="365" spans="1:9" x14ac:dyDescent="0.3">
      <c r="A365" s="1">
        <v>45681.966053877368</v>
      </c>
      <c r="B365" t="s">
        <v>23</v>
      </c>
      <c r="C365" t="s">
        <v>22</v>
      </c>
      <c r="D365" t="s">
        <v>61</v>
      </c>
      <c r="E365" s="1">
        <v>45682.891846612067</v>
      </c>
      <c r="F365" s="3">
        <v>509.77</v>
      </c>
      <c r="G365" s="5">
        <f t="shared" ca="1" si="10"/>
        <v>0.92579273469891632</v>
      </c>
      <c r="H365" t="str" cm="1">
        <f t="array" aca="1" ref="H365" ca="1">_xlfn.IFS(G365&lt;2,"Excellent handling",AND(G365&gt;2,G365&lt;4)," ",G365&gt;4,"Bad handling")</f>
        <v>Excellent handling</v>
      </c>
      <c r="I365" t="str">
        <f t="shared" si="11"/>
        <v xml:space="preserve"> </v>
      </c>
    </row>
    <row r="366" spans="1:9" x14ac:dyDescent="0.3">
      <c r="A366" s="1">
        <v>45674.426927380337</v>
      </c>
      <c r="B366" t="s">
        <v>18</v>
      </c>
      <c r="C366" t="s">
        <v>15</v>
      </c>
      <c r="D366" t="s">
        <v>53</v>
      </c>
      <c r="E366" s="1">
        <v>45676.371399977681</v>
      </c>
      <c r="F366" s="3">
        <v>435.87</v>
      </c>
      <c r="G366" s="5">
        <f t="shared" ca="1" si="10"/>
        <v>1.9444725973444292</v>
      </c>
      <c r="H366" t="str" cm="1">
        <f t="array" aca="1" ref="H366" ca="1">_xlfn.IFS(G366&lt;2,"Excellent handling",AND(G366&gt;2,G366&lt;4)," ",G366&gt;4,"Bad handling")</f>
        <v>Excellent handling</v>
      </c>
      <c r="I366" t="str">
        <f t="shared" si="11"/>
        <v xml:space="preserve"> </v>
      </c>
    </row>
    <row r="367" spans="1:9" x14ac:dyDescent="0.3">
      <c r="A367" s="1">
        <v>45673.382654974092</v>
      </c>
      <c r="B367" t="s">
        <v>14</v>
      </c>
      <c r="C367" t="s">
        <v>8</v>
      </c>
      <c r="D367" t="s">
        <v>54</v>
      </c>
      <c r="E367" s="1">
        <v>45675.303602178828</v>
      </c>
      <c r="F367" s="3">
        <v>660.39</v>
      </c>
      <c r="G367" s="5">
        <f t="shared" ca="1" si="10"/>
        <v>1.9209472047368763</v>
      </c>
      <c r="H367" t="str" cm="1">
        <f t="array" aca="1" ref="H367" ca="1">_xlfn.IFS(G367&lt;2,"Excellent handling",AND(G367&gt;2,G367&lt;4)," ",G367&gt;4,"Bad handling")</f>
        <v>Excellent handling</v>
      </c>
      <c r="I367" t="str">
        <f t="shared" si="11"/>
        <v xml:space="preserve"> </v>
      </c>
    </row>
    <row r="368" spans="1:9" x14ac:dyDescent="0.3">
      <c r="A368" s="1">
        <v>45668.191197172026</v>
      </c>
      <c r="B368" t="s">
        <v>18</v>
      </c>
      <c r="C368" t="s">
        <v>15</v>
      </c>
      <c r="D368" t="s">
        <v>53</v>
      </c>
      <c r="E368" s="1">
        <v>45672.111337655224</v>
      </c>
      <c r="F368" s="3">
        <v>686.5</v>
      </c>
      <c r="G368" s="5">
        <f t="shared" ca="1" si="10"/>
        <v>3.9201404831983382</v>
      </c>
      <c r="H368" t="str" cm="1">
        <f t="array" aca="1" ref="H368" ca="1">_xlfn.IFS(G368&lt;2,"Excellent handling",AND(G368&gt;2,G368&lt;4)," ",G368&gt;4,"Bad handling")</f>
        <v xml:space="preserve"> </v>
      </c>
      <c r="I368" t="str">
        <f t="shared" si="11"/>
        <v>Weekend sale</v>
      </c>
    </row>
    <row r="369" spans="1:9" x14ac:dyDescent="0.3">
      <c r="A369" s="1">
        <v>45628.784652294373</v>
      </c>
      <c r="B369" t="s">
        <v>5</v>
      </c>
      <c r="C369" t="s">
        <v>2</v>
      </c>
      <c r="D369" t="s">
        <v>55</v>
      </c>
      <c r="E369" s="1">
        <v>45630.786335595585</v>
      </c>
      <c r="F369" s="3">
        <v>595.25</v>
      </c>
      <c r="G369" s="5">
        <f t="shared" ca="1" si="10"/>
        <v>2.0016833012123243</v>
      </c>
      <c r="H369" t="str" cm="1">
        <f t="array" aca="1" ref="H369" ca="1">_xlfn.IFS(G369&lt;2,"Excellent handling",AND(G369&gt;2,G369&lt;4)," ",G369&gt;4,"Bad handling")</f>
        <v xml:space="preserve"> </v>
      </c>
      <c r="I369" t="str">
        <f t="shared" si="11"/>
        <v xml:space="preserve"> </v>
      </c>
    </row>
    <row r="370" spans="1:9" x14ac:dyDescent="0.3">
      <c r="A370" s="1">
        <v>45664.216501990006</v>
      </c>
      <c r="B370" t="s">
        <v>49</v>
      </c>
      <c r="C370" t="s">
        <v>45</v>
      </c>
      <c r="D370" t="s">
        <v>60</v>
      </c>
      <c r="E370" s="1">
        <v>45664.512156202269</v>
      </c>
      <c r="F370" s="3">
        <v>730.03</v>
      </c>
      <c r="G370" s="5">
        <f t="shared" ca="1" si="10"/>
        <v>0.2956542122628889</v>
      </c>
      <c r="H370" t="str" cm="1">
        <f t="array" aca="1" ref="H370" ca="1">_xlfn.IFS(G370&lt;2,"Excellent handling",AND(G370&gt;2,G370&lt;4)," ",G370&gt;4,"Bad handling")</f>
        <v>Excellent handling</v>
      </c>
      <c r="I370" t="str">
        <f t="shared" si="11"/>
        <v xml:space="preserve"> </v>
      </c>
    </row>
    <row r="371" spans="1:9" x14ac:dyDescent="0.3">
      <c r="A371" s="1">
        <v>45632.031940656387</v>
      </c>
      <c r="B371" t="s">
        <v>28</v>
      </c>
      <c r="C371" t="s">
        <v>26</v>
      </c>
      <c r="D371" t="s">
        <v>60</v>
      </c>
      <c r="E371" s="1">
        <v>45634.292388311864</v>
      </c>
      <c r="F371" s="3">
        <v>498.09</v>
      </c>
      <c r="G371" s="5">
        <f t="shared" ca="1" si="10"/>
        <v>2.2604476554770372</v>
      </c>
      <c r="H371" t="str" cm="1">
        <f t="array" aca="1" ref="H371" ca="1">_xlfn.IFS(G371&lt;2,"Excellent handling",AND(G371&gt;2,G371&lt;4)," ",G371&gt;4,"Bad handling")</f>
        <v xml:space="preserve"> </v>
      </c>
      <c r="I371" t="str">
        <f t="shared" si="11"/>
        <v xml:space="preserve"> </v>
      </c>
    </row>
    <row r="372" spans="1:9" x14ac:dyDescent="0.3">
      <c r="A372" s="1">
        <v>45693.119903839353</v>
      </c>
      <c r="B372" t="s">
        <v>4</v>
      </c>
      <c r="C372" t="s">
        <v>2</v>
      </c>
      <c r="D372" t="s">
        <v>60</v>
      </c>
      <c r="E372" s="1">
        <v>45696.762999975341</v>
      </c>
      <c r="F372" s="3">
        <v>358.04</v>
      </c>
      <c r="G372" s="5">
        <f t="shared" ca="1" si="10"/>
        <v>3.6430961359874345</v>
      </c>
      <c r="H372" t="str" cm="1">
        <f t="array" aca="1" ref="H372" ca="1">_xlfn.IFS(G372&lt;2,"Excellent handling",AND(G372&gt;2,G372&lt;4)," ",G372&gt;4,"Bad handling")</f>
        <v xml:space="preserve"> </v>
      </c>
      <c r="I372" t="str">
        <f t="shared" si="11"/>
        <v xml:space="preserve"> </v>
      </c>
    </row>
    <row r="373" spans="1:9" x14ac:dyDescent="0.3">
      <c r="A373" s="1">
        <v>45673.205140910177</v>
      </c>
      <c r="B373" t="s">
        <v>7</v>
      </c>
      <c r="C373" t="s">
        <v>2</v>
      </c>
      <c r="D373" t="s">
        <v>54</v>
      </c>
      <c r="E373" s="1" t="s">
        <v>65</v>
      </c>
      <c r="F373" s="3">
        <v>584.29999999999995</v>
      </c>
      <c r="G373" s="5">
        <f t="shared" ca="1" si="10"/>
        <v>381.79485908982315</v>
      </c>
      <c r="H373" t="str" cm="1">
        <f t="array" aca="1" ref="H373" ca="1">_xlfn.IFS(G373&lt;2,"Excellent handling",AND(G373&gt;2,G373&lt;4)," ",G373&gt;4,"Bad handling")</f>
        <v>Bad handling</v>
      </c>
      <c r="I373" t="str">
        <f t="shared" si="11"/>
        <v xml:space="preserve"> </v>
      </c>
    </row>
    <row r="374" spans="1:9" x14ac:dyDescent="0.3">
      <c r="A374" s="1">
        <v>45654.516526839339</v>
      </c>
      <c r="B374" t="s">
        <v>46</v>
      </c>
      <c r="C374" t="s">
        <v>45</v>
      </c>
      <c r="D374" t="s">
        <v>59</v>
      </c>
      <c r="E374" s="1">
        <v>45656.057123735591</v>
      </c>
      <c r="F374" s="3">
        <v>35.71</v>
      </c>
      <c r="G374" s="5">
        <f t="shared" ca="1" si="10"/>
        <v>1.5405968962513725</v>
      </c>
      <c r="H374" t="str" cm="1">
        <f t="array" aca="1" ref="H374" ca="1">_xlfn.IFS(G374&lt;2,"Excellent handling",AND(G374&gt;2,G374&lt;4)," ",G374&gt;4,"Bad handling")</f>
        <v>Excellent handling</v>
      </c>
      <c r="I374" t="str">
        <f t="shared" si="11"/>
        <v>Weekend sale</v>
      </c>
    </row>
    <row r="375" spans="1:9" x14ac:dyDescent="0.3">
      <c r="A375" s="1">
        <v>45629.75743398277</v>
      </c>
      <c r="B375" t="s">
        <v>44</v>
      </c>
      <c r="C375" t="s">
        <v>41</v>
      </c>
      <c r="D375" t="s">
        <v>62</v>
      </c>
      <c r="E375" s="1">
        <v>45629.861662062212</v>
      </c>
      <c r="F375" s="3">
        <v>180.84</v>
      </c>
      <c r="G375" s="5">
        <f t="shared" ca="1" si="10"/>
        <v>0.10422807944269152</v>
      </c>
      <c r="H375" t="str" cm="1">
        <f t="array" aca="1" ref="H375" ca="1">_xlfn.IFS(G375&lt;2,"Excellent handling",AND(G375&gt;2,G375&lt;4)," ",G375&gt;4,"Bad handling")</f>
        <v>Excellent handling</v>
      </c>
      <c r="I375" t="str">
        <f t="shared" si="11"/>
        <v xml:space="preserve"> </v>
      </c>
    </row>
    <row r="376" spans="1:9" x14ac:dyDescent="0.3">
      <c r="A376" s="1">
        <v>45674.716332767319</v>
      </c>
      <c r="B376" t="s">
        <v>17</v>
      </c>
      <c r="C376" t="s">
        <v>15</v>
      </c>
      <c r="D376" t="s">
        <v>54</v>
      </c>
      <c r="E376" s="1">
        <v>45676.988687747777</v>
      </c>
      <c r="F376" s="3">
        <v>528.84</v>
      </c>
      <c r="G376" s="5">
        <f t="shared" ca="1" si="10"/>
        <v>2.2723549804577488</v>
      </c>
      <c r="H376" t="str" cm="1">
        <f t="array" aca="1" ref="H376" ca="1">_xlfn.IFS(G376&lt;2,"Excellent handling",AND(G376&gt;2,G376&lt;4)," ",G376&gt;4,"Bad handling")</f>
        <v xml:space="preserve"> </v>
      </c>
      <c r="I376" t="str">
        <f t="shared" si="11"/>
        <v xml:space="preserve"> </v>
      </c>
    </row>
    <row r="377" spans="1:9" x14ac:dyDescent="0.3">
      <c r="A377" s="1">
        <v>45686.484569731532</v>
      </c>
      <c r="B377" t="s">
        <v>4</v>
      </c>
      <c r="C377" t="s">
        <v>2</v>
      </c>
      <c r="D377" t="s">
        <v>60</v>
      </c>
      <c r="E377" s="1">
        <v>45689.153257811828</v>
      </c>
      <c r="F377" s="3">
        <v>97.25</v>
      </c>
      <c r="G377" s="5">
        <f t="shared" ca="1" si="10"/>
        <v>2.6686880802953965</v>
      </c>
      <c r="H377" t="str" cm="1">
        <f t="array" aca="1" ref="H377" ca="1">_xlfn.IFS(G377&lt;2,"Excellent handling",AND(G377&gt;2,G377&lt;4)," ",G377&gt;4,"Bad handling")</f>
        <v xml:space="preserve"> </v>
      </c>
      <c r="I377" t="str">
        <f t="shared" si="11"/>
        <v xml:space="preserve"> </v>
      </c>
    </row>
    <row r="378" spans="1:9" x14ac:dyDescent="0.3">
      <c r="A378" s="1">
        <v>45642.134348631138</v>
      </c>
      <c r="B378" t="s">
        <v>9</v>
      </c>
      <c r="C378" t="s">
        <v>8</v>
      </c>
      <c r="D378" t="s">
        <v>54</v>
      </c>
      <c r="E378" s="1">
        <v>45645.030415052352</v>
      </c>
      <c r="F378" s="3">
        <v>336.86</v>
      </c>
      <c r="G378" s="5">
        <f t="shared" ca="1" si="10"/>
        <v>2.896066421213618</v>
      </c>
      <c r="H378" t="str" cm="1">
        <f t="array" aca="1" ref="H378" ca="1">_xlfn.IFS(G378&lt;2,"Excellent handling",AND(G378&gt;2,G378&lt;4)," ",G378&gt;4,"Bad handling")</f>
        <v xml:space="preserve"> </v>
      </c>
      <c r="I378" t="str">
        <f t="shared" si="11"/>
        <v xml:space="preserve"> </v>
      </c>
    </row>
    <row r="379" spans="1:9" x14ac:dyDescent="0.3">
      <c r="A379" s="1">
        <v>45668.580453638788</v>
      </c>
      <c r="B379" t="s">
        <v>49</v>
      </c>
      <c r="C379" t="s">
        <v>45</v>
      </c>
      <c r="D379" t="s">
        <v>60</v>
      </c>
      <c r="E379" s="1">
        <v>45670.828224259327</v>
      </c>
      <c r="F379" s="3">
        <v>355.44</v>
      </c>
      <c r="G379" s="5">
        <f t="shared" ca="1" si="10"/>
        <v>2.2477706205390859</v>
      </c>
      <c r="H379" t="str" cm="1">
        <f t="array" aca="1" ref="H379" ca="1">_xlfn.IFS(G379&lt;2,"Excellent handling",AND(G379&gt;2,G379&lt;4)," ",G379&gt;4,"Bad handling")</f>
        <v xml:space="preserve"> </v>
      </c>
      <c r="I379" t="str">
        <f t="shared" si="11"/>
        <v>Weekend sale</v>
      </c>
    </row>
    <row r="380" spans="1:9" x14ac:dyDescent="0.3">
      <c r="A380" s="1">
        <v>45663.716410085784</v>
      </c>
      <c r="B380" t="s">
        <v>3</v>
      </c>
      <c r="C380" t="s">
        <v>2</v>
      </c>
      <c r="D380" t="s">
        <v>54</v>
      </c>
      <c r="E380" s="1">
        <v>45666.95437874995</v>
      </c>
      <c r="F380" s="3">
        <v>329.33</v>
      </c>
      <c r="G380" s="5">
        <f t="shared" ca="1" si="10"/>
        <v>3.237968664165237</v>
      </c>
      <c r="H380" t="str" cm="1">
        <f t="array" aca="1" ref="H380" ca="1">_xlfn.IFS(G380&lt;2,"Excellent handling",AND(G380&gt;2,G380&lt;4)," ",G380&gt;4,"Bad handling")</f>
        <v xml:space="preserve"> </v>
      </c>
      <c r="I380" t="str">
        <f t="shared" si="11"/>
        <v xml:space="preserve"> </v>
      </c>
    </row>
    <row r="381" spans="1:9" x14ac:dyDescent="0.3">
      <c r="A381" s="1">
        <v>45681.309501933203</v>
      </c>
      <c r="B381" t="s">
        <v>33</v>
      </c>
      <c r="C381" t="s">
        <v>30</v>
      </c>
      <c r="D381" t="s">
        <v>59</v>
      </c>
      <c r="E381" s="1">
        <v>45685.014238885458</v>
      </c>
      <c r="F381" s="3">
        <v>377.37</v>
      </c>
      <c r="G381" s="5">
        <f t="shared" ca="1" si="10"/>
        <v>3.704736952255189</v>
      </c>
      <c r="H381" t="str" cm="1">
        <f t="array" aca="1" ref="H381" ca="1">_xlfn.IFS(G381&lt;2,"Excellent handling",AND(G381&gt;2,G381&lt;4)," ",G381&gt;4,"Bad handling")</f>
        <v xml:space="preserve"> </v>
      </c>
      <c r="I381" t="str">
        <f t="shared" si="11"/>
        <v xml:space="preserve"> </v>
      </c>
    </row>
    <row r="382" spans="1:9" x14ac:dyDescent="0.3">
      <c r="A382" s="1">
        <v>45658.066019237718</v>
      </c>
      <c r="B382" t="s">
        <v>19</v>
      </c>
      <c r="C382" t="s">
        <v>15</v>
      </c>
      <c r="D382" t="s">
        <v>58</v>
      </c>
      <c r="E382" s="1">
        <v>45662.265532848745</v>
      </c>
      <c r="F382" s="3">
        <v>717.75</v>
      </c>
      <c r="G382" s="5">
        <f t="shared" ca="1" si="10"/>
        <v>4.1995136110272142</v>
      </c>
      <c r="H382" t="str" cm="1">
        <f t="array" aca="1" ref="H382" ca="1">_xlfn.IFS(G382&lt;2,"Excellent handling",AND(G382&gt;2,G382&lt;4)," ",G382&gt;4,"Bad handling")</f>
        <v>Bad handling</v>
      </c>
      <c r="I382" t="str">
        <f t="shared" si="11"/>
        <v xml:space="preserve"> </v>
      </c>
    </row>
    <row r="383" spans="1:9" x14ac:dyDescent="0.3">
      <c r="A383" s="1">
        <v>45649.93098386054</v>
      </c>
      <c r="B383" t="s">
        <v>14</v>
      </c>
      <c r="C383" t="s">
        <v>8</v>
      </c>
      <c r="D383" t="s">
        <v>54</v>
      </c>
      <c r="E383" s="1">
        <v>45652.187833087068</v>
      </c>
      <c r="F383" s="3">
        <v>844.36</v>
      </c>
      <c r="G383" s="5">
        <f t="shared" ca="1" si="10"/>
        <v>2.2568492265272653</v>
      </c>
      <c r="H383" t="str" cm="1">
        <f t="array" aca="1" ref="H383" ca="1">_xlfn.IFS(G383&lt;2,"Excellent handling",AND(G383&gt;2,G383&lt;4)," ",G383&gt;4,"Bad handling")</f>
        <v xml:space="preserve"> </v>
      </c>
      <c r="I383" t="str">
        <f t="shared" si="11"/>
        <v xml:space="preserve"> </v>
      </c>
    </row>
    <row r="384" spans="1:9" x14ac:dyDescent="0.3">
      <c r="A384" s="1">
        <v>45645.241823703094</v>
      </c>
      <c r="B384" t="s">
        <v>24</v>
      </c>
      <c r="C384" t="s">
        <v>22</v>
      </c>
      <c r="D384" t="s">
        <v>54</v>
      </c>
      <c r="E384" s="1">
        <v>45647.901714610387</v>
      </c>
      <c r="F384" s="3">
        <v>613.35</v>
      </c>
      <c r="G384" s="5">
        <f t="shared" ca="1" si="10"/>
        <v>2.6598909072927199</v>
      </c>
      <c r="H384" t="str" cm="1">
        <f t="array" aca="1" ref="H384" ca="1">_xlfn.IFS(G384&lt;2,"Excellent handling",AND(G384&gt;2,G384&lt;4)," ",G384&gt;4,"Bad handling")</f>
        <v xml:space="preserve"> </v>
      </c>
      <c r="I384" t="str">
        <f t="shared" si="11"/>
        <v xml:space="preserve"> </v>
      </c>
    </row>
    <row r="385" spans="1:9" x14ac:dyDescent="0.3">
      <c r="A385" s="1">
        <v>45650.879393630188</v>
      </c>
      <c r="B385" t="s">
        <v>10</v>
      </c>
      <c r="C385" t="s">
        <v>8</v>
      </c>
      <c r="D385" t="s">
        <v>55</v>
      </c>
      <c r="E385" s="1" t="s">
        <v>66</v>
      </c>
      <c r="F385" s="3">
        <v>801.72</v>
      </c>
      <c r="G385" s="5">
        <f t="shared" ca="1" si="10"/>
        <v>404.12060636981187</v>
      </c>
      <c r="H385" t="str" cm="1">
        <f t="array" aca="1" ref="H385" ca="1">_xlfn.IFS(G385&lt;2,"Excellent handling",AND(G385&gt;2,G385&lt;4)," ",G385&gt;4,"Bad handling")</f>
        <v>Bad handling</v>
      </c>
      <c r="I385" t="str">
        <f t="shared" si="11"/>
        <v xml:space="preserve"> </v>
      </c>
    </row>
    <row r="386" spans="1:9" x14ac:dyDescent="0.3">
      <c r="A386" s="1">
        <v>45681.33487534021</v>
      </c>
      <c r="B386" t="s">
        <v>28</v>
      </c>
      <c r="C386" t="s">
        <v>26</v>
      </c>
      <c r="D386" t="s">
        <v>60</v>
      </c>
      <c r="E386" s="1">
        <v>45683.991214578149</v>
      </c>
      <c r="F386" s="3">
        <v>409.92</v>
      </c>
      <c r="G386" s="5">
        <f t="shared" ca="1" si="10"/>
        <v>2.6563392379393918</v>
      </c>
      <c r="H386" t="str" cm="1">
        <f t="array" aca="1" ref="H386" ca="1">_xlfn.IFS(G386&lt;2,"Excellent handling",AND(G386&gt;2,G386&lt;4)," ",G386&gt;4,"Bad handling")</f>
        <v xml:space="preserve"> </v>
      </c>
      <c r="I386" t="str">
        <f t="shared" si="11"/>
        <v xml:space="preserve"> </v>
      </c>
    </row>
    <row r="387" spans="1:9" x14ac:dyDescent="0.3">
      <c r="A387" s="1">
        <v>45637.347306919699</v>
      </c>
      <c r="B387" t="s">
        <v>31</v>
      </c>
      <c r="C387" t="s">
        <v>30</v>
      </c>
      <c r="D387" t="s">
        <v>56</v>
      </c>
      <c r="E387" s="1">
        <v>45640.092581679542</v>
      </c>
      <c r="F387" s="3">
        <v>156.05000000000001</v>
      </c>
      <c r="G387" s="5">
        <f t="shared" ref="G387:G450" ca="1" si="12">IF(ISTEXT(E387),TODAY(),E387)-A387</f>
        <v>2.7452747598435963</v>
      </c>
      <c r="H387" t="str" cm="1">
        <f t="array" aca="1" ref="H387" ca="1">_xlfn.IFS(G387&lt;2,"Excellent handling",AND(G387&gt;2,G387&lt;4)," ",G387&gt;4,"Bad handling")</f>
        <v xml:space="preserve"> </v>
      </c>
      <c r="I387" t="str">
        <f t="shared" ref="I387:I450" si="13">IF(OR(WEEKDAY(A387)=7,WEEKDAY(A387)=1),"Weekend sale"," ")</f>
        <v xml:space="preserve"> </v>
      </c>
    </row>
    <row r="388" spans="1:9" x14ac:dyDescent="0.3">
      <c r="A388" s="1">
        <v>45630.780071007583</v>
      </c>
      <c r="B388" t="s">
        <v>34</v>
      </c>
      <c r="C388" t="s">
        <v>30</v>
      </c>
      <c r="D388" t="s">
        <v>61</v>
      </c>
      <c r="E388" s="1">
        <v>45634.289224281347</v>
      </c>
      <c r="F388" s="3">
        <v>498.71</v>
      </c>
      <c r="G388" s="5">
        <f t="shared" ca="1" si="12"/>
        <v>3.509153273764241</v>
      </c>
      <c r="H388" t="str" cm="1">
        <f t="array" aca="1" ref="H388" ca="1">_xlfn.IFS(G388&lt;2,"Excellent handling",AND(G388&gt;2,G388&lt;4)," ",G388&gt;4,"Bad handling")</f>
        <v xml:space="preserve"> </v>
      </c>
      <c r="I388" t="str">
        <f t="shared" si="13"/>
        <v xml:space="preserve"> </v>
      </c>
    </row>
    <row r="389" spans="1:9" x14ac:dyDescent="0.3">
      <c r="A389" s="1">
        <v>45628.515339236699</v>
      </c>
      <c r="B389" t="s">
        <v>6</v>
      </c>
      <c r="C389" t="s">
        <v>2</v>
      </c>
      <c r="D389" t="s">
        <v>58</v>
      </c>
      <c r="E389" s="1">
        <v>45632.327547570851</v>
      </c>
      <c r="F389" s="3">
        <v>655.19000000000005</v>
      </c>
      <c r="G389" s="5">
        <f t="shared" ca="1" si="12"/>
        <v>3.8122083341513644</v>
      </c>
      <c r="H389" t="str" cm="1">
        <f t="array" aca="1" ref="H389" ca="1">_xlfn.IFS(G389&lt;2,"Excellent handling",AND(G389&gt;2,G389&lt;4)," ",G389&gt;4,"Bad handling")</f>
        <v xml:space="preserve"> </v>
      </c>
      <c r="I389" t="str">
        <f t="shared" si="13"/>
        <v xml:space="preserve"> </v>
      </c>
    </row>
    <row r="390" spans="1:9" x14ac:dyDescent="0.3">
      <c r="A390" s="1">
        <v>45629.564849531809</v>
      </c>
      <c r="B390" t="s">
        <v>11</v>
      </c>
      <c r="C390" t="s">
        <v>8</v>
      </c>
      <c r="D390" t="s">
        <v>57</v>
      </c>
      <c r="E390" s="1">
        <v>45629.949489312763</v>
      </c>
      <c r="F390" s="3">
        <v>502.07</v>
      </c>
      <c r="G390" s="5">
        <f t="shared" ca="1" si="12"/>
        <v>0.38463978095387574</v>
      </c>
      <c r="H390" t="str" cm="1">
        <f t="array" aca="1" ref="H390" ca="1">_xlfn.IFS(G390&lt;2,"Excellent handling",AND(G390&gt;2,G390&lt;4)," ",G390&gt;4,"Bad handling")</f>
        <v>Excellent handling</v>
      </c>
      <c r="I390" t="str">
        <f t="shared" si="13"/>
        <v xml:space="preserve"> </v>
      </c>
    </row>
    <row r="391" spans="1:9" x14ac:dyDescent="0.3">
      <c r="A391" s="1">
        <v>45640.725486666408</v>
      </c>
      <c r="B391" t="s">
        <v>4</v>
      </c>
      <c r="C391" t="s">
        <v>2</v>
      </c>
      <c r="D391" t="s">
        <v>60</v>
      </c>
      <c r="E391" s="1" t="s">
        <v>64</v>
      </c>
      <c r="F391" s="3">
        <v>386.75</v>
      </c>
      <c r="G391" s="5">
        <f t="shared" ca="1" si="12"/>
        <v>414.27451333359204</v>
      </c>
      <c r="H391" t="str" cm="1">
        <f t="array" aca="1" ref="H391" ca="1">_xlfn.IFS(G391&lt;2,"Excellent handling",AND(G391&gt;2,G391&lt;4)," ",G391&gt;4,"Bad handling")</f>
        <v>Bad handling</v>
      </c>
      <c r="I391" t="str">
        <f t="shared" si="13"/>
        <v>Weekend sale</v>
      </c>
    </row>
    <row r="392" spans="1:9" x14ac:dyDescent="0.3">
      <c r="A392" s="1">
        <v>45676.143185945541</v>
      </c>
      <c r="B392" t="s">
        <v>33</v>
      </c>
      <c r="C392" t="s">
        <v>30</v>
      </c>
      <c r="D392" t="s">
        <v>59</v>
      </c>
      <c r="E392" s="1">
        <v>45678.065606573669</v>
      </c>
      <c r="F392" s="3">
        <v>768.61</v>
      </c>
      <c r="G392" s="5">
        <f t="shared" ca="1" si="12"/>
        <v>1.9224206281287479</v>
      </c>
      <c r="H392" t="str" cm="1">
        <f t="array" aca="1" ref="H392" ca="1">_xlfn.IFS(G392&lt;2,"Excellent handling",AND(G392&gt;2,G392&lt;4)," ",G392&gt;4,"Bad handling")</f>
        <v>Excellent handling</v>
      </c>
      <c r="I392" t="str">
        <f t="shared" si="13"/>
        <v>Weekend sale</v>
      </c>
    </row>
    <row r="393" spans="1:9" x14ac:dyDescent="0.3">
      <c r="A393" s="1">
        <v>45685.344236975041</v>
      </c>
      <c r="B393" t="s">
        <v>3</v>
      </c>
      <c r="C393" t="s">
        <v>2</v>
      </c>
      <c r="D393" t="s">
        <v>54</v>
      </c>
      <c r="E393" s="1">
        <v>45686.673749468959</v>
      </c>
      <c r="F393" s="3">
        <v>761.32</v>
      </c>
      <c r="G393" s="5">
        <f t="shared" ca="1" si="12"/>
        <v>1.3295124939177185</v>
      </c>
      <c r="H393" t="str" cm="1">
        <f t="array" aca="1" ref="H393" ca="1">_xlfn.IFS(G393&lt;2,"Excellent handling",AND(G393&gt;2,G393&lt;4)," ",G393&gt;4,"Bad handling")</f>
        <v>Excellent handling</v>
      </c>
      <c r="I393" t="str">
        <f t="shared" si="13"/>
        <v xml:space="preserve"> </v>
      </c>
    </row>
    <row r="394" spans="1:9" x14ac:dyDescent="0.3">
      <c r="A394" s="1">
        <v>45653.273476198177</v>
      </c>
      <c r="B394" t="s">
        <v>48</v>
      </c>
      <c r="C394" t="s">
        <v>45</v>
      </c>
      <c r="D394" t="s">
        <v>60</v>
      </c>
      <c r="E394" s="1">
        <v>45656.385738709738</v>
      </c>
      <c r="F394" s="3">
        <v>368.76</v>
      </c>
      <c r="G394" s="5">
        <f t="shared" ca="1" si="12"/>
        <v>3.1122625115604023</v>
      </c>
      <c r="H394" t="str" cm="1">
        <f t="array" aca="1" ref="H394" ca="1">_xlfn.IFS(G394&lt;2,"Excellent handling",AND(G394&gt;2,G394&lt;4)," ",G394&gt;4,"Bad handling")</f>
        <v xml:space="preserve"> </v>
      </c>
      <c r="I394" t="str">
        <f t="shared" si="13"/>
        <v xml:space="preserve"> </v>
      </c>
    </row>
    <row r="395" spans="1:9" x14ac:dyDescent="0.3">
      <c r="A395" s="1">
        <v>45655.648060050691</v>
      </c>
      <c r="B395" t="s">
        <v>11</v>
      </c>
      <c r="C395" t="s">
        <v>8</v>
      </c>
      <c r="D395" t="s">
        <v>57</v>
      </c>
      <c r="E395" s="1">
        <v>45657.768654693755</v>
      </c>
      <c r="F395" s="3">
        <v>646.27</v>
      </c>
      <c r="G395" s="5">
        <f t="shared" ca="1" si="12"/>
        <v>2.1205946430636686</v>
      </c>
      <c r="H395" t="str" cm="1">
        <f t="array" aca="1" ref="H395" ca="1">_xlfn.IFS(G395&lt;2,"Excellent handling",AND(G395&gt;2,G395&lt;4)," ",G395&gt;4,"Bad handling")</f>
        <v xml:space="preserve"> </v>
      </c>
      <c r="I395" t="str">
        <f t="shared" si="13"/>
        <v>Weekend sale</v>
      </c>
    </row>
    <row r="396" spans="1:9" x14ac:dyDescent="0.3">
      <c r="A396" s="1">
        <v>45691.642424498597</v>
      </c>
      <c r="B396" t="s">
        <v>9</v>
      </c>
      <c r="C396" t="s">
        <v>8</v>
      </c>
      <c r="D396" t="s">
        <v>54</v>
      </c>
      <c r="E396" s="1">
        <v>45692.923805016733</v>
      </c>
      <c r="F396" s="3">
        <v>548.11</v>
      </c>
      <c r="G396" s="5">
        <f t="shared" ca="1" si="12"/>
        <v>1.2813805181358475</v>
      </c>
      <c r="H396" t="str" cm="1">
        <f t="array" aca="1" ref="H396" ca="1">_xlfn.IFS(G396&lt;2,"Excellent handling",AND(G396&gt;2,G396&lt;4)," ",G396&gt;4,"Bad handling")</f>
        <v>Excellent handling</v>
      </c>
      <c r="I396" t="str">
        <f t="shared" si="13"/>
        <v xml:space="preserve"> </v>
      </c>
    </row>
    <row r="397" spans="1:9" x14ac:dyDescent="0.3">
      <c r="A397" s="1">
        <v>45668.578684145345</v>
      </c>
      <c r="B397" t="s">
        <v>27</v>
      </c>
      <c r="C397" t="s">
        <v>26</v>
      </c>
      <c r="D397" t="s">
        <v>55</v>
      </c>
      <c r="E397" s="1">
        <v>45671.607765888599</v>
      </c>
      <c r="F397" s="3">
        <v>480.91</v>
      </c>
      <c r="G397" s="5">
        <f t="shared" ca="1" si="12"/>
        <v>3.0290817432542099</v>
      </c>
      <c r="H397" t="str" cm="1">
        <f t="array" aca="1" ref="H397" ca="1">_xlfn.IFS(G397&lt;2,"Excellent handling",AND(G397&gt;2,G397&lt;4)," ",G397&gt;4,"Bad handling")</f>
        <v xml:space="preserve"> </v>
      </c>
      <c r="I397" t="str">
        <f t="shared" si="13"/>
        <v>Weekend sale</v>
      </c>
    </row>
    <row r="398" spans="1:9" x14ac:dyDescent="0.3">
      <c r="A398" s="1">
        <v>45647.797507661984</v>
      </c>
      <c r="B398" t="s">
        <v>43</v>
      </c>
      <c r="C398" t="s">
        <v>41</v>
      </c>
      <c r="D398" t="s">
        <v>57</v>
      </c>
      <c r="E398" s="1">
        <v>45650.199009611402</v>
      </c>
      <c r="F398" s="3">
        <v>35.409999999999997</v>
      </c>
      <c r="G398" s="5">
        <f t="shared" ca="1" si="12"/>
        <v>2.4015019494181615</v>
      </c>
      <c r="H398" t="str" cm="1">
        <f t="array" aca="1" ref="H398" ca="1">_xlfn.IFS(G398&lt;2,"Excellent handling",AND(G398&gt;2,G398&lt;4)," ",G398&gt;4,"Bad handling")</f>
        <v xml:space="preserve"> </v>
      </c>
      <c r="I398" t="str">
        <f t="shared" si="13"/>
        <v>Weekend sale</v>
      </c>
    </row>
    <row r="399" spans="1:9" x14ac:dyDescent="0.3">
      <c r="A399" s="1">
        <v>45682.931936697743</v>
      </c>
      <c r="B399" t="s">
        <v>23</v>
      </c>
      <c r="C399" t="s">
        <v>22</v>
      </c>
      <c r="D399" t="s">
        <v>61</v>
      </c>
      <c r="E399" s="1">
        <v>45683.967510085451</v>
      </c>
      <c r="F399" s="3">
        <v>188.68</v>
      </c>
      <c r="G399" s="5">
        <f t="shared" ca="1" si="12"/>
        <v>1.0355733877077</v>
      </c>
      <c r="H399" t="str" cm="1">
        <f t="array" aca="1" ref="H399" ca="1">_xlfn.IFS(G399&lt;2,"Excellent handling",AND(G399&gt;2,G399&lt;4)," ",G399&gt;4,"Bad handling")</f>
        <v>Excellent handling</v>
      </c>
      <c r="I399" t="str">
        <f t="shared" si="13"/>
        <v>Weekend sale</v>
      </c>
    </row>
    <row r="400" spans="1:9" x14ac:dyDescent="0.3">
      <c r="A400" s="1">
        <v>45658.384737032189</v>
      </c>
      <c r="B400" t="s">
        <v>27</v>
      </c>
      <c r="C400" t="s">
        <v>26</v>
      </c>
      <c r="D400" t="s">
        <v>55</v>
      </c>
      <c r="E400" s="1" t="s">
        <v>66</v>
      </c>
      <c r="F400" s="3">
        <v>395.31</v>
      </c>
      <c r="G400" s="5">
        <f t="shared" ca="1" si="12"/>
        <v>396.61526296781085</v>
      </c>
      <c r="H400" t="str" cm="1">
        <f t="array" aca="1" ref="H400" ca="1">_xlfn.IFS(G400&lt;2,"Excellent handling",AND(G400&gt;2,G400&lt;4)," ",G400&gt;4,"Bad handling")</f>
        <v>Bad handling</v>
      </c>
      <c r="I400" t="str">
        <f t="shared" si="13"/>
        <v xml:space="preserve"> </v>
      </c>
    </row>
    <row r="401" spans="1:9" x14ac:dyDescent="0.3">
      <c r="A401" s="1">
        <v>45662.156413483885</v>
      </c>
      <c r="B401" t="s">
        <v>18</v>
      </c>
      <c r="C401" t="s">
        <v>15</v>
      </c>
      <c r="D401" t="s">
        <v>53</v>
      </c>
      <c r="E401" s="1">
        <v>45664.23801778214</v>
      </c>
      <c r="F401" s="3">
        <v>642.80999999999995</v>
      </c>
      <c r="G401" s="5">
        <f t="shared" ca="1" si="12"/>
        <v>2.0816042982551153</v>
      </c>
      <c r="H401" t="str" cm="1">
        <f t="array" aca="1" ref="H401" ca="1">_xlfn.IFS(G401&lt;2,"Excellent handling",AND(G401&gt;2,G401&lt;4)," ",G401&gt;4,"Bad handling")</f>
        <v xml:space="preserve"> </v>
      </c>
      <c r="I401" t="str">
        <f t="shared" si="13"/>
        <v>Weekend sale</v>
      </c>
    </row>
    <row r="402" spans="1:9" x14ac:dyDescent="0.3">
      <c r="A402" s="1">
        <v>45627.883203984937</v>
      </c>
      <c r="B402" t="s">
        <v>12</v>
      </c>
      <c r="C402" t="s">
        <v>8</v>
      </c>
      <c r="D402" t="s">
        <v>56</v>
      </c>
      <c r="E402" s="1">
        <v>45630.702043771948</v>
      </c>
      <c r="F402" s="3">
        <v>131.79</v>
      </c>
      <c r="G402" s="5">
        <f t="shared" ca="1" si="12"/>
        <v>2.818839787010802</v>
      </c>
      <c r="H402" t="str" cm="1">
        <f t="array" aca="1" ref="H402" ca="1">_xlfn.IFS(G402&lt;2,"Excellent handling",AND(G402&gt;2,G402&lt;4)," ",G402&gt;4,"Bad handling")</f>
        <v xml:space="preserve"> </v>
      </c>
      <c r="I402" t="str">
        <f t="shared" si="13"/>
        <v>Weekend sale</v>
      </c>
    </row>
    <row r="403" spans="1:9" x14ac:dyDescent="0.3">
      <c r="A403" s="1">
        <v>45630.808790436138</v>
      </c>
      <c r="B403" t="s">
        <v>49</v>
      </c>
      <c r="C403" t="s">
        <v>45</v>
      </c>
      <c r="D403" t="s">
        <v>60</v>
      </c>
      <c r="E403" s="1">
        <v>45633.641008527178</v>
      </c>
      <c r="F403" s="3">
        <v>788.44</v>
      </c>
      <c r="G403" s="5">
        <f t="shared" ca="1" si="12"/>
        <v>2.8322180910399766</v>
      </c>
      <c r="H403" t="str" cm="1">
        <f t="array" aca="1" ref="H403" ca="1">_xlfn.IFS(G403&lt;2,"Excellent handling",AND(G403&gt;2,G403&lt;4)," ",G403&gt;4,"Bad handling")</f>
        <v xml:space="preserve"> </v>
      </c>
      <c r="I403" t="str">
        <f t="shared" si="13"/>
        <v xml:space="preserve"> </v>
      </c>
    </row>
    <row r="404" spans="1:9" x14ac:dyDescent="0.3">
      <c r="A404" s="1">
        <v>45691.31207985941</v>
      </c>
      <c r="B404" t="s">
        <v>29</v>
      </c>
      <c r="C404" t="s">
        <v>26</v>
      </c>
      <c r="D404" t="s">
        <v>61</v>
      </c>
      <c r="E404" s="1">
        <v>45696.627261531052</v>
      </c>
      <c r="F404" s="3">
        <v>401.93</v>
      </c>
      <c r="G404" s="5">
        <f t="shared" ca="1" si="12"/>
        <v>5.315181671641767</v>
      </c>
      <c r="H404" t="str" cm="1">
        <f t="array" aca="1" ref="H404" ca="1">_xlfn.IFS(G404&lt;2,"Excellent handling",AND(G404&gt;2,G404&lt;4)," ",G404&gt;4,"Bad handling")</f>
        <v>Bad handling</v>
      </c>
      <c r="I404" t="str">
        <f t="shared" si="13"/>
        <v xml:space="preserve"> </v>
      </c>
    </row>
    <row r="405" spans="1:9" x14ac:dyDescent="0.3">
      <c r="A405" s="1">
        <v>45675.357306271748</v>
      </c>
      <c r="B405" t="s">
        <v>36</v>
      </c>
      <c r="C405" t="s">
        <v>35</v>
      </c>
      <c r="D405" t="s">
        <v>55</v>
      </c>
      <c r="E405" s="1">
        <v>45675.688176925512</v>
      </c>
      <c r="F405" s="3">
        <v>31.93</v>
      </c>
      <c r="G405" s="5">
        <f t="shared" ca="1" si="12"/>
        <v>0.33087065376457758</v>
      </c>
      <c r="H405" t="str" cm="1">
        <f t="array" aca="1" ref="H405" ca="1">_xlfn.IFS(G405&lt;2,"Excellent handling",AND(G405&gt;2,G405&lt;4)," ",G405&gt;4,"Bad handling")</f>
        <v>Excellent handling</v>
      </c>
      <c r="I405" t="str">
        <f t="shared" si="13"/>
        <v>Weekend sale</v>
      </c>
    </row>
    <row r="406" spans="1:9" x14ac:dyDescent="0.3">
      <c r="A406" s="1">
        <v>45652.974017327622</v>
      </c>
      <c r="B406" t="s">
        <v>39</v>
      </c>
      <c r="C406" t="s">
        <v>38</v>
      </c>
      <c r="D406" t="s">
        <v>57</v>
      </c>
      <c r="E406" s="1">
        <v>45658.083917582044</v>
      </c>
      <c r="F406" s="3">
        <v>640.04</v>
      </c>
      <c r="G406" s="5">
        <f t="shared" ca="1" si="12"/>
        <v>5.1099002544215182</v>
      </c>
      <c r="H406" t="str" cm="1">
        <f t="array" aca="1" ref="H406" ca="1">_xlfn.IFS(G406&lt;2,"Excellent handling",AND(G406&gt;2,G406&lt;4)," ",G406&gt;4,"Bad handling")</f>
        <v>Bad handling</v>
      </c>
      <c r="I406" t="str">
        <f t="shared" si="13"/>
        <v xml:space="preserve"> </v>
      </c>
    </row>
    <row r="407" spans="1:9" x14ac:dyDescent="0.3">
      <c r="A407" s="1">
        <v>45641.034493008156</v>
      </c>
      <c r="B407" t="s">
        <v>25</v>
      </c>
      <c r="C407" t="s">
        <v>22</v>
      </c>
      <c r="D407" t="s">
        <v>61</v>
      </c>
      <c r="E407" s="1">
        <v>45643.361428012016</v>
      </c>
      <c r="F407" s="3">
        <v>605.34</v>
      </c>
      <c r="G407" s="5">
        <f t="shared" ca="1" si="12"/>
        <v>2.3269350038608536</v>
      </c>
      <c r="H407" t="str" cm="1">
        <f t="array" aca="1" ref="H407" ca="1">_xlfn.IFS(G407&lt;2,"Excellent handling",AND(G407&gt;2,G407&lt;4)," ",G407&gt;4,"Bad handling")</f>
        <v xml:space="preserve"> </v>
      </c>
      <c r="I407" t="str">
        <f t="shared" si="13"/>
        <v>Weekend sale</v>
      </c>
    </row>
    <row r="408" spans="1:9" x14ac:dyDescent="0.3">
      <c r="A408" s="1">
        <v>45633.745499412209</v>
      </c>
      <c r="B408" t="s">
        <v>10</v>
      </c>
      <c r="C408" t="s">
        <v>8</v>
      </c>
      <c r="D408" t="s">
        <v>55</v>
      </c>
      <c r="E408" s="1">
        <v>45633.760646528572</v>
      </c>
      <c r="F408" s="3">
        <v>799.04</v>
      </c>
      <c r="G408" s="5">
        <f t="shared" ca="1" si="12"/>
        <v>1.51471163626411E-2</v>
      </c>
      <c r="H408" t="str" cm="1">
        <f t="array" aca="1" ref="H408" ca="1">_xlfn.IFS(G408&lt;2,"Excellent handling",AND(G408&gt;2,G408&lt;4)," ",G408&gt;4,"Bad handling")</f>
        <v>Excellent handling</v>
      </c>
      <c r="I408" t="str">
        <f t="shared" si="13"/>
        <v>Weekend sale</v>
      </c>
    </row>
    <row r="409" spans="1:9" x14ac:dyDescent="0.3">
      <c r="A409" s="1">
        <v>45677.281536437724</v>
      </c>
      <c r="B409" t="s">
        <v>19</v>
      </c>
      <c r="C409" t="s">
        <v>15</v>
      </c>
      <c r="D409" t="s">
        <v>58</v>
      </c>
      <c r="E409" s="1">
        <v>45681.780334677489</v>
      </c>
      <c r="F409" s="3">
        <v>630.45000000000005</v>
      </c>
      <c r="G409" s="5">
        <f t="shared" ca="1" si="12"/>
        <v>4.4987982397651649</v>
      </c>
      <c r="H409" t="str" cm="1">
        <f t="array" aca="1" ref="H409" ca="1">_xlfn.IFS(G409&lt;2,"Excellent handling",AND(G409&gt;2,G409&lt;4)," ",G409&gt;4,"Bad handling")</f>
        <v>Bad handling</v>
      </c>
      <c r="I409" t="str">
        <f t="shared" si="13"/>
        <v xml:space="preserve"> </v>
      </c>
    </row>
    <row r="410" spans="1:9" x14ac:dyDescent="0.3">
      <c r="A410" s="1">
        <v>45638.76125141004</v>
      </c>
      <c r="B410" t="s">
        <v>23</v>
      </c>
      <c r="C410" t="s">
        <v>22</v>
      </c>
      <c r="D410" t="s">
        <v>61</v>
      </c>
      <c r="E410" s="1">
        <v>45642.988559671889</v>
      </c>
      <c r="F410" s="3">
        <v>525.04</v>
      </c>
      <c r="G410" s="5">
        <f t="shared" ca="1" si="12"/>
        <v>4.2273082618485205</v>
      </c>
      <c r="H410" t="str" cm="1">
        <f t="array" aca="1" ref="H410" ca="1">_xlfn.IFS(G410&lt;2,"Excellent handling",AND(G410&gt;2,G410&lt;4)," ",G410&gt;4,"Bad handling")</f>
        <v>Bad handling</v>
      </c>
      <c r="I410" t="str">
        <f t="shared" si="13"/>
        <v xml:space="preserve"> </v>
      </c>
    </row>
    <row r="411" spans="1:9" x14ac:dyDescent="0.3">
      <c r="A411" s="1">
        <v>45692.480660988957</v>
      </c>
      <c r="B411" t="s">
        <v>32</v>
      </c>
      <c r="C411" t="s">
        <v>30</v>
      </c>
      <c r="D411" t="s">
        <v>58</v>
      </c>
      <c r="E411" s="1">
        <v>45694.769936975295</v>
      </c>
      <c r="F411" s="3">
        <v>256.57</v>
      </c>
      <c r="G411" s="5">
        <f t="shared" ca="1" si="12"/>
        <v>2.2892759863389074</v>
      </c>
      <c r="H411" t="str" cm="1">
        <f t="array" aca="1" ref="H411" ca="1">_xlfn.IFS(G411&lt;2,"Excellent handling",AND(G411&gt;2,G411&lt;4)," ",G411&gt;4,"Bad handling")</f>
        <v xml:space="preserve"> </v>
      </c>
      <c r="I411" t="str">
        <f t="shared" si="13"/>
        <v xml:space="preserve"> </v>
      </c>
    </row>
    <row r="412" spans="1:9" x14ac:dyDescent="0.3">
      <c r="A412" s="1">
        <v>45688.415988675821</v>
      </c>
      <c r="B412" t="s">
        <v>5</v>
      </c>
      <c r="C412" t="s">
        <v>2</v>
      </c>
      <c r="D412" t="s">
        <v>55</v>
      </c>
      <c r="E412" s="1">
        <v>45690.32427332762</v>
      </c>
      <c r="F412" s="3">
        <v>465.9</v>
      </c>
      <c r="G412" s="5">
        <f t="shared" ca="1" si="12"/>
        <v>1.9082846517994767</v>
      </c>
      <c r="H412" t="str" cm="1">
        <f t="array" aca="1" ref="H412" ca="1">_xlfn.IFS(G412&lt;2,"Excellent handling",AND(G412&gt;2,G412&lt;4)," ",G412&gt;4,"Bad handling")</f>
        <v>Excellent handling</v>
      </c>
      <c r="I412" t="str">
        <f t="shared" si="13"/>
        <v xml:space="preserve"> </v>
      </c>
    </row>
    <row r="413" spans="1:9" x14ac:dyDescent="0.3">
      <c r="A413" s="1">
        <v>45692.081003471401</v>
      </c>
      <c r="B413" t="s">
        <v>11</v>
      </c>
      <c r="C413" t="s">
        <v>8</v>
      </c>
      <c r="D413" t="s">
        <v>57</v>
      </c>
      <c r="E413" s="1">
        <v>45696.997543252073</v>
      </c>
      <c r="F413" s="3">
        <v>106.14</v>
      </c>
      <c r="G413" s="5">
        <f t="shared" ca="1" si="12"/>
        <v>4.9165397806718829</v>
      </c>
      <c r="H413" t="str" cm="1">
        <f t="array" aca="1" ref="H413" ca="1">_xlfn.IFS(G413&lt;2,"Excellent handling",AND(G413&gt;2,G413&lt;4)," ",G413&gt;4,"Bad handling")</f>
        <v>Bad handling</v>
      </c>
      <c r="I413" t="str">
        <f t="shared" si="13"/>
        <v xml:space="preserve"> </v>
      </c>
    </row>
    <row r="414" spans="1:9" x14ac:dyDescent="0.3">
      <c r="A414" s="1">
        <v>45637.448365662487</v>
      </c>
      <c r="B414" t="s">
        <v>49</v>
      </c>
      <c r="C414" t="s">
        <v>45</v>
      </c>
      <c r="D414" t="s">
        <v>60</v>
      </c>
      <c r="E414" s="1">
        <v>45639.867355603797</v>
      </c>
      <c r="F414" s="3">
        <v>178.19</v>
      </c>
      <c r="G414" s="5">
        <f t="shared" ca="1" si="12"/>
        <v>2.4189899413104285</v>
      </c>
      <c r="H414" t="str" cm="1">
        <f t="array" aca="1" ref="H414" ca="1">_xlfn.IFS(G414&lt;2,"Excellent handling",AND(G414&gt;2,G414&lt;4)," ",G414&gt;4,"Bad handling")</f>
        <v xml:space="preserve"> </v>
      </c>
      <c r="I414" t="str">
        <f t="shared" si="13"/>
        <v xml:space="preserve"> </v>
      </c>
    </row>
    <row r="415" spans="1:9" x14ac:dyDescent="0.3">
      <c r="A415" s="1">
        <v>45692.63119497391</v>
      </c>
      <c r="B415" t="s">
        <v>5</v>
      </c>
      <c r="C415" t="s">
        <v>2</v>
      </c>
      <c r="D415" t="s">
        <v>55</v>
      </c>
      <c r="E415" s="1">
        <v>45695.693854247154</v>
      </c>
      <c r="F415" s="3">
        <v>616.17999999999995</v>
      </c>
      <c r="G415" s="5">
        <f t="shared" ca="1" si="12"/>
        <v>3.0626592732442077</v>
      </c>
      <c r="H415" t="str" cm="1">
        <f t="array" aca="1" ref="H415" ca="1">_xlfn.IFS(G415&lt;2,"Excellent handling",AND(G415&gt;2,G415&lt;4)," ",G415&gt;4,"Bad handling")</f>
        <v xml:space="preserve"> </v>
      </c>
      <c r="I415" t="str">
        <f t="shared" si="13"/>
        <v xml:space="preserve"> </v>
      </c>
    </row>
    <row r="416" spans="1:9" x14ac:dyDescent="0.3">
      <c r="A416" s="1">
        <v>45673.12942679671</v>
      </c>
      <c r="B416" t="s">
        <v>43</v>
      </c>
      <c r="C416" t="s">
        <v>41</v>
      </c>
      <c r="D416" t="s">
        <v>57</v>
      </c>
      <c r="E416" s="1">
        <v>45675.571945832693</v>
      </c>
      <c r="F416" s="3">
        <v>779.95</v>
      </c>
      <c r="G416" s="5">
        <f t="shared" ca="1" si="12"/>
        <v>2.4425190359834232</v>
      </c>
      <c r="H416" t="str" cm="1">
        <f t="array" aca="1" ref="H416" ca="1">_xlfn.IFS(G416&lt;2,"Excellent handling",AND(G416&gt;2,G416&lt;4)," ",G416&gt;4,"Bad handling")</f>
        <v xml:space="preserve"> </v>
      </c>
      <c r="I416" t="str">
        <f t="shared" si="13"/>
        <v xml:space="preserve"> </v>
      </c>
    </row>
    <row r="417" spans="1:9" x14ac:dyDescent="0.3">
      <c r="A417" s="1">
        <v>45647.036342387364</v>
      </c>
      <c r="B417" t="s">
        <v>33</v>
      </c>
      <c r="C417" t="s">
        <v>30</v>
      </c>
      <c r="D417" t="s">
        <v>59</v>
      </c>
      <c r="E417" s="1">
        <v>45648.305500415154</v>
      </c>
      <c r="F417" s="3">
        <v>383.26</v>
      </c>
      <c r="G417" s="5">
        <f t="shared" ca="1" si="12"/>
        <v>1.2691580277896719</v>
      </c>
      <c r="H417" t="str" cm="1">
        <f t="array" aca="1" ref="H417" ca="1">_xlfn.IFS(G417&lt;2,"Excellent handling",AND(G417&gt;2,G417&lt;4)," ",G417&gt;4,"Bad handling")</f>
        <v>Excellent handling</v>
      </c>
      <c r="I417" t="str">
        <f t="shared" si="13"/>
        <v>Weekend sale</v>
      </c>
    </row>
    <row r="418" spans="1:9" x14ac:dyDescent="0.3">
      <c r="A418" s="1">
        <v>45645.364352037839</v>
      </c>
      <c r="B418" t="s">
        <v>11</v>
      </c>
      <c r="C418" t="s">
        <v>8</v>
      </c>
      <c r="D418" t="s">
        <v>57</v>
      </c>
      <c r="E418" s="1">
        <v>45649.33006881817</v>
      </c>
      <c r="F418" s="3">
        <v>279.05</v>
      </c>
      <c r="G418" s="5">
        <f t="shared" ca="1" si="12"/>
        <v>3.9657167803306947</v>
      </c>
      <c r="H418" t="str" cm="1">
        <f t="array" aca="1" ref="H418" ca="1">_xlfn.IFS(G418&lt;2,"Excellent handling",AND(G418&gt;2,G418&lt;4)," ",G418&gt;4,"Bad handling")</f>
        <v xml:space="preserve"> </v>
      </c>
      <c r="I418" t="str">
        <f t="shared" si="13"/>
        <v xml:space="preserve"> </v>
      </c>
    </row>
    <row r="419" spans="1:9" x14ac:dyDescent="0.3">
      <c r="A419" s="1">
        <v>45678.714168035061</v>
      </c>
      <c r="B419" t="s">
        <v>27</v>
      </c>
      <c r="C419" t="s">
        <v>26</v>
      </c>
      <c r="D419" t="s">
        <v>55</v>
      </c>
      <c r="E419" s="1">
        <v>45679.965098474597</v>
      </c>
      <c r="F419" s="3">
        <v>421.42</v>
      </c>
      <c r="G419" s="5">
        <f t="shared" ca="1" si="12"/>
        <v>1.2509304395352956</v>
      </c>
      <c r="H419" t="str" cm="1">
        <f t="array" aca="1" ref="H419" ca="1">_xlfn.IFS(G419&lt;2,"Excellent handling",AND(G419&gt;2,G419&lt;4)," ",G419&gt;4,"Bad handling")</f>
        <v>Excellent handling</v>
      </c>
      <c r="I419" t="str">
        <f t="shared" si="13"/>
        <v xml:space="preserve"> </v>
      </c>
    </row>
    <row r="420" spans="1:9" x14ac:dyDescent="0.3">
      <c r="A420" s="1">
        <v>45691.222927101582</v>
      </c>
      <c r="B420" t="s">
        <v>20</v>
      </c>
      <c r="C420" t="s">
        <v>15</v>
      </c>
      <c r="D420" t="s">
        <v>58</v>
      </c>
      <c r="E420" s="1">
        <v>45692.829159312379</v>
      </c>
      <c r="F420" s="3">
        <v>718.36</v>
      </c>
      <c r="G420" s="5">
        <f t="shared" ca="1" si="12"/>
        <v>1.6062322107973159</v>
      </c>
      <c r="H420" t="str" cm="1">
        <f t="array" aca="1" ref="H420" ca="1">_xlfn.IFS(G420&lt;2,"Excellent handling",AND(G420&gt;2,G420&lt;4)," ",G420&gt;4,"Bad handling")</f>
        <v>Excellent handling</v>
      </c>
      <c r="I420" t="str">
        <f t="shared" si="13"/>
        <v xml:space="preserve"> </v>
      </c>
    </row>
    <row r="421" spans="1:9" x14ac:dyDescent="0.3">
      <c r="A421" s="1">
        <v>45646.282558472987</v>
      </c>
      <c r="B421" t="s">
        <v>42</v>
      </c>
      <c r="C421" t="s">
        <v>41</v>
      </c>
      <c r="D421" t="s">
        <v>56</v>
      </c>
      <c r="E421" s="1">
        <v>45648.973462478825</v>
      </c>
      <c r="F421" s="3">
        <v>328.24</v>
      </c>
      <c r="G421" s="5">
        <f t="shared" ca="1" si="12"/>
        <v>2.6909040058380924</v>
      </c>
      <c r="H421" t="str" cm="1">
        <f t="array" aca="1" ref="H421" ca="1">_xlfn.IFS(G421&lt;2,"Excellent handling",AND(G421&gt;2,G421&lt;4)," ",G421&gt;4,"Bad handling")</f>
        <v xml:space="preserve"> </v>
      </c>
      <c r="I421" t="str">
        <f t="shared" si="13"/>
        <v xml:space="preserve"> </v>
      </c>
    </row>
    <row r="422" spans="1:9" x14ac:dyDescent="0.3">
      <c r="A422" s="1">
        <v>45654.695007758586</v>
      </c>
      <c r="B422" t="s">
        <v>7</v>
      </c>
      <c r="C422" t="s">
        <v>2</v>
      </c>
      <c r="D422" t="s">
        <v>54</v>
      </c>
      <c r="E422" s="1">
        <v>45658.586828152664</v>
      </c>
      <c r="F422" s="3">
        <v>722.29</v>
      </c>
      <c r="G422" s="5">
        <f t="shared" ca="1" si="12"/>
        <v>3.8918203940775129</v>
      </c>
      <c r="H422" t="str" cm="1">
        <f t="array" aca="1" ref="H422" ca="1">_xlfn.IFS(G422&lt;2,"Excellent handling",AND(G422&gt;2,G422&lt;4)," ",G422&gt;4,"Bad handling")</f>
        <v xml:space="preserve"> </v>
      </c>
      <c r="I422" t="str">
        <f t="shared" si="13"/>
        <v>Weekend sale</v>
      </c>
    </row>
    <row r="423" spans="1:9" x14ac:dyDescent="0.3">
      <c r="A423" s="1">
        <v>45684.929009633415</v>
      </c>
      <c r="B423" t="s">
        <v>33</v>
      </c>
      <c r="C423" t="s">
        <v>30</v>
      </c>
      <c r="D423" t="s">
        <v>59</v>
      </c>
      <c r="E423" s="1">
        <v>45688.627903848974</v>
      </c>
      <c r="F423" s="3">
        <v>401.06</v>
      </c>
      <c r="G423" s="5">
        <f t="shared" ca="1" si="12"/>
        <v>3.6988942155585391</v>
      </c>
      <c r="H423" t="str" cm="1">
        <f t="array" aca="1" ref="H423" ca="1">_xlfn.IFS(G423&lt;2,"Excellent handling",AND(G423&gt;2,G423&lt;4)," ",G423&gt;4,"Bad handling")</f>
        <v xml:space="preserve"> </v>
      </c>
      <c r="I423" t="str">
        <f t="shared" si="13"/>
        <v xml:space="preserve"> </v>
      </c>
    </row>
    <row r="424" spans="1:9" x14ac:dyDescent="0.3">
      <c r="A424" s="1">
        <v>45655.052011974076</v>
      </c>
      <c r="B424" t="s">
        <v>27</v>
      </c>
      <c r="C424" t="s">
        <v>26</v>
      </c>
      <c r="D424" t="s">
        <v>55</v>
      </c>
      <c r="E424" s="1">
        <v>45657.076828339239</v>
      </c>
      <c r="F424" s="3">
        <v>500.84</v>
      </c>
      <c r="G424" s="5">
        <f t="shared" ca="1" si="12"/>
        <v>2.024816365163133</v>
      </c>
      <c r="H424" t="str" cm="1">
        <f t="array" aca="1" ref="H424" ca="1">_xlfn.IFS(G424&lt;2,"Excellent handling",AND(G424&gt;2,G424&lt;4)," ",G424&gt;4,"Bad handling")</f>
        <v xml:space="preserve"> </v>
      </c>
      <c r="I424" t="str">
        <f t="shared" si="13"/>
        <v>Weekend sale</v>
      </c>
    </row>
    <row r="425" spans="1:9" x14ac:dyDescent="0.3">
      <c r="A425" s="1">
        <v>45643.814770913144</v>
      </c>
      <c r="B425" t="s">
        <v>12</v>
      </c>
      <c r="C425" t="s">
        <v>8</v>
      </c>
      <c r="D425" t="s">
        <v>56</v>
      </c>
      <c r="E425" s="1">
        <v>45647.033501338752</v>
      </c>
      <c r="F425" s="3">
        <v>328.88</v>
      </c>
      <c r="G425" s="5">
        <f t="shared" ca="1" si="12"/>
        <v>3.2187304256076459</v>
      </c>
      <c r="H425" t="str" cm="1">
        <f t="array" aca="1" ref="H425" ca="1">_xlfn.IFS(G425&lt;2,"Excellent handling",AND(G425&gt;2,G425&lt;4)," ",G425&gt;4,"Bad handling")</f>
        <v xml:space="preserve"> </v>
      </c>
      <c r="I425" t="str">
        <f t="shared" si="13"/>
        <v xml:space="preserve"> </v>
      </c>
    </row>
    <row r="426" spans="1:9" x14ac:dyDescent="0.3">
      <c r="A426" s="1">
        <v>45635.014198915938</v>
      </c>
      <c r="B426" t="s">
        <v>6</v>
      </c>
      <c r="C426" t="s">
        <v>2</v>
      </c>
      <c r="D426" t="s">
        <v>58</v>
      </c>
      <c r="E426" s="1">
        <v>45636.468931704992</v>
      </c>
      <c r="F426" s="3">
        <v>630.48</v>
      </c>
      <c r="G426" s="5">
        <f t="shared" ca="1" si="12"/>
        <v>1.4547327890541055</v>
      </c>
      <c r="H426" t="str" cm="1">
        <f t="array" aca="1" ref="H426" ca="1">_xlfn.IFS(G426&lt;2,"Excellent handling",AND(G426&gt;2,G426&lt;4)," ",G426&gt;4,"Bad handling")</f>
        <v>Excellent handling</v>
      </c>
      <c r="I426" t="str">
        <f t="shared" si="13"/>
        <v xml:space="preserve"> </v>
      </c>
    </row>
    <row r="427" spans="1:9" x14ac:dyDescent="0.3">
      <c r="A427" s="1">
        <v>45639.645947913436</v>
      </c>
      <c r="B427" t="s">
        <v>4</v>
      </c>
      <c r="C427" t="s">
        <v>2</v>
      </c>
      <c r="D427" t="s">
        <v>60</v>
      </c>
      <c r="E427" s="1">
        <v>45644.556644970886</v>
      </c>
      <c r="F427" s="3">
        <v>143.27000000000001</v>
      </c>
      <c r="G427" s="5">
        <f t="shared" ca="1" si="12"/>
        <v>4.9106970574503066</v>
      </c>
      <c r="H427" t="str" cm="1">
        <f t="array" aca="1" ref="H427" ca="1">_xlfn.IFS(G427&lt;2,"Excellent handling",AND(G427&gt;2,G427&lt;4)," ",G427&gt;4,"Bad handling")</f>
        <v>Bad handling</v>
      </c>
      <c r="I427" t="str">
        <f t="shared" si="13"/>
        <v xml:space="preserve"> </v>
      </c>
    </row>
    <row r="428" spans="1:9" x14ac:dyDescent="0.3">
      <c r="A428" s="1">
        <v>45658.560680075709</v>
      </c>
      <c r="B428" t="s">
        <v>17</v>
      </c>
      <c r="C428" t="s">
        <v>15</v>
      </c>
      <c r="D428" t="s">
        <v>54</v>
      </c>
      <c r="E428" s="1">
        <v>45660.158559756012</v>
      </c>
      <c r="F428" s="3">
        <v>370.77</v>
      </c>
      <c r="G428" s="5">
        <f t="shared" ca="1" si="12"/>
        <v>1.5978796803028672</v>
      </c>
      <c r="H428" t="str" cm="1">
        <f t="array" aca="1" ref="H428" ca="1">_xlfn.IFS(G428&lt;2,"Excellent handling",AND(G428&gt;2,G428&lt;4)," ",G428&gt;4,"Bad handling")</f>
        <v>Excellent handling</v>
      </c>
      <c r="I428" t="str">
        <f t="shared" si="13"/>
        <v xml:space="preserve"> </v>
      </c>
    </row>
    <row r="429" spans="1:9" x14ac:dyDescent="0.3">
      <c r="A429" s="1">
        <v>45635.403576051205</v>
      </c>
      <c r="B429" t="s">
        <v>5</v>
      </c>
      <c r="C429" t="s">
        <v>2</v>
      </c>
      <c r="D429" t="s">
        <v>55</v>
      </c>
      <c r="E429" s="1">
        <v>45638.047797251602</v>
      </c>
      <c r="F429" s="3">
        <v>352.33</v>
      </c>
      <c r="G429" s="5">
        <f t="shared" ca="1" si="12"/>
        <v>2.6442212003967143</v>
      </c>
      <c r="H429" t="str" cm="1">
        <f t="array" aca="1" ref="H429" ca="1">_xlfn.IFS(G429&lt;2,"Excellent handling",AND(G429&gt;2,G429&lt;4)," ",G429&gt;4,"Bad handling")</f>
        <v xml:space="preserve"> </v>
      </c>
      <c r="I429" t="str">
        <f t="shared" si="13"/>
        <v xml:space="preserve"> </v>
      </c>
    </row>
    <row r="430" spans="1:9" x14ac:dyDescent="0.3">
      <c r="A430" s="1">
        <v>45639.807532190534</v>
      </c>
      <c r="B430" t="s">
        <v>48</v>
      </c>
      <c r="C430" t="s">
        <v>45</v>
      </c>
      <c r="D430" t="s">
        <v>60</v>
      </c>
      <c r="E430" s="1">
        <v>45643.338638886547</v>
      </c>
      <c r="F430" s="3">
        <v>452.22</v>
      </c>
      <c r="G430" s="5">
        <f t="shared" ca="1" si="12"/>
        <v>3.531106696013012</v>
      </c>
      <c r="H430" t="str" cm="1">
        <f t="array" aca="1" ref="H430" ca="1">_xlfn.IFS(G430&lt;2,"Excellent handling",AND(G430&gt;2,G430&lt;4)," ",G430&gt;4,"Bad handling")</f>
        <v xml:space="preserve"> </v>
      </c>
      <c r="I430" t="str">
        <f t="shared" si="13"/>
        <v xml:space="preserve"> </v>
      </c>
    </row>
    <row r="431" spans="1:9" x14ac:dyDescent="0.3">
      <c r="A431" s="1">
        <v>45638.271020373038</v>
      </c>
      <c r="B431" t="s">
        <v>27</v>
      </c>
      <c r="C431" t="s">
        <v>26</v>
      </c>
      <c r="D431" t="s">
        <v>55</v>
      </c>
      <c r="E431" s="1">
        <v>45640.649537520476</v>
      </c>
      <c r="F431" s="3">
        <v>616.92999999999995</v>
      </c>
      <c r="G431" s="5">
        <f t="shared" ca="1" si="12"/>
        <v>2.3785171474373783</v>
      </c>
      <c r="H431" t="str" cm="1">
        <f t="array" aca="1" ref="H431" ca="1">_xlfn.IFS(G431&lt;2,"Excellent handling",AND(G431&gt;2,G431&lt;4)," ",G431&gt;4,"Bad handling")</f>
        <v xml:space="preserve"> </v>
      </c>
      <c r="I431" t="str">
        <f t="shared" si="13"/>
        <v xml:space="preserve"> </v>
      </c>
    </row>
    <row r="432" spans="1:9" x14ac:dyDescent="0.3">
      <c r="A432" s="1">
        <v>45673.26096520252</v>
      </c>
      <c r="B432" t="s">
        <v>17</v>
      </c>
      <c r="C432" t="s">
        <v>15</v>
      </c>
      <c r="D432" t="s">
        <v>54</v>
      </c>
      <c r="E432" s="1">
        <v>45676.254607191862</v>
      </c>
      <c r="F432" s="3">
        <v>501.15</v>
      </c>
      <c r="G432" s="5">
        <f t="shared" ca="1" si="12"/>
        <v>2.9936419893419952</v>
      </c>
      <c r="H432" t="str" cm="1">
        <f t="array" aca="1" ref="H432" ca="1">_xlfn.IFS(G432&lt;2,"Excellent handling",AND(G432&gt;2,G432&lt;4)," ",G432&gt;4,"Bad handling")</f>
        <v xml:space="preserve"> </v>
      </c>
      <c r="I432" t="str">
        <f t="shared" si="13"/>
        <v xml:space="preserve"> </v>
      </c>
    </row>
    <row r="433" spans="1:9" x14ac:dyDescent="0.3">
      <c r="A433" s="1">
        <v>45669.115743582355</v>
      </c>
      <c r="B433" t="s">
        <v>20</v>
      </c>
      <c r="C433" t="s">
        <v>15</v>
      </c>
      <c r="D433" t="s">
        <v>58</v>
      </c>
      <c r="E433" s="1">
        <v>45671.584167607994</v>
      </c>
      <c r="F433" s="3">
        <v>614.16999999999996</v>
      </c>
      <c r="G433" s="5">
        <f t="shared" ca="1" si="12"/>
        <v>2.4684240256392513</v>
      </c>
      <c r="H433" t="str" cm="1">
        <f t="array" aca="1" ref="H433" ca="1">_xlfn.IFS(G433&lt;2,"Excellent handling",AND(G433&gt;2,G433&lt;4)," ",G433&gt;4,"Bad handling")</f>
        <v xml:space="preserve"> </v>
      </c>
      <c r="I433" t="str">
        <f t="shared" si="13"/>
        <v>Weekend sale</v>
      </c>
    </row>
    <row r="434" spans="1:9" x14ac:dyDescent="0.3">
      <c r="A434" s="1">
        <v>45691.154119925624</v>
      </c>
      <c r="B434" t="s">
        <v>18</v>
      </c>
      <c r="C434" t="s">
        <v>15</v>
      </c>
      <c r="D434" t="s">
        <v>53</v>
      </c>
      <c r="E434" s="1">
        <v>45693.972110769115</v>
      </c>
      <c r="F434" s="3">
        <v>209.94</v>
      </c>
      <c r="G434" s="5">
        <f t="shared" ca="1" si="12"/>
        <v>2.8179908434904064</v>
      </c>
      <c r="H434" t="str" cm="1">
        <f t="array" aca="1" ref="H434" ca="1">_xlfn.IFS(G434&lt;2,"Excellent handling",AND(G434&gt;2,G434&lt;4)," ",G434&gt;4,"Bad handling")</f>
        <v xml:space="preserve"> </v>
      </c>
      <c r="I434" t="str">
        <f t="shared" si="13"/>
        <v xml:space="preserve"> </v>
      </c>
    </row>
    <row r="435" spans="1:9" x14ac:dyDescent="0.3">
      <c r="A435" s="1">
        <v>45661.237578012493</v>
      </c>
      <c r="B435" t="s">
        <v>44</v>
      </c>
      <c r="C435" t="s">
        <v>41</v>
      </c>
      <c r="D435" t="s">
        <v>62</v>
      </c>
      <c r="E435" s="1">
        <v>45664.160746203823</v>
      </c>
      <c r="F435" s="3">
        <v>757.32</v>
      </c>
      <c r="G435" s="5">
        <f t="shared" ca="1" si="12"/>
        <v>2.9231681913297507</v>
      </c>
      <c r="H435" t="str" cm="1">
        <f t="array" aca="1" ref="H435" ca="1">_xlfn.IFS(G435&lt;2,"Excellent handling",AND(G435&gt;2,G435&lt;4)," ",G435&gt;4,"Bad handling")</f>
        <v xml:space="preserve"> </v>
      </c>
      <c r="I435" t="str">
        <f t="shared" si="13"/>
        <v>Weekend sale</v>
      </c>
    </row>
    <row r="436" spans="1:9" x14ac:dyDescent="0.3">
      <c r="A436" s="1">
        <v>45663.162610727421</v>
      </c>
      <c r="B436" t="s">
        <v>44</v>
      </c>
      <c r="C436" t="s">
        <v>41</v>
      </c>
      <c r="D436" t="s">
        <v>62</v>
      </c>
      <c r="E436" s="1">
        <v>45664.270811832139</v>
      </c>
      <c r="F436" s="3">
        <v>130.25</v>
      </c>
      <c r="G436" s="5">
        <f t="shared" ca="1" si="12"/>
        <v>1.1082011047183187</v>
      </c>
      <c r="H436" t="str" cm="1">
        <f t="array" aca="1" ref="H436" ca="1">_xlfn.IFS(G436&lt;2,"Excellent handling",AND(G436&gt;2,G436&lt;4)," ",G436&gt;4,"Bad handling")</f>
        <v>Excellent handling</v>
      </c>
      <c r="I436" t="str">
        <f t="shared" si="13"/>
        <v xml:space="preserve"> </v>
      </c>
    </row>
    <row r="437" spans="1:9" x14ac:dyDescent="0.3">
      <c r="A437" s="1">
        <v>45652.209999786763</v>
      </c>
      <c r="B437" t="s">
        <v>19</v>
      </c>
      <c r="C437" t="s">
        <v>15</v>
      </c>
      <c r="D437" t="s">
        <v>58</v>
      </c>
      <c r="E437" s="1">
        <v>45655.275582845243</v>
      </c>
      <c r="F437" s="3">
        <v>83.59</v>
      </c>
      <c r="G437" s="5">
        <f t="shared" ca="1" si="12"/>
        <v>3.0655830584801151</v>
      </c>
      <c r="H437" t="str" cm="1">
        <f t="array" aca="1" ref="H437" ca="1">_xlfn.IFS(G437&lt;2,"Excellent handling",AND(G437&gt;2,G437&lt;4)," ",G437&gt;4,"Bad handling")</f>
        <v xml:space="preserve"> </v>
      </c>
      <c r="I437" t="str">
        <f t="shared" si="13"/>
        <v xml:space="preserve"> </v>
      </c>
    </row>
    <row r="438" spans="1:9" x14ac:dyDescent="0.3">
      <c r="A438" s="1">
        <v>45680.328728358872</v>
      </c>
      <c r="B438" t="s">
        <v>20</v>
      </c>
      <c r="C438" t="s">
        <v>15</v>
      </c>
      <c r="D438" t="s">
        <v>58</v>
      </c>
      <c r="E438" s="1">
        <v>45683.273918225801</v>
      </c>
      <c r="F438" s="3">
        <v>735.53</v>
      </c>
      <c r="G438" s="5">
        <f t="shared" ca="1" si="12"/>
        <v>2.9451898669285583</v>
      </c>
      <c r="H438" t="str" cm="1">
        <f t="array" aca="1" ref="H438" ca="1">_xlfn.IFS(G438&lt;2,"Excellent handling",AND(G438&gt;2,G438&lt;4)," ",G438&gt;4,"Bad handling")</f>
        <v xml:space="preserve"> </v>
      </c>
      <c r="I438" t="str">
        <f t="shared" si="13"/>
        <v xml:space="preserve"> </v>
      </c>
    </row>
    <row r="439" spans="1:9" x14ac:dyDescent="0.3">
      <c r="A439" s="1">
        <v>45669.226726943205</v>
      </c>
      <c r="B439" t="s">
        <v>21</v>
      </c>
      <c r="C439" t="s">
        <v>15</v>
      </c>
      <c r="D439" t="s">
        <v>60</v>
      </c>
      <c r="E439" s="1">
        <v>45671.954749721823</v>
      </c>
      <c r="F439" s="3">
        <v>692.99</v>
      </c>
      <c r="G439" s="5">
        <f t="shared" ca="1" si="12"/>
        <v>2.728022778617742</v>
      </c>
      <c r="H439" t="str" cm="1">
        <f t="array" aca="1" ref="H439" ca="1">_xlfn.IFS(G439&lt;2,"Excellent handling",AND(G439&gt;2,G439&lt;4)," ",G439&gt;4,"Bad handling")</f>
        <v xml:space="preserve"> </v>
      </c>
      <c r="I439" t="str">
        <f t="shared" si="13"/>
        <v>Weekend sale</v>
      </c>
    </row>
    <row r="440" spans="1:9" x14ac:dyDescent="0.3">
      <c r="A440" s="1">
        <v>45686.293278591191</v>
      </c>
      <c r="B440" t="s">
        <v>6</v>
      </c>
      <c r="C440" t="s">
        <v>2</v>
      </c>
      <c r="D440" t="s">
        <v>58</v>
      </c>
      <c r="E440" s="1">
        <v>45688.773774621695</v>
      </c>
      <c r="F440" s="3">
        <v>368.02</v>
      </c>
      <c r="G440" s="5">
        <f t="shared" ca="1" si="12"/>
        <v>2.4804960305045824</v>
      </c>
      <c r="H440" t="str" cm="1">
        <f t="array" aca="1" ref="H440" ca="1">_xlfn.IFS(G440&lt;2,"Excellent handling",AND(G440&gt;2,G440&lt;4)," ",G440&gt;4,"Bad handling")</f>
        <v xml:space="preserve"> </v>
      </c>
      <c r="I440" t="str">
        <f t="shared" si="13"/>
        <v xml:space="preserve"> </v>
      </c>
    </row>
    <row r="441" spans="1:9" x14ac:dyDescent="0.3">
      <c r="A441" s="1">
        <v>45649.815210523368</v>
      </c>
      <c r="B441" t="s">
        <v>44</v>
      </c>
      <c r="C441" t="s">
        <v>41</v>
      </c>
      <c r="D441" t="s">
        <v>62</v>
      </c>
      <c r="E441" s="1">
        <v>45649.953627631992</v>
      </c>
      <c r="F441" s="3">
        <v>370.42</v>
      </c>
      <c r="G441" s="5">
        <f t="shared" ca="1" si="12"/>
        <v>0.13841710862470791</v>
      </c>
      <c r="H441" t="str" cm="1">
        <f t="array" aca="1" ref="H441" ca="1">_xlfn.IFS(G441&lt;2,"Excellent handling",AND(G441&gt;2,G441&lt;4)," ",G441&gt;4,"Bad handling")</f>
        <v>Excellent handling</v>
      </c>
      <c r="I441" t="str">
        <f t="shared" si="13"/>
        <v xml:space="preserve"> </v>
      </c>
    </row>
    <row r="442" spans="1:9" x14ac:dyDescent="0.3">
      <c r="A442" s="1">
        <v>45635.061359364736</v>
      </c>
      <c r="B442" t="s">
        <v>9</v>
      </c>
      <c r="C442" t="s">
        <v>8</v>
      </c>
      <c r="D442" t="s">
        <v>54</v>
      </c>
      <c r="E442" s="1">
        <v>45635.621741710092</v>
      </c>
      <c r="F442" s="3">
        <v>751.39</v>
      </c>
      <c r="G442" s="5">
        <f t="shared" ca="1" si="12"/>
        <v>0.56038234535662923</v>
      </c>
      <c r="H442" t="str" cm="1">
        <f t="array" aca="1" ref="H442" ca="1">_xlfn.IFS(G442&lt;2,"Excellent handling",AND(G442&gt;2,G442&lt;4)," ",G442&gt;4,"Bad handling")</f>
        <v>Excellent handling</v>
      </c>
      <c r="I442" t="str">
        <f t="shared" si="13"/>
        <v xml:space="preserve"> </v>
      </c>
    </row>
    <row r="443" spans="1:9" x14ac:dyDescent="0.3">
      <c r="A443" s="1">
        <v>45657.076706922773</v>
      </c>
      <c r="B443" t="s">
        <v>5</v>
      </c>
      <c r="C443" t="s">
        <v>2</v>
      </c>
      <c r="D443" t="s">
        <v>55</v>
      </c>
      <c r="E443" s="1">
        <v>45658.12089830578</v>
      </c>
      <c r="F443" s="3">
        <v>175.38</v>
      </c>
      <c r="G443" s="5">
        <f t="shared" ca="1" si="12"/>
        <v>1.0441913830072735</v>
      </c>
      <c r="H443" t="str" cm="1">
        <f t="array" aca="1" ref="H443" ca="1">_xlfn.IFS(G443&lt;2,"Excellent handling",AND(G443&gt;2,G443&lt;4)," ",G443&gt;4,"Bad handling")</f>
        <v>Excellent handling</v>
      </c>
      <c r="I443" t="str">
        <f t="shared" si="13"/>
        <v xml:space="preserve"> </v>
      </c>
    </row>
    <row r="444" spans="1:9" x14ac:dyDescent="0.3">
      <c r="A444" s="1">
        <v>45683.234074020787</v>
      </c>
      <c r="B444" t="s">
        <v>25</v>
      </c>
      <c r="C444" t="s">
        <v>22</v>
      </c>
      <c r="D444" t="s">
        <v>61</v>
      </c>
      <c r="E444" s="1">
        <v>45684.359774757046</v>
      </c>
      <c r="F444" s="3">
        <v>218.97</v>
      </c>
      <c r="G444" s="5">
        <f t="shared" ca="1" si="12"/>
        <v>1.1257007362582954</v>
      </c>
      <c r="H444" t="str" cm="1">
        <f t="array" aca="1" ref="H444" ca="1">_xlfn.IFS(G444&lt;2,"Excellent handling",AND(G444&gt;2,G444&lt;4)," ",G444&gt;4,"Bad handling")</f>
        <v>Excellent handling</v>
      </c>
      <c r="I444" t="str">
        <f t="shared" si="13"/>
        <v>Weekend sale</v>
      </c>
    </row>
    <row r="445" spans="1:9" x14ac:dyDescent="0.3">
      <c r="A445" s="1">
        <v>45675.956248227558</v>
      </c>
      <c r="B445" t="s">
        <v>17</v>
      </c>
      <c r="C445" t="s">
        <v>15</v>
      </c>
      <c r="D445" t="s">
        <v>54</v>
      </c>
      <c r="E445" s="1">
        <v>45681.902365544411</v>
      </c>
      <c r="F445" s="3">
        <v>212.62</v>
      </c>
      <c r="G445" s="5">
        <f t="shared" ca="1" si="12"/>
        <v>5.9461173168529058</v>
      </c>
      <c r="H445" t="str" cm="1">
        <f t="array" aca="1" ref="H445" ca="1">_xlfn.IFS(G445&lt;2,"Excellent handling",AND(G445&gt;2,G445&lt;4)," ",G445&gt;4,"Bad handling")</f>
        <v>Bad handling</v>
      </c>
      <c r="I445" t="str">
        <f t="shared" si="13"/>
        <v>Weekend sale</v>
      </c>
    </row>
    <row r="446" spans="1:9" x14ac:dyDescent="0.3">
      <c r="A446" s="1">
        <v>45650.568325128828</v>
      </c>
      <c r="B446" t="s">
        <v>9</v>
      </c>
      <c r="C446" t="s">
        <v>8</v>
      </c>
      <c r="D446" t="s">
        <v>54</v>
      </c>
      <c r="E446" s="1">
        <v>45650.668119537593</v>
      </c>
      <c r="F446" s="3">
        <v>481.83</v>
      </c>
      <c r="G446" s="5">
        <f t="shared" ca="1" si="12"/>
        <v>9.9794408764864784E-2</v>
      </c>
      <c r="H446" t="str" cm="1">
        <f t="array" aca="1" ref="H446" ca="1">_xlfn.IFS(G446&lt;2,"Excellent handling",AND(G446&gt;2,G446&lt;4)," ",G446&gt;4,"Bad handling")</f>
        <v>Excellent handling</v>
      </c>
      <c r="I446" t="str">
        <f t="shared" si="13"/>
        <v xml:space="preserve"> </v>
      </c>
    </row>
    <row r="447" spans="1:9" x14ac:dyDescent="0.3">
      <c r="A447" s="1">
        <v>45649.651831588948</v>
      </c>
      <c r="B447" t="s">
        <v>13</v>
      </c>
      <c r="C447" t="s">
        <v>8</v>
      </c>
      <c r="D447" t="s">
        <v>57</v>
      </c>
      <c r="E447" s="1">
        <v>45652.176465085176</v>
      </c>
      <c r="F447" s="3">
        <v>434.45</v>
      </c>
      <c r="G447" s="5">
        <f t="shared" ca="1" si="12"/>
        <v>2.5246334962284891</v>
      </c>
      <c r="H447" t="str" cm="1">
        <f t="array" aca="1" ref="H447" ca="1">_xlfn.IFS(G447&lt;2,"Excellent handling",AND(G447&gt;2,G447&lt;4)," ",G447&gt;4,"Bad handling")</f>
        <v xml:space="preserve"> </v>
      </c>
      <c r="I447" t="str">
        <f t="shared" si="13"/>
        <v xml:space="preserve"> </v>
      </c>
    </row>
    <row r="448" spans="1:9" x14ac:dyDescent="0.3">
      <c r="A448" s="1">
        <v>45642.901647269042</v>
      </c>
      <c r="B448" t="s">
        <v>13</v>
      </c>
      <c r="C448" t="s">
        <v>8</v>
      </c>
      <c r="D448" t="s">
        <v>57</v>
      </c>
      <c r="E448" s="1">
        <v>45643.053498892114</v>
      </c>
      <c r="F448" s="3">
        <v>785.28</v>
      </c>
      <c r="G448" s="5">
        <f t="shared" ca="1" si="12"/>
        <v>0.15185162307170685</v>
      </c>
      <c r="H448" t="str" cm="1">
        <f t="array" aca="1" ref="H448" ca="1">_xlfn.IFS(G448&lt;2,"Excellent handling",AND(G448&gt;2,G448&lt;4)," ",G448&gt;4,"Bad handling")</f>
        <v>Excellent handling</v>
      </c>
      <c r="I448" t="str">
        <f t="shared" si="13"/>
        <v xml:space="preserve"> </v>
      </c>
    </row>
    <row r="449" spans="1:9" x14ac:dyDescent="0.3">
      <c r="A449" s="1">
        <v>45650.430369165486</v>
      </c>
      <c r="B449" t="s">
        <v>3</v>
      </c>
      <c r="C449" t="s">
        <v>2</v>
      </c>
      <c r="D449" t="s">
        <v>54</v>
      </c>
      <c r="E449" s="1">
        <v>45652.005692671439</v>
      </c>
      <c r="F449" s="3">
        <v>82.43</v>
      </c>
      <c r="G449" s="5">
        <f t="shared" ca="1" si="12"/>
        <v>1.5753235059528379</v>
      </c>
      <c r="H449" t="str" cm="1">
        <f t="array" aca="1" ref="H449" ca="1">_xlfn.IFS(G449&lt;2,"Excellent handling",AND(G449&gt;2,G449&lt;4)," ",G449&gt;4,"Bad handling")</f>
        <v>Excellent handling</v>
      </c>
      <c r="I449" t="str">
        <f t="shared" si="13"/>
        <v xml:space="preserve"> </v>
      </c>
    </row>
    <row r="450" spans="1:9" x14ac:dyDescent="0.3">
      <c r="A450" s="1">
        <v>45685.166413860425</v>
      </c>
      <c r="B450" t="s">
        <v>13</v>
      </c>
      <c r="C450" t="s">
        <v>8</v>
      </c>
      <c r="D450" t="s">
        <v>57</v>
      </c>
      <c r="E450" s="1">
        <v>45689.331391866712</v>
      </c>
      <c r="F450" s="3">
        <v>87.44</v>
      </c>
      <c r="G450" s="5">
        <f t="shared" ca="1" si="12"/>
        <v>4.1649780062871287</v>
      </c>
      <c r="H450" t="str" cm="1">
        <f t="array" aca="1" ref="H450" ca="1">_xlfn.IFS(G450&lt;2,"Excellent handling",AND(G450&gt;2,G450&lt;4)," ",G450&gt;4,"Bad handling")</f>
        <v>Bad handling</v>
      </c>
      <c r="I450" t="str">
        <f t="shared" si="13"/>
        <v xml:space="preserve"> </v>
      </c>
    </row>
    <row r="451" spans="1:9" x14ac:dyDescent="0.3">
      <c r="A451" s="1">
        <v>45672.840251828304</v>
      </c>
      <c r="B451" t="s">
        <v>27</v>
      </c>
      <c r="C451" t="s">
        <v>26</v>
      </c>
      <c r="D451" t="s">
        <v>55</v>
      </c>
      <c r="E451" s="1">
        <v>45676.431359793663</v>
      </c>
      <c r="F451" s="3">
        <v>220.36</v>
      </c>
      <c r="G451" s="5">
        <f t="shared" ref="G451:G514" ca="1" si="14">IF(ISTEXT(E451),TODAY(),E451)-A451</f>
        <v>3.5911079653596971</v>
      </c>
      <c r="H451" t="str" cm="1">
        <f t="array" aca="1" ref="H451" ca="1">_xlfn.IFS(G451&lt;2,"Excellent handling",AND(G451&gt;2,G451&lt;4)," ",G451&gt;4,"Bad handling")</f>
        <v xml:space="preserve"> </v>
      </c>
      <c r="I451" t="str">
        <f t="shared" ref="I451:I514" si="15">IF(OR(WEEKDAY(A451)=7,WEEKDAY(A451)=1),"Weekend sale"," ")</f>
        <v xml:space="preserve"> </v>
      </c>
    </row>
    <row r="452" spans="1:9" x14ac:dyDescent="0.3">
      <c r="A452" s="1">
        <v>45673.805090712238</v>
      </c>
      <c r="B452" t="s">
        <v>43</v>
      </c>
      <c r="C452" t="s">
        <v>41</v>
      </c>
      <c r="D452" t="s">
        <v>57</v>
      </c>
      <c r="E452" s="1">
        <v>45676.64898566356</v>
      </c>
      <c r="F452" s="3">
        <v>275.7</v>
      </c>
      <c r="G452" s="5">
        <f t="shared" ca="1" si="14"/>
        <v>2.8438949513219995</v>
      </c>
      <c r="H452" t="str" cm="1">
        <f t="array" aca="1" ref="H452" ca="1">_xlfn.IFS(G452&lt;2,"Excellent handling",AND(G452&gt;2,G452&lt;4)," ",G452&gt;4,"Bad handling")</f>
        <v xml:space="preserve"> </v>
      </c>
      <c r="I452" t="str">
        <f t="shared" si="15"/>
        <v xml:space="preserve"> </v>
      </c>
    </row>
    <row r="453" spans="1:9" x14ac:dyDescent="0.3">
      <c r="A453" s="1">
        <v>45674.4404948925</v>
      </c>
      <c r="B453" t="s">
        <v>20</v>
      </c>
      <c r="C453" t="s">
        <v>15</v>
      </c>
      <c r="D453" t="s">
        <v>58</v>
      </c>
      <c r="E453" s="1">
        <v>45677.828826113982</v>
      </c>
      <c r="F453" s="3">
        <v>611.99</v>
      </c>
      <c r="G453" s="5">
        <f t="shared" ca="1" si="14"/>
        <v>3.3883312214820762</v>
      </c>
      <c r="H453" t="str" cm="1">
        <f t="array" aca="1" ref="H453" ca="1">_xlfn.IFS(G453&lt;2,"Excellent handling",AND(G453&gt;2,G453&lt;4)," ",G453&gt;4,"Bad handling")</f>
        <v xml:space="preserve"> </v>
      </c>
      <c r="I453" t="str">
        <f t="shared" si="15"/>
        <v xml:space="preserve"> </v>
      </c>
    </row>
    <row r="454" spans="1:9" x14ac:dyDescent="0.3">
      <c r="A454" s="1">
        <v>45652.084412204575</v>
      </c>
      <c r="B454" t="s">
        <v>17</v>
      </c>
      <c r="C454" t="s">
        <v>15</v>
      </c>
      <c r="D454" t="s">
        <v>54</v>
      </c>
      <c r="E454" s="1">
        <v>45653.555548884491</v>
      </c>
      <c r="F454" s="3">
        <v>771.91</v>
      </c>
      <c r="G454" s="5">
        <f t="shared" ca="1" si="14"/>
        <v>1.4711366799165262</v>
      </c>
      <c r="H454" t="str" cm="1">
        <f t="array" aca="1" ref="H454" ca="1">_xlfn.IFS(G454&lt;2,"Excellent handling",AND(G454&gt;2,G454&lt;4)," ",G454&gt;4,"Bad handling")</f>
        <v>Excellent handling</v>
      </c>
      <c r="I454" t="str">
        <f t="shared" si="15"/>
        <v xml:space="preserve"> </v>
      </c>
    </row>
    <row r="455" spans="1:9" x14ac:dyDescent="0.3">
      <c r="A455" s="1">
        <v>45680.802358961831</v>
      </c>
      <c r="B455" t="s">
        <v>39</v>
      </c>
      <c r="C455" t="s">
        <v>38</v>
      </c>
      <c r="D455" t="s">
        <v>57</v>
      </c>
      <c r="E455" s="1">
        <v>45683.814469869387</v>
      </c>
      <c r="F455" s="3">
        <v>516.92999999999995</v>
      </c>
      <c r="G455" s="5">
        <f t="shared" ca="1" si="14"/>
        <v>3.012110907555325</v>
      </c>
      <c r="H455" t="str" cm="1">
        <f t="array" aca="1" ref="H455" ca="1">_xlfn.IFS(G455&lt;2,"Excellent handling",AND(G455&gt;2,G455&lt;4)," ",G455&gt;4,"Bad handling")</f>
        <v xml:space="preserve"> </v>
      </c>
      <c r="I455" t="str">
        <f t="shared" si="15"/>
        <v xml:space="preserve"> </v>
      </c>
    </row>
    <row r="456" spans="1:9" x14ac:dyDescent="0.3">
      <c r="A456" s="1">
        <v>45652.734750696407</v>
      </c>
      <c r="B456" t="s">
        <v>4</v>
      </c>
      <c r="C456" t="s">
        <v>2</v>
      </c>
      <c r="D456" t="s">
        <v>60</v>
      </c>
      <c r="E456" s="1">
        <v>45655.232427000199</v>
      </c>
      <c r="F456" s="3">
        <v>168.84</v>
      </c>
      <c r="G456" s="5">
        <f t="shared" ca="1" si="14"/>
        <v>2.4976763037921046</v>
      </c>
      <c r="H456" t="str" cm="1">
        <f t="array" aca="1" ref="H456" ca="1">_xlfn.IFS(G456&lt;2,"Excellent handling",AND(G456&gt;2,G456&lt;4)," ",G456&gt;4,"Bad handling")</f>
        <v xml:space="preserve"> </v>
      </c>
      <c r="I456" t="str">
        <f t="shared" si="15"/>
        <v xml:space="preserve"> </v>
      </c>
    </row>
    <row r="457" spans="1:9" x14ac:dyDescent="0.3">
      <c r="A457" s="1">
        <v>45670.383146463086</v>
      </c>
      <c r="B457" t="s">
        <v>13</v>
      </c>
      <c r="C457" t="s">
        <v>8</v>
      </c>
      <c r="D457" t="s">
        <v>57</v>
      </c>
      <c r="E457" s="1">
        <v>45671.383657752282</v>
      </c>
      <c r="F457" s="3">
        <v>528.89</v>
      </c>
      <c r="G457" s="5">
        <f t="shared" ca="1" si="14"/>
        <v>1.0005112891958561</v>
      </c>
      <c r="H457" t="str" cm="1">
        <f t="array" aca="1" ref="H457" ca="1">_xlfn.IFS(G457&lt;2,"Excellent handling",AND(G457&gt;2,G457&lt;4)," ",G457&gt;4,"Bad handling")</f>
        <v>Excellent handling</v>
      </c>
      <c r="I457" t="str">
        <f t="shared" si="15"/>
        <v xml:space="preserve"> </v>
      </c>
    </row>
    <row r="458" spans="1:9" x14ac:dyDescent="0.3">
      <c r="A458" s="1">
        <v>45666.72892070438</v>
      </c>
      <c r="B458" t="s">
        <v>31</v>
      </c>
      <c r="C458" t="s">
        <v>30</v>
      </c>
      <c r="D458" t="s">
        <v>56</v>
      </c>
      <c r="E458" s="1">
        <v>45671.580538771617</v>
      </c>
      <c r="F458" s="3">
        <v>102.11</v>
      </c>
      <c r="G458" s="5">
        <f t="shared" ca="1" si="14"/>
        <v>4.8516180672377232</v>
      </c>
      <c r="H458" t="str" cm="1">
        <f t="array" aca="1" ref="H458" ca="1">_xlfn.IFS(G458&lt;2,"Excellent handling",AND(G458&gt;2,G458&lt;4)," ",G458&gt;4,"Bad handling")</f>
        <v>Bad handling</v>
      </c>
      <c r="I458" t="str">
        <f t="shared" si="15"/>
        <v xml:space="preserve"> </v>
      </c>
    </row>
    <row r="459" spans="1:9" x14ac:dyDescent="0.3">
      <c r="A459" s="1">
        <v>45650.135957829327</v>
      </c>
      <c r="B459" t="s">
        <v>13</v>
      </c>
      <c r="C459" t="s">
        <v>8</v>
      </c>
      <c r="D459" t="s">
        <v>57</v>
      </c>
      <c r="E459" s="1">
        <v>45655.71861185247</v>
      </c>
      <c r="F459" s="3">
        <v>381.43</v>
      </c>
      <c r="G459" s="5">
        <f t="shared" ca="1" si="14"/>
        <v>5.5826540231428226</v>
      </c>
      <c r="H459" t="str" cm="1">
        <f t="array" aca="1" ref="H459" ca="1">_xlfn.IFS(G459&lt;2,"Excellent handling",AND(G459&gt;2,G459&lt;4)," ",G459&gt;4,"Bad handling")</f>
        <v>Bad handling</v>
      </c>
      <c r="I459" t="str">
        <f t="shared" si="15"/>
        <v xml:space="preserve"> </v>
      </c>
    </row>
    <row r="460" spans="1:9" x14ac:dyDescent="0.3">
      <c r="A460" s="1">
        <v>45638.712122435238</v>
      </c>
      <c r="B460" t="s">
        <v>32</v>
      </c>
      <c r="C460" t="s">
        <v>30</v>
      </c>
      <c r="D460" t="s">
        <v>58</v>
      </c>
      <c r="E460" s="1">
        <v>45639.408955902363</v>
      </c>
      <c r="F460" s="3">
        <v>199.54</v>
      </c>
      <c r="G460" s="5">
        <f t="shared" ca="1" si="14"/>
        <v>0.69683346712554339</v>
      </c>
      <c r="H460" t="str" cm="1">
        <f t="array" aca="1" ref="H460" ca="1">_xlfn.IFS(G460&lt;2,"Excellent handling",AND(G460&gt;2,G460&lt;4)," ",G460&gt;4,"Bad handling")</f>
        <v>Excellent handling</v>
      </c>
      <c r="I460" t="str">
        <f t="shared" si="15"/>
        <v xml:space="preserve"> </v>
      </c>
    </row>
    <row r="461" spans="1:9" x14ac:dyDescent="0.3">
      <c r="A461" s="1">
        <v>45694.944852291737</v>
      </c>
      <c r="B461" t="s">
        <v>10</v>
      </c>
      <c r="C461" t="s">
        <v>8</v>
      </c>
      <c r="D461" t="s">
        <v>55</v>
      </c>
      <c r="E461" s="1">
        <v>45695.002967043576</v>
      </c>
      <c r="F461" s="3">
        <v>360.88</v>
      </c>
      <c r="G461" s="5">
        <f t="shared" ca="1" si="14"/>
        <v>5.8114751838729717E-2</v>
      </c>
      <c r="H461" t="str" cm="1">
        <f t="array" aca="1" ref="H461" ca="1">_xlfn.IFS(G461&lt;2,"Excellent handling",AND(G461&gt;2,G461&lt;4)," ",G461&gt;4,"Bad handling")</f>
        <v>Excellent handling</v>
      </c>
      <c r="I461" t="str">
        <f t="shared" si="15"/>
        <v xml:space="preserve"> </v>
      </c>
    </row>
    <row r="462" spans="1:9" x14ac:dyDescent="0.3">
      <c r="A462" s="1">
        <v>45645.907916250217</v>
      </c>
      <c r="B462" t="s">
        <v>44</v>
      </c>
      <c r="C462" t="s">
        <v>41</v>
      </c>
      <c r="D462" t="s">
        <v>62</v>
      </c>
      <c r="E462" s="1">
        <v>45647.083118611867</v>
      </c>
      <c r="F462" s="3">
        <v>74.599999999999994</v>
      </c>
      <c r="G462" s="5">
        <f t="shared" ca="1" si="14"/>
        <v>1.1752023616500082</v>
      </c>
      <c r="H462" t="str" cm="1">
        <f t="array" aca="1" ref="H462" ca="1">_xlfn.IFS(G462&lt;2,"Excellent handling",AND(G462&gt;2,G462&lt;4)," ",G462&gt;4,"Bad handling")</f>
        <v>Excellent handling</v>
      </c>
      <c r="I462" t="str">
        <f t="shared" si="15"/>
        <v xml:space="preserve"> </v>
      </c>
    </row>
    <row r="463" spans="1:9" x14ac:dyDescent="0.3">
      <c r="A463" s="1">
        <v>45631.763346937361</v>
      </c>
      <c r="B463" t="s">
        <v>16</v>
      </c>
      <c r="C463" t="s">
        <v>15</v>
      </c>
      <c r="D463" t="s">
        <v>60</v>
      </c>
      <c r="E463" s="1">
        <v>45634.250975097646</v>
      </c>
      <c r="F463" s="3">
        <v>470.64</v>
      </c>
      <c r="G463" s="5">
        <f t="shared" ca="1" si="14"/>
        <v>2.4876281602846575</v>
      </c>
      <c r="H463" t="str" cm="1">
        <f t="array" aca="1" ref="H463" ca="1">_xlfn.IFS(G463&lt;2,"Excellent handling",AND(G463&gt;2,G463&lt;4)," ",G463&gt;4,"Bad handling")</f>
        <v xml:space="preserve"> </v>
      </c>
      <c r="I463" t="str">
        <f t="shared" si="15"/>
        <v xml:space="preserve"> </v>
      </c>
    </row>
    <row r="464" spans="1:9" x14ac:dyDescent="0.3">
      <c r="A464" s="1">
        <v>45665.004596208317</v>
      </c>
      <c r="B464" t="s">
        <v>6</v>
      </c>
      <c r="C464" t="s">
        <v>2</v>
      </c>
      <c r="D464" t="s">
        <v>58</v>
      </c>
      <c r="E464" s="1">
        <v>45665.107759976221</v>
      </c>
      <c r="F464" s="3">
        <v>482.73</v>
      </c>
      <c r="G464" s="5">
        <f t="shared" ca="1" si="14"/>
        <v>0.10316376790433424</v>
      </c>
      <c r="H464" t="str" cm="1">
        <f t="array" aca="1" ref="H464" ca="1">_xlfn.IFS(G464&lt;2,"Excellent handling",AND(G464&gt;2,G464&lt;4)," ",G464&gt;4,"Bad handling")</f>
        <v>Excellent handling</v>
      </c>
      <c r="I464" t="str">
        <f t="shared" si="15"/>
        <v xml:space="preserve"> </v>
      </c>
    </row>
    <row r="465" spans="1:9" x14ac:dyDescent="0.3">
      <c r="A465" s="1">
        <v>45669.272328325489</v>
      </c>
      <c r="B465" t="s">
        <v>11</v>
      </c>
      <c r="C465" t="s">
        <v>8</v>
      </c>
      <c r="D465" t="s">
        <v>57</v>
      </c>
      <c r="E465" s="1">
        <v>45671.674314344404</v>
      </c>
      <c r="F465" s="3">
        <v>185.37</v>
      </c>
      <c r="G465" s="5">
        <f t="shared" ca="1" si="14"/>
        <v>2.4019860189146129</v>
      </c>
      <c r="H465" t="str" cm="1">
        <f t="array" aca="1" ref="H465" ca="1">_xlfn.IFS(G465&lt;2,"Excellent handling",AND(G465&gt;2,G465&lt;4)," ",G465&gt;4,"Bad handling")</f>
        <v xml:space="preserve"> </v>
      </c>
      <c r="I465" t="str">
        <f t="shared" si="15"/>
        <v>Weekend sale</v>
      </c>
    </row>
    <row r="466" spans="1:9" x14ac:dyDescent="0.3">
      <c r="A466" s="1">
        <v>45664.447350975861</v>
      </c>
      <c r="B466" t="s">
        <v>6</v>
      </c>
      <c r="C466" t="s">
        <v>2</v>
      </c>
      <c r="D466" t="s">
        <v>58</v>
      </c>
      <c r="E466" s="1">
        <v>45667.037732999452</v>
      </c>
      <c r="F466" s="3">
        <v>356.84</v>
      </c>
      <c r="G466" s="5">
        <f t="shared" ca="1" si="14"/>
        <v>2.5903820235907915</v>
      </c>
      <c r="H466" t="str" cm="1">
        <f t="array" aca="1" ref="H466" ca="1">_xlfn.IFS(G466&lt;2,"Excellent handling",AND(G466&gt;2,G466&lt;4)," ",G466&gt;4,"Bad handling")</f>
        <v xml:space="preserve"> </v>
      </c>
      <c r="I466" t="str">
        <f t="shared" si="15"/>
        <v xml:space="preserve"> </v>
      </c>
    </row>
    <row r="467" spans="1:9" x14ac:dyDescent="0.3">
      <c r="A467" s="1">
        <v>45696.642953115588</v>
      </c>
      <c r="B467" t="s">
        <v>17</v>
      </c>
      <c r="C467" t="s">
        <v>15</v>
      </c>
      <c r="D467" t="s">
        <v>54</v>
      </c>
      <c r="E467" s="1">
        <v>45700.413820767339</v>
      </c>
      <c r="F467" s="3">
        <v>640.32000000000005</v>
      </c>
      <c r="G467" s="5">
        <f t="shared" ca="1" si="14"/>
        <v>3.77086765175045</v>
      </c>
      <c r="H467" t="str" cm="1">
        <f t="array" aca="1" ref="H467" ca="1">_xlfn.IFS(G467&lt;2,"Excellent handling",AND(G467&gt;2,G467&lt;4)," ",G467&gt;4,"Bad handling")</f>
        <v xml:space="preserve"> </v>
      </c>
      <c r="I467" t="str">
        <f t="shared" si="15"/>
        <v>Weekend sale</v>
      </c>
    </row>
    <row r="468" spans="1:9" x14ac:dyDescent="0.3">
      <c r="A468" s="1">
        <v>45633.898637193808</v>
      </c>
      <c r="B468" t="s">
        <v>17</v>
      </c>
      <c r="C468" t="s">
        <v>15</v>
      </c>
      <c r="D468" t="s">
        <v>54</v>
      </c>
      <c r="E468" s="1" t="s">
        <v>66</v>
      </c>
      <c r="F468" s="3">
        <v>243.91</v>
      </c>
      <c r="G468" s="5">
        <f t="shared" ca="1" si="14"/>
        <v>421.1013628061919</v>
      </c>
      <c r="H468" t="str" cm="1">
        <f t="array" aca="1" ref="H468" ca="1">_xlfn.IFS(G468&lt;2,"Excellent handling",AND(G468&gt;2,G468&lt;4)," ",G468&gt;4,"Bad handling")</f>
        <v>Bad handling</v>
      </c>
      <c r="I468" t="str">
        <f t="shared" si="15"/>
        <v>Weekend sale</v>
      </c>
    </row>
    <row r="469" spans="1:9" x14ac:dyDescent="0.3">
      <c r="A469" s="1">
        <v>45656.192610933016</v>
      </c>
      <c r="B469" t="s">
        <v>21</v>
      </c>
      <c r="C469" t="s">
        <v>15</v>
      </c>
      <c r="D469" t="s">
        <v>60</v>
      </c>
      <c r="E469" s="1">
        <v>45658.048001842471</v>
      </c>
      <c r="F469" s="3">
        <v>578.65</v>
      </c>
      <c r="G469" s="5">
        <f t="shared" ca="1" si="14"/>
        <v>1.8553909094553092</v>
      </c>
      <c r="H469" t="str" cm="1">
        <f t="array" aca="1" ref="H469" ca="1">_xlfn.IFS(G469&lt;2,"Excellent handling",AND(G469&gt;2,G469&lt;4)," ",G469&gt;4,"Bad handling")</f>
        <v>Excellent handling</v>
      </c>
      <c r="I469" t="str">
        <f t="shared" si="15"/>
        <v xml:space="preserve"> </v>
      </c>
    </row>
    <row r="470" spans="1:9" x14ac:dyDescent="0.3">
      <c r="A470" s="1">
        <v>45686.843963785381</v>
      </c>
      <c r="B470" t="s">
        <v>42</v>
      </c>
      <c r="C470" t="s">
        <v>41</v>
      </c>
      <c r="D470" t="s">
        <v>56</v>
      </c>
      <c r="E470" s="1">
        <v>45689.283240411583</v>
      </c>
      <c r="F470" s="3">
        <v>458.38</v>
      </c>
      <c r="G470" s="5">
        <f t="shared" ca="1" si="14"/>
        <v>2.4392766262026271</v>
      </c>
      <c r="H470" t="str" cm="1">
        <f t="array" aca="1" ref="H470" ca="1">_xlfn.IFS(G470&lt;2,"Excellent handling",AND(G470&gt;2,G470&lt;4)," ",G470&gt;4,"Bad handling")</f>
        <v xml:space="preserve"> </v>
      </c>
      <c r="I470" t="str">
        <f t="shared" si="15"/>
        <v xml:space="preserve"> </v>
      </c>
    </row>
    <row r="471" spans="1:9" x14ac:dyDescent="0.3">
      <c r="A471" s="1">
        <v>45684.523864248804</v>
      </c>
      <c r="B471" t="s">
        <v>14</v>
      </c>
      <c r="C471" t="s">
        <v>8</v>
      </c>
      <c r="D471" t="s">
        <v>54</v>
      </c>
      <c r="E471" s="1">
        <v>45686.76708986138</v>
      </c>
      <c r="F471" s="3">
        <v>726.93</v>
      </c>
      <c r="G471" s="5">
        <f t="shared" ca="1" si="14"/>
        <v>2.2432256125757704</v>
      </c>
      <c r="H471" t="str" cm="1">
        <f t="array" aca="1" ref="H471" ca="1">_xlfn.IFS(G471&lt;2,"Excellent handling",AND(G471&gt;2,G471&lt;4)," ",G471&gt;4,"Bad handling")</f>
        <v xml:space="preserve"> </v>
      </c>
      <c r="I471" t="str">
        <f t="shared" si="15"/>
        <v xml:space="preserve"> </v>
      </c>
    </row>
    <row r="472" spans="1:9" x14ac:dyDescent="0.3">
      <c r="A472" s="1">
        <v>45695.342594061687</v>
      </c>
      <c r="B472" t="s">
        <v>7</v>
      </c>
      <c r="C472" t="s">
        <v>2</v>
      </c>
      <c r="D472" t="s">
        <v>54</v>
      </c>
      <c r="E472" s="1">
        <v>45697.643675011161</v>
      </c>
      <c r="F472" s="3">
        <v>694.05</v>
      </c>
      <c r="G472" s="5">
        <f t="shared" ca="1" si="14"/>
        <v>2.301080949473544</v>
      </c>
      <c r="H472" t="str" cm="1">
        <f t="array" aca="1" ref="H472" ca="1">_xlfn.IFS(G472&lt;2,"Excellent handling",AND(G472&gt;2,G472&lt;4)," ",G472&gt;4,"Bad handling")</f>
        <v xml:space="preserve"> </v>
      </c>
      <c r="I472" t="str">
        <f t="shared" si="15"/>
        <v xml:space="preserve"> </v>
      </c>
    </row>
    <row r="473" spans="1:9" x14ac:dyDescent="0.3">
      <c r="A473" s="1">
        <v>45630.675022057367</v>
      </c>
      <c r="B473" t="s">
        <v>20</v>
      </c>
      <c r="C473" t="s">
        <v>15</v>
      </c>
      <c r="D473" t="s">
        <v>58</v>
      </c>
      <c r="E473" s="1">
        <v>45631.909041023377</v>
      </c>
      <c r="F473" s="3">
        <v>746.31</v>
      </c>
      <c r="G473" s="5">
        <f t="shared" ca="1" si="14"/>
        <v>1.2340189660098986</v>
      </c>
      <c r="H473" t="str" cm="1">
        <f t="array" aca="1" ref="H473" ca="1">_xlfn.IFS(G473&lt;2,"Excellent handling",AND(G473&gt;2,G473&lt;4)," ",G473&gt;4,"Bad handling")</f>
        <v>Excellent handling</v>
      </c>
      <c r="I473" t="str">
        <f t="shared" si="15"/>
        <v xml:space="preserve"> </v>
      </c>
    </row>
    <row r="474" spans="1:9" x14ac:dyDescent="0.3">
      <c r="A474" s="1">
        <v>45675.061374608973</v>
      </c>
      <c r="B474" t="s">
        <v>25</v>
      </c>
      <c r="C474" t="s">
        <v>22</v>
      </c>
      <c r="D474" t="s">
        <v>61</v>
      </c>
      <c r="E474" s="1">
        <v>45677.400366633665</v>
      </c>
      <c r="F474" s="3">
        <v>89.13</v>
      </c>
      <c r="G474" s="5">
        <f t="shared" ca="1" si="14"/>
        <v>2.3389920246918336</v>
      </c>
      <c r="H474" t="str" cm="1">
        <f t="array" aca="1" ref="H474" ca="1">_xlfn.IFS(G474&lt;2,"Excellent handling",AND(G474&gt;2,G474&lt;4)," ",G474&gt;4,"Bad handling")</f>
        <v xml:space="preserve"> </v>
      </c>
      <c r="I474" t="str">
        <f t="shared" si="15"/>
        <v>Weekend sale</v>
      </c>
    </row>
    <row r="475" spans="1:9" x14ac:dyDescent="0.3">
      <c r="A475" s="1">
        <v>45652.668833805525</v>
      </c>
      <c r="B475" t="s">
        <v>37</v>
      </c>
      <c r="C475" t="s">
        <v>35</v>
      </c>
      <c r="D475" t="s">
        <v>60</v>
      </c>
      <c r="E475" s="1">
        <v>45655.175954960556</v>
      </c>
      <c r="F475" s="3">
        <v>78.53</v>
      </c>
      <c r="G475" s="5">
        <f t="shared" ca="1" si="14"/>
        <v>2.5071211550312</v>
      </c>
      <c r="H475" t="str" cm="1">
        <f t="array" aca="1" ref="H475" ca="1">_xlfn.IFS(G475&lt;2,"Excellent handling",AND(G475&gt;2,G475&lt;4)," ",G475&gt;4,"Bad handling")</f>
        <v xml:space="preserve"> </v>
      </c>
      <c r="I475" t="str">
        <f t="shared" si="15"/>
        <v xml:space="preserve"> </v>
      </c>
    </row>
    <row r="476" spans="1:9" x14ac:dyDescent="0.3">
      <c r="A476" s="1">
        <v>45693.585712680215</v>
      </c>
      <c r="B476" t="s">
        <v>9</v>
      </c>
      <c r="C476" t="s">
        <v>8</v>
      </c>
      <c r="D476" t="s">
        <v>54</v>
      </c>
      <c r="E476" s="1">
        <v>45695.461121343695</v>
      </c>
      <c r="F476" s="3">
        <v>400.46</v>
      </c>
      <c r="G476" s="5">
        <f t="shared" ca="1" si="14"/>
        <v>1.8754086634799023</v>
      </c>
      <c r="H476" t="str" cm="1">
        <f t="array" aca="1" ref="H476" ca="1">_xlfn.IFS(G476&lt;2,"Excellent handling",AND(G476&gt;2,G476&lt;4)," ",G476&gt;4,"Bad handling")</f>
        <v>Excellent handling</v>
      </c>
      <c r="I476" t="str">
        <f t="shared" si="15"/>
        <v xml:space="preserve"> </v>
      </c>
    </row>
    <row r="477" spans="1:9" x14ac:dyDescent="0.3">
      <c r="A477" s="1">
        <v>45664.789779052422</v>
      </c>
      <c r="B477" t="s">
        <v>43</v>
      </c>
      <c r="C477" t="s">
        <v>41</v>
      </c>
      <c r="D477" t="s">
        <v>57</v>
      </c>
      <c r="E477" s="1">
        <v>45666.663819666486</v>
      </c>
      <c r="F477" s="3">
        <v>589.04999999999995</v>
      </c>
      <c r="G477" s="5">
        <f t="shared" ca="1" si="14"/>
        <v>1.8740406140641426</v>
      </c>
      <c r="H477" t="str" cm="1">
        <f t="array" aca="1" ref="H477" ca="1">_xlfn.IFS(G477&lt;2,"Excellent handling",AND(G477&gt;2,G477&lt;4)," ",G477&gt;4,"Bad handling")</f>
        <v>Excellent handling</v>
      </c>
      <c r="I477" t="str">
        <f t="shared" si="15"/>
        <v xml:space="preserve"> </v>
      </c>
    </row>
    <row r="478" spans="1:9" x14ac:dyDescent="0.3">
      <c r="A478" s="1">
        <v>45639.745365934337</v>
      </c>
      <c r="B478" t="s">
        <v>43</v>
      </c>
      <c r="C478" t="s">
        <v>41</v>
      </c>
      <c r="D478" t="s">
        <v>57</v>
      </c>
      <c r="E478" s="1">
        <v>45643.944632262217</v>
      </c>
      <c r="F478" s="3">
        <v>205.02</v>
      </c>
      <c r="G478" s="5">
        <f t="shared" ca="1" si="14"/>
        <v>4.1992663278797409</v>
      </c>
      <c r="H478" t="str" cm="1">
        <f t="array" aca="1" ref="H478" ca="1">_xlfn.IFS(G478&lt;2,"Excellent handling",AND(G478&gt;2,G478&lt;4)," ",G478&gt;4,"Bad handling")</f>
        <v>Bad handling</v>
      </c>
      <c r="I478" t="str">
        <f t="shared" si="15"/>
        <v xml:space="preserve"> </v>
      </c>
    </row>
    <row r="479" spans="1:9" x14ac:dyDescent="0.3">
      <c r="A479" s="1">
        <v>45695.058607091138</v>
      </c>
      <c r="B479" t="s">
        <v>9</v>
      </c>
      <c r="C479" t="s">
        <v>8</v>
      </c>
      <c r="D479" t="s">
        <v>54</v>
      </c>
      <c r="E479" s="1">
        <v>45697.694065427866</v>
      </c>
      <c r="F479" s="3">
        <v>493.97</v>
      </c>
      <c r="G479" s="5">
        <f t="shared" ca="1" si="14"/>
        <v>2.635458336728334</v>
      </c>
      <c r="H479" t="str" cm="1">
        <f t="array" aca="1" ref="H479" ca="1">_xlfn.IFS(G479&lt;2,"Excellent handling",AND(G479&gt;2,G479&lt;4)," ",G479&gt;4,"Bad handling")</f>
        <v xml:space="preserve"> </v>
      </c>
      <c r="I479" t="str">
        <f t="shared" si="15"/>
        <v xml:space="preserve"> </v>
      </c>
    </row>
    <row r="480" spans="1:9" x14ac:dyDescent="0.3">
      <c r="A480" s="1">
        <v>45643.515146662248</v>
      </c>
      <c r="B480" t="s">
        <v>36</v>
      </c>
      <c r="C480" t="s">
        <v>35</v>
      </c>
      <c r="D480" t="s">
        <v>55</v>
      </c>
      <c r="E480" s="1">
        <v>45645.714860600194</v>
      </c>
      <c r="F480" s="3">
        <v>451.06</v>
      </c>
      <c r="G480" s="5">
        <f t="shared" ca="1" si="14"/>
        <v>2.1997139379454893</v>
      </c>
      <c r="H480" t="str" cm="1">
        <f t="array" aca="1" ref="H480" ca="1">_xlfn.IFS(G480&lt;2,"Excellent handling",AND(G480&gt;2,G480&lt;4)," ",G480&gt;4,"Bad handling")</f>
        <v xml:space="preserve"> </v>
      </c>
      <c r="I480" t="str">
        <f t="shared" si="15"/>
        <v xml:space="preserve"> </v>
      </c>
    </row>
    <row r="481" spans="1:9" x14ac:dyDescent="0.3">
      <c r="A481" s="1">
        <v>45674.541881219702</v>
      </c>
      <c r="B481" t="s">
        <v>23</v>
      </c>
      <c r="C481" t="s">
        <v>22</v>
      </c>
      <c r="D481" t="s">
        <v>61</v>
      </c>
      <c r="E481" s="1">
        <v>45677.502958420744</v>
      </c>
      <c r="F481" s="3">
        <v>501.76</v>
      </c>
      <c r="G481" s="5">
        <f t="shared" ca="1" si="14"/>
        <v>2.9610772010419169</v>
      </c>
      <c r="H481" t="str" cm="1">
        <f t="array" aca="1" ref="H481" ca="1">_xlfn.IFS(G481&lt;2,"Excellent handling",AND(G481&gt;2,G481&lt;4)," ",G481&gt;4,"Bad handling")</f>
        <v xml:space="preserve"> </v>
      </c>
      <c r="I481" t="str">
        <f t="shared" si="15"/>
        <v xml:space="preserve"> </v>
      </c>
    </row>
    <row r="482" spans="1:9" x14ac:dyDescent="0.3">
      <c r="A482" s="1">
        <v>45633.352693847781</v>
      </c>
      <c r="B482" t="s">
        <v>42</v>
      </c>
      <c r="C482" t="s">
        <v>41</v>
      </c>
      <c r="D482" t="s">
        <v>56</v>
      </c>
      <c r="E482" s="1">
        <v>45633.933888482432</v>
      </c>
      <c r="F482" s="3">
        <v>510.59</v>
      </c>
      <c r="G482" s="5">
        <f t="shared" ca="1" si="14"/>
        <v>0.58119463465118315</v>
      </c>
      <c r="H482" t="str" cm="1">
        <f t="array" aca="1" ref="H482" ca="1">_xlfn.IFS(G482&lt;2,"Excellent handling",AND(G482&gt;2,G482&lt;4)," ",G482&gt;4,"Bad handling")</f>
        <v>Excellent handling</v>
      </c>
      <c r="I482" t="str">
        <f t="shared" si="15"/>
        <v>Weekend sale</v>
      </c>
    </row>
    <row r="483" spans="1:9" x14ac:dyDescent="0.3">
      <c r="A483" s="1">
        <v>45654.424635935902</v>
      </c>
      <c r="B483" t="s">
        <v>10</v>
      </c>
      <c r="C483" t="s">
        <v>8</v>
      </c>
      <c r="D483" t="s">
        <v>55</v>
      </c>
      <c r="E483" s="1">
        <v>45656.941704263569</v>
      </c>
      <c r="F483" s="3">
        <v>629.64</v>
      </c>
      <c r="G483" s="5">
        <f t="shared" ca="1" si="14"/>
        <v>2.5170683276664931</v>
      </c>
      <c r="H483" t="str" cm="1">
        <f t="array" aca="1" ref="H483" ca="1">_xlfn.IFS(G483&lt;2,"Excellent handling",AND(G483&gt;2,G483&lt;4)," ",G483&gt;4,"Bad handling")</f>
        <v xml:space="preserve"> </v>
      </c>
      <c r="I483" t="str">
        <f t="shared" si="15"/>
        <v>Weekend sale</v>
      </c>
    </row>
    <row r="484" spans="1:9" x14ac:dyDescent="0.3">
      <c r="A484" s="1">
        <v>45683.022721781541</v>
      </c>
      <c r="B484" t="s">
        <v>21</v>
      </c>
      <c r="C484" t="s">
        <v>15</v>
      </c>
      <c r="D484" t="s">
        <v>60</v>
      </c>
      <c r="E484" s="1" t="s">
        <v>66</v>
      </c>
      <c r="F484" s="3">
        <v>635.34</v>
      </c>
      <c r="G484" s="5">
        <f t="shared" ca="1" si="14"/>
        <v>371.97727821845911</v>
      </c>
      <c r="H484" t="str" cm="1">
        <f t="array" aca="1" ref="H484" ca="1">_xlfn.IFS(G484&lt;2,"Excellent handling",AND(G484&gt;2,G484&lt;4)," ",G484&gt;4,"Bad handling")</f>
        <v>Bad handling</v>
      </c>
      <c r="I484" t="str">
        <f t="shared" si="15"/>
        <v>Weekend sale</v>
      </c>
    </row>
    <row r="485" spans="1:9" x14ac:dyDescent="0.3">
      <c r="A485" s="1">
        <v>45640.452680502858</v>
      </c>
      <c r="B485" t="s">
        <v>24</v>
      </c>
      <c r="C485" t="s">
        <v>22</v>
      </c>
      <c r="D485" t="s">
        <v>54</v>
      </c>
      <c r="E485" s="1">
        <v>45641.462557751809</v>
      </c>
      <c r="F485" s="3">
        <v>469.49</v>
      </c>
      <c r="G485" s="5">
        <f t="shared" ca="1" si="14"/>
        <v>1.0098772489509429</v>
      </c>
      <c r="H485" t="str" cm="1">
        <f t="array" aca="1" ref="H485" ca="1">_xlfn.IFS(G485&lt;2,"Excellent handling",AND(G485&gt;2,G485&lt;4)," ",G485&gt;4,"Bad handling")</f>
        <v>Excellent handling</v>
      </c>
      <c r="I485" t="str">
        <f t="shared" si="15"/>
        <v>Weekend sale</v>
      </c>
    </row>
    <row r="486" spans="1:9" x14ac:dyDescent="0.3">
      <c r="A486" s="1">
        <v>45670.950394026018</v>
      </c>
      <c r="B486" t="s">
        <v>47</v>
      </c>
      <c r="C486" t="s">
        <v>45</v>
      </c>
      <c r="D486" t="s">
        <v>59</v>
      </c>
      <c r="E486" s="1">
        <v>45673.936501266078</v>
      </c>
      <c r="F486" s="3">
        <v>404.89</v>
      </c>
      <c r="G486" s="5">
        <f t="shared" ca="1" si="14"/>
        <v>2.9861072400599369</v>
      </c>
      <c r="H486" t="str" cm="1">
        <f t="array" aca="1" ref="H486" ca="1">_xlfn.IFS(G486&lt;2,"Excellent handling",AND(G486&gt;2,G486&lt;4)," ",G486&gt;4,"Bad handling")</f>
        <v xml:space="preserve"> </v>
      </c>
      <c r="I486" t="str">
        <f t="shared" si="15"/>
        <v xml:space="preserve"> </v>
      </c>
    </row>
    <row r="487" spans="1:9" x14ac:dyDescent="0.3">
      <c r="A487" s="1">
        <v>45627.756086266389</v>
      </c>
      <c r="B487" t="s">
        <v>48</v>
      </c>
      <c r="C487" t="s">
        <v>45</v>
      </c>
      <c r="D487" t="s">
        <v>60</v>
      </c>
      <c r="E487" s="1">
        <v>45633.631306556643</v>
      </c>
      <c r="F487" s="3">
        <v>652.25</v>
      </c>
      <c r="G487" s="5">
        <f t="shared" ca="1" si="14"/>
        <v>5.8752202902542194</v>
      </c>
      <c r="H487" t="str" cm="1">
        <f t="array" aca="1" ref="H487" ca="1">_xlfn.IFS(G487&lt;2,"Excellent handling",AND(G487&gt;2,G487&lt;4)," ",G487&gt;4,"Bad handling")</f>
        <v>Bad handling</v>
      </c>
      <c r="I487" t="str">
        <f t="shared" si="15"/>
        <v>Weekend sale</v>
      </c>
    </row>
    <row r="488" spans="1:9" x14ac:dyDescent="0.3">
      <c r="A488" s="1">
        <v>45664.85333253452</v>
      </c>
      <c r="B488" t="s">
        <v>10</v>
      </c>
      <c r="C488" t="s">
        <v>8</v>
      </c>
      <c r="D488" t="s">
        <v>55</v>
      </c>
      <c r="E488" s="1">
        <v>45667.147997632033</v>
      </c>
      <c r="F488" s="3">
        <v>574.42999999999995</v>
      </c>
      <c r="G488" s="5">
        <f t="shared" ca="1" si="14"/>
        <v>2.2946650975136436</v>
      </c>
      <c r="H488" t="str" cm="1">
        <f t="array" aca="1" ref="H488" ca="1">_xlfn.IFS(G488&lt;2,"Excellent handling",AND(G488&gt;2,G488&lt;4)," ",G488&gt;4,"Bad handling")</f>
        <v xml:space="preserve"> </v>
      </c>
      <c r="I488" t="str">
        <f t="shared" si="15"/>
        <v xml:space="preserve"> </v>
      </c>
    </row>
    <row r="489" spans="1:9" x14ac:dyDescent="0.3">
      <c r="A489" s="1">
        <v>45635.568887660942</v>
      </c>
      <c r="B489" t="s">
        <v>43</v>
      </c>
      <c r="C489" t="s">
        <v>41</v>
      </c>
      <c r="D489" t="s">
        <v>57</v>
      </c>
      <c r="E489" s="1">
        <v>45637.313241355514</v>
      </c>
      <c r="F489" s="3">
        <v>773.54</v>
      </c>
      <c r="G489" s="5">
        <f t="shared" ca="1" si="14"/>
        <v>1.7443536945720552</v>
      </c>
      <c r="H489" t="str" cm="1">
        <f t="array" aca="1" ref="H489" ca="1">_xlfn.IFS(G489&lt;2,"Excellent handling",AND(G489&gt;2,G489&lt;4)," ",G489&gt;4,"Bad handling")</f>
        <v>Excellent handling</v>
      </c>
      <c r="I489" t="str">
        <f t="shared" si="15"/>
        <v xml:space="preserve"> </v>
      </c>
    </row>
    <row r="490" spans="1:9" x14ac:dyDescent="0.3">
      <c r="A490" s="1">
        <v>45687.658443012115</v>
      </c>
      <c r="B490" t="s">
        <v>27</v>
      </c>
      <c r="C490" t="s">
        <v>26</v>
      </c>
      <c r="D490" t="s">
        <v>55</v>
      </c>
      <c r="E490" s="1">
        <v>45690.180378830701</v>
      </c>
      <c r="F490" s="3">
        <v>502.85</v>
      </c>
      <c r="G490" s="5">
        <f t="shared" ca="1" si="14"/>
        <v>2.5219358185859164</v>
      </c>
      <c r="H490" t="str" cm="1">
        <f t="array" aca="1" ref="H490" ca="1">_xlfn.IFS(G490&lt;2,"Excellent handling",AND(G490&gt;2,G490&lt;4)," ",G490&gt;4,"Bad handling")</f>
        <v xml:space="preserve"> </v>
      </c>
      <c r="I490" t="str">
        <f t="shared" si="15"/>
        <v xml:space="preserve"> </v>
      </c>
    </row>
    <row r="491" spans="1:9" x14ac:dyDescent="0.3">
      <c r="A491" s="1">
        <v>45637.730816227362</v>
      </c>
      <c r="B491" t="s">
        <v>5</v>
      </c>
      <c r="C491" t="s">
        <v>2</v>
      </c>
      <c r="D491" t="s">
        <v>55</v>
      </c>
      <c r="E491" s="1">
        <v>45640.428132531451</v>
      </c>
      <c r="F491" s="3">
        <v>294.97000000000003</v>
      </c>
      <c r="G491" s="5">
        <f t="shared" ca="1" si="14"/>
        <v>2.6973163040893269</v>
      </c>
      <c r="H491" t="str" cm="1">
        <f t="array" aca="1" ref="H491" ca="1">_xlfn.IFS(G491&lt;2,"Excellent handling",AND(G491&gt;2,G491&lt;4)," ",G491&gt;4,"Bad handling")</f>
        <v xml:space="preserve"> </v>
      </c>
      <c r="I491" t="str">
        <f t="shared" si="15"/>
        <v xml:space="preserve"> </v>
      </c>
    </row>
    <row r="492" spans="1:9" x14ac:dyDescent="0.3">
      <c r="A492" s="1">
        <v>45631.107318077971</v>
      </c>
      <c r="B492" t="s">
        <v>4</v>
      </c>
      <c r="C492" t="s">
        <v>2</v>
      </c>
      <c r="D492" t="s">
        <v>60</v>
      </c>
      <c r="E492" s="1">
        <v>45633.015197262102</v>
      </c>
      <c r="F492" s="3">
        <v>602.32000000000005</v>
      </c>
      <c r="G492" s="5">
        <f t="shared" ca="1" si="14"/>
        <v>1.9078791841311613</v>
      </c>
      <c r="H492" t="str" cm="1">
        <f t="array" aca="1" ref="H492" ca="1">_xlfn.IFS(G492&lt;2,"Excellent handling",AND(G492&gt;2,G492&lt;4)," ",G492&gt;4,"Bad handling")</f>
        <v>Excellent handling</v>
      </c>
      <c r="I492" t="str">
        <f t="shared" si="15"/>
        <v xml:space="preserve"> </v>
      </c>
    </row>
    <row r="493" spans="1:9" x14ac:dyDescent="0.3">
      <c r="A493" s="1">
        <v>45633.906737491234</v>
      </c>
      <c r="B493" t="s">
        <v>21</v>
      </c>
      <c r="C493" t="s">
        <v>15</v>
      </c>
      <c r="D493" t="s">
        <v>60</v>
      </c>
      <c r="E493" s="1">
        <v>45636.29866241019</v>
      </c>
      <c r="F493" s="3">
        <v>43.1</v>
      </c>
      <c r="G493" s="5">
        <f t="shared" ca="1" si="14"/>
        <v>2.3919249189566472</v>
      </c>
      <c r="H493" t="str" cm="1">
        <f t="array" aca="1" ref="H493" ca="1">_xlfn.IFS(G493&lt;2,"Excellent handling",AND(G493&gt;2,G493&lt;4)," ",G493&gt;4,"Bad handling")</f>
        <v xml:space="preserve"> </v>
      </c>
      <c r="I493" t="str">
        <f t="shared" si="15"/>
        <v>Weekend sale</v>
      </c>
    </row>
    <row r="494" spans="1:9" x14ac:dyDescent="0.3">
      <c r="A494" s="1">
        <v>45685.383421253995</v>
      </c>
      <c r="B494" t="s">
        <v>28</v>
      </c>
      <c r="C494" t="s">
        <v>26</v>
      </c>
      <c r="D494" t="s">
        <v>60</v>
      </c>
      <c r="E494" s="1">
        <v>45688.168696212357</v>
      </c>
      <c r="F494" s="3">
        <v>153.71</v>
      </c>
      <c r="G494" s="5">
        <f t="shared" ca="1" si="14"/>
        <v>2.7852749583616969</v>
      </c>
      <c r="H494" t="str" cm="1">
        <f t="array" aca="1" ref="H494" ca="1">_xlfn.IFS(G494&lt;2,"Excellent handling",AND(G494&gt;2,G494&lt;4)," ",G494&gt;4,"Bad handling")</f>
        <v xml:space="preserve"> </v>
      </c>
      <c r="I494" t="str">
        <f t="shared" si="15"/>
        <v xml:space="preserve"> </v>
      </c>
    </row>
    <row r="495" spans="1:9" x14ac:dyDescent="0.3">
      <c r="A495" s="1">
        <v>45684.167343533278</v>
      </c>
      <c r="B495" t="s">
        <v>20</v>
      </c>
      <c r="C495" t="s">
        <v>15</v>
      </c>
      <c r="D495" t="s">
        <v>58</v>
      </c>
      <c r="E495" s="1">
        <v>45687.907773074832</v>
      </c>
      <c r="F495" s="3">
        <v>722</v>
      </c>
      <c r="G495" s="5">
        <f t="shared" ca="1" si="14"/>
        <v>3.7404295415544766</v>
      </c>
      <c r="H495" t="str" cm="1">
        <f t="array" aca="1" ref="H495" ca="1">_xlfn.IFS(G495&lt;2,"Excellent handling",AND(G495&gt;2,G495&lt;4)," ",G495&gt;4,"Bad handling")</f>
        <v xml:space="preserve"> </v>
      </c>
      <c r="I495" t="str">
        <f t="shared" si="15"/>
        <v xml:space="preserve"> </v>
      </c>
    </row>
    <row r="496" spans="1:9" x14ac:dyDescent="0.3">
      <c r="A496" s="1">
        <v>45663.30703400544</v>
      </c>
      <c r="B496" t="s">
        <v>6</v>
      </c>
      <c r="C496" t="s">
        <v>2</v>
      </c>
      <c r="D496" t="s">
        <v>58</v>
      </c>
      <c r="E496" s="1">
        <v>45663.418371350825</v>
      </c>
      <c r="F496" s="3">
        <v>252.9</v>
      </c>
      <c r="G496" s="5">
        <f t="shared" ca="1" si="14"/>
        <v>0.111337345384527</v>
      </c>
      <c r="H496" t="str" cm="1">
        <f t="array" aca="1" ref="H496" ca="1">_xlfn.IFS(G496&lt;2,"Excellent handling",AND(G496&gt;2,G496&lt;4)," ",G496&gt;4,"Bad handling")</f>
        <v>Excellent handling</v>
      </c>
      <c r="I496" t="str">
        <f t="shared" si="15"/>
        <v xml:space="preserve"> </v>
      </c>
    </row>
    <row r="497" spans="1:9" x14ac:dyDescent="0.3">
      <c r="A497" s="1">
        <v>45630.55960251818</v>
      </c>
      <c r="B497" t="s">
        <v>16</v>
      </c>
      <c r="C497" t="s">
        <v>15</v>
      </c>
      <c r="D497" t="s">
        <v>60</v>
      </c>
      <c r="E497" s="1">
        <v>45636.097820419556</v>
      </c>
      <c r="F497" s="3">
        <v>436.31</v>
      </c>
      <c r="G497" s="5">
        <f t="shared" ca="1" si="14"/>
        <v>5.5382179013759014</v>
      </c>
      <c r="H497" t="str" cm="1">
        <f t="array" aca="1" ref="H497" ca="1">_xlfn.IFS(G497&lt;2,"Excellent handling",AND(G497&gt;2,G497&lt;4)," ",G497&gt;4,"Bad handling")</f>
        <v>Bad handling</v>
      </c>
      <c r="I497" t="str">
        <f t="shared" si="15"/>
        <v xml:space="preserve"> </v>
      </c>
    </row>
    <row r="498" spans="1:9" x14ac:dyDescent="0.3">
      <c r="A498" s="1">
        <v>45688.353682932808</v>
      </c>
      <c r="B498" t="s">
        <v>21</v>
      </c>
      <c r="C498" t="s">
        <v>15</v>
      </c>
      <c r="D498" t="s">
        <v>60</v>
      </c>
      <c r="E498" s="1">
        <v>45693.714381667771</v>
      </c>
      <c r="F498" s="3">
        <v>93.45</v>
      </c>
      <c r="G498" s="5">
        <f t="shared" ca="1" si="14"/>
        <v>5.3606987349630799</v>
      </c>
      <c r="H498" t="str" cm="1">
        <f t="array" aca="1" ref="H498" ca="1">_xlfn.IFS(G498&lt;2,"Excellent handling",AND(G498&gt;2,G498&lt;4)," ",G498&gt;4,"Bad handling")</f>
        <v>Bad handling</v>
      </c>
      <c r="I498" t="str">
        <f t="shared" si="15"/>
        <v xml:space="preserve"> </v>
      </c>
    </row>
    <row r="499" spans="1:9" x14ac:dyDescent="0.3">
      <c r="A499" s="1">
        <v>45627.102546173657</v>
      </c>
      <c r="B499" t="s">
        <v>9</v>
      </c>
      <c r="C499" t="s">
        <v>8</v>
      </c>
      <c r="D499" t="s">
        <v>54</v>
      </c>
      <c r="E499" s="1" t="s">
        <v>64</v>
      </c>
      <c r="F499" s="3">
        <v>69.27</v>
      </c>
      <c r="G499" s="5">
        <f t="shared" ca="1" si="14"/>
        <v>427.89745382634283</v>
      </c>
      <c r="H499" t="str" cm="1">
        <f t="array" aca="1" ref="H499" ca="1">_xlfn.IFS(G499&lt;2,"Excellent handling",AND(G499&gt;2,G499&lt;4)," ",G499&gt;4,"Bad handling")</f>
        <v>Bad handling</v>
      </c>
      <c r="I499" t="str">
        <f t="shared" si="15"/>
        <v>Weekend sale</v>
      </c>
    </row>
    <row r="500" spans="1:9" x14ac:dyDescent="0.3">
      <c r="A500" s="1">
        <v>45656.839455006761</v>
      </c>
      <c r="B500" t="s">
        <v>40</v>
      </c>
      <c r="C500" t="s">
        <v>38</v>
      </c>
      <c r="D500" t="s">
        <v>53</v>
      </c>
      <c r="E500" s="1">
        <v>45660.074081061699</v>
      </c>
      <c r="F500" s="3">
        <v>366.55</v>
      </c>
      <c r="G500" s="5">
        <f t="shared" ca="1" si="14"/>
        <v>3.2346260549384169</v>
      </c>
      <c r="H500" t="str" cm="1">
        <f t="array" aca="1" ref="H500" ca="1">_xlfn.IFS(G500&lt;2,"Excellent handling",AND(G500&gt;2,G500&lt;4)," ",G500&gt;4,"Bad handling")</f>
        <v xml:space="preserve"> </v>
      </c>
      <c r="I500" t="str">
        <f t="shared" si="15"/>
        <v xml:space="preserve"> </v>
      </c>
    </row>
    <row r="501" spans="1:9" x14ac:dyDescent="0.3">
      <c r="A501" s="1">
        <v>45654.040664664579</v>
      </c>
      <c r="B501" t="s">
        <v>44</v>
      </c>
      <c r="C501" t="s">
        <v>41</v>
      </c>
      <c r="D501" t="s">
        <v>62</v>
      </c>
      <c r="E501" s="1">
        <v>45655.593947597692</v>
      </c>
      <c r="F501" s="3">
        <v>552.84</v>
      </c>
      <c r="G501" s="5">
        <f t="shared" ca="1" si="14"/>
        <v>1.5532829331132234</v>
      </c>
      <c r="H501" t="str" cm="1">
        <f t="array" aca="1" ref="H501" ca="1">_xlfn.IFS(G501&lt;2,"Excellent handling",AND(G501&gt;2,G501&lt;4)," ",G501&gt;4,"Bad handling")</f>
        <v>Excellent handling</v>
      </c>
      <c r="I501" t="str">
        <f t="shared" si="15"/>
        <v>Weekend sale</v>
      </c>
    </row>
    <row r="502" spans="1:9" x14ac:dyDescent="0.3">
      <c r="A502" s="1">
        <v>45669.12151011169</v>
      </c>
      <c r="B502" t="s">
        <v>19</v>
      </c>
      <c r="C502" t="s">
        <v>15</v>
      </c>
      <c r="D502" t="s">
        <v>58</v>
      </c>
      <c r="E502" s="1">
        <v>45671.678315006546</v>
      </c>
      <c r="F502" s="3">
        <v>363.1</v>
      </c>
      <c r="G502" s="5">
        <f t="shared" ca="1" si="14"/>
        <v>2.5568048948553042</v>
      </c>
      <c r="H502" t="str" cm="1">
        <f t="array" aca="1" ref="H502" ca="1">_xlfn.IFS(G502&lt;2,"Excellent handling",AND(G502&gt;2,G502&lt;4)," ",G502&gt;4,"Bad handling")</f>
        <v xml:space="preserve"> </v>
      </c>
      <c r="I502" t="str">
        <f t="shared" si="15"/>
        <v>Weekend sale</v>
      </c>
    </row>
    <row r="503" spans="1:9" x14ac:dyDescent="0.3">
      <c r="A503" s="1">
        <v>45639.071017821145</v>
      </c>
      <c r="B503" t="s">
        <v>27</v>
      </c>
      <c r="C503" t="s">
        <v>26</v>
      </c>
      <c r="D503" t="s">
        <v>55</v>
      </c>
      <c r="E503" s="1">
        <v>45640.704684698423</v>
      </c>
      <c r="F503" s="3">
        <v>208.88</v>
      </c>
      <c r="G503" s="5">
        <f t="shared" ca="1" si="14"/>
        <v>1.6336668772783014</v>
      </c>
      <c r="H503" t="str" cm="1">
        <f t="array" aca="1" ref="H503" ca="1">_xlfn.IFS(G503&lt;2,"Excellent handling",AND(G503&gt;2,G503&lt;4)," ",G503&gt;4,"Bad handling")</f>
        <v>Excellent handling</v>
      </c>
      <c r="I503" t="str">
        <f t="shared" si="15"/>
        <v xml:space="preserve"> </v>
      </c>
    </row>
    <row r="504" spans="1:9" x14ac:dyDescent="0.3">
      <c r="A504" s="1">
        <v>45658.649124599804</v>
      </c>
      <c r="B504" t="s">
        <v>21</v>
      </c>
      <c r="C504" t="s">
        <v>15</v>
      </c>
      <c r="D504" t="s">
        <v>60</v>
      </c>
      <c r="E504" s="1">
        <v>45659.836467805188</v>
      </c>
      <c r="F504" s="3">
        <v>539.07000000000005</v>
      </c>
      <c r="G504" s="5">
        <f t="shared" ca="1" si="14"/>
        <v>1.1873432053835131</v>
      </c>
      <c r="H504" t="str" cm="1">
        <f t="array" aca="1" ref="H504" ca="1">_xlfn.IFS(G504&lt;2,"Excellent handling",AND(G504&gt;2,G504&lt;4)," ",G504&gt;4,"Bad handling")</f>
        <v>Excellent handling</v>
      </c>
      <c r="I504" t="str">
        <f t="shared" si="15"/>
        <v xml:space="preserve"> </v>
      </c>
    </row>
    <row r="505" spans="1:9" x14ac:dyDescent="0.3">
      <c r="A505" s="1">
        <v>45655.223125047734</v>
      </c>
      <c r="B505" t="s">
        <v>37</v>
      </c>
      <c r="C505" t="s">
        <v>35</v>
      </c>
      <c r="D505" t="s">
        <v>60</v>
      </c>
      <c r="E505" s="1">
        <v>45659.976004866949</v>
      </c>
      <c r="F505" s="3">
        <v>72.41</v>
      </c>
      <c r="G505" s="5">
        <f t="shared" ca="1" si="14"/>
        <v>4.7528798192142858</v>
      </c>
      <c r="H505" t="str" cm="1">
        <f t="array" aca="1" ref="H505" ca="1">_xlfn.IFS(G505&lt;2,"Excellent handling",AND(G505&gt;2,G505&lt;4)," ",G505&gt;4,"Bad handling")</f>
        <v>Bad handling</v>
      </c>
      <c r="I505" t="str">
        <f t="shared" si="15"/>
        <v>Weekend sale</v>
      </c>
    </row>
    <row r="506" spans="1:9" x14ac:dyDescent="0.3">
      <c r="A506" s="1">
        <v>45631.24119993981</v>
      </c>
      <c r="B506" t="s">
        <v>11</v>
      </c>
      <c r="C506" t="s">
        <v>8</v>
      </c>
      <c r="D506" t="s">
        <v>57</v>
      </c>
      <c r="E506" s="1">
        <v>45632.006601796551</v>
      </c>
      <c r="F506" s="3">
        <v>158.12</v>
      </c>
      <c r="G506" s="5">
        <f t="shared" ca="1" si="14"/>
        <v>0.76540185674093664</v>
      </c>
      <c r="H506" t="str" cm="1">
        <f t="array" aca="1" ref="H506" ca="1">_xlfn.IFS(G506&lt;2,"Excellent handling",AND(G506&gt;2,G506&lt;4)," ",G506&gt;4,"Bad handling")</f>
        <v>Excellent handling</v>
      </c>
      <c r="I506" t="str">
        <f t="shared" si="15"/>
        <v xml:space="preserve"> </v>
      </c>
    </row>
    <row r="507" spans="1:9" x14ac:dyDescent="0.3">
      <c r="A507" s="1">
        <v>45672.888686307793</v>
      </c>
      <c r="B507" t="s">
        <v>7</v>
      </c>
      <c r="C507" t="s">
        <v>2</v>
      </c>
      <c r="D507" t="s">
        <v>54</v>
      </c>
      <c r="E507" s="1">
        <v>45677.336026095327</v>
      </c>
      <c r="F507" s="3">
        <v>365.72</v>
      </c>
      <c r="G507" s="5">
        <f t="shared" ca="1" si="14"/>
        <v>4.447339787533565</v>
      </c>
      <c r="H507" t="str" cm="1">
        <f t="array" aca="1" ref="H507" ca="1">_xlfn.IFS(G507&lt;2,"Excellent handling",AND(G507&gt;2,G507&lt;4)," ",G507&gt;4,"Bad handling")</f>
        <v>Bad handling</v>
      </c>
      <c r="I507" t="str">
        <f t="shared" si="15"/>
        <v xml:space="preserve"> </v>
      </c>
    </row>
    <row r="508" spans="1:9" x14ac:dyDescent="0.3">
      <c r="A508" s="1">
        <v>45694.902286740835</v>
      </c>
      <c r="B508" t="s">
        <v>46</v>
      </c>
      <c r="C508" t="s">
        <v>45</v>
      </c>
      <c r="D508" t="s">
        <v>59</v>
      </c>
      <c r="E508" s="1" t="s">
        <v>65</v>
      </c>
      <c r="F508" s="3">
        <v>748.9</v>
      </c>
      <c r="G508" s="5">
        <f t="shared" ca="1" si="14"/>
        <v>360.09771325916518</v>
      </c>
      <c r="H508" t="str" cm="1">
        <f t="array" aca="1" ref="H508" ca="1">_xlfn.IFS(G508&lt;2,"Excellent handling",AND(G508&gt;2,G508&lt;4)," ",G508&gt;4,"Bad handling")</f>
        <v>Bad handling</v>
      </c>
      <c r="I508" t="str">
        <f t="shared" si="15"/>
        <v xml:space="preserve"> </v>
      </c>
    </row>
    <row r="509" spans="1:9" x14ac:dyDescent="0.3">
      <c r="A509" s="1">
        <v>45693.605314856097</v>
      </c>
      <c r="B509" t="s">
        <v>10</v>
      </c>
      <c r="C509" t="s">
        <v>8</v>
      </c>
      <c r="D509" t="s">
        <v>55</v>
      </c>
      <c r="E509" s="1">
        <v>45695.342072510342</v>
      </c>
      <c r="F509" s="3">
        <v>29.91</v>
      </c>
      <c r="G509" s="5">
        <f t="shared" ca="1" si="14"/>
        <v>1.7367576542455936</v>
      </c>
      <c r="H509" t="str" cm="1">
        <f t="array" aca="1" ref="H509" ca="1">_xlfn.IFS(G509&lt;2,"Excellent handling",AND(G509&gt;2,G509&lt;4)," ",G509&gt;4,"Bad handling")</f>
        <v>Excellent handling</v>
      </c>
      <c r="I509" t="str">
        <f t="shared" si="15"/>
        <v xml:space="preserve"> </v>
      </c>
    </row>
    <row r="510" spans="1:9" x14ac:dyDescent="0.3">
      <c r="A510" s="1">
        <v>45663.124912921652</v>
      </c>
      <c r="B510" t="s">
        <v>43</v>
      </c>
      <c r="C510" t="s">
        <v>41</v>
      </c>
      <c r="D510" t="s">
        <v>57</v>
      </c>
      <c r="E510" s="1">
        <v>45664.959679368549</v>
      </c>
      <c r="F510" s="3">
        <v>467.73</v>
      </c>
      <c r="G510" s="5">
        <f t="shared" ca="1" si="14"/>
        <v>1.8347664468965377</v>
      </c>
      <c r="H510" t="str" cm="1">
        <f t="array" aca="1" ref="H510" ca="1">_xlfn.IFS(G510&lt;2,"Excellent handling",AND(G510&gt;2,G510&lt;4)," ",G510&gt;4,"Bad handling")</f>
        <v>Excellent handling</v>
      </c>
      <c r="I510" t="str">
        <f t="shared" si="15"/>
        <v xml:space="preserve"> </v>
      </c>
    </row>
    <row r="511" spans="1:9" x14ac:dyDescent="0.3">
      <c r="A511" s="1">
        <v>45684.97418177058</v>
      </c>
      <c r="B511" t="s">
        <v>47</v>
      </c>
      <c r="C511" t="s">
        <v>45</v>
      </c>
      <c r="D511" t="s">
        <v>59</v>
      </c>
      <c r="E511" s="1">
        <v>45686.691760488931</v>
      </c>
      <c r="F511" s="3">
        <v>479.64</v>
      </c>
      <c r="G511" s="5">
        <f t="shared" ca="1" si="14"/>
        <v>1.7175787183514331</v>
      </c>
      <c r="H511" t="str" cm="1">
        <f t="array" aca="1" ref="H511" ca="1">_xlfn.IFS(G511&lt;2,"Excellent handling",AND(G511&gt;2,G511&lt;4)," ",G511&gt;4,"Bad handling")</f>
        <v>Excellent handling</v>
      </c>
      <c r="I511" t="str">
        <f t="shared" si="15"/>
        <v xml:space="preserve"> </v>
      </c>
    </row>
    <row r="512" spans="1:9" x14ac:dyDescent="0.3">
      <c r="A512" s="1">
        <v>45630.039597521201</v>
      </c>
      <c r="B512" t="s">
        <v>42</v>
      </c>
      <c r="C512" t="s">
        <v>41</v>
      </c>
      <c r="D512" t="s">
        <v>56</v>
      </c>
      <c r="E512" s="1">
        <v>45635.995229397697</v>
      </c>
      <c r="F512" s="3">
        <v>145.35</v>
      </c>
      <c r="G512" s="5">
        <f t="shared" ca="1" si="14"/>
        <v>5.9556318764953176</v>
      </c>
      <c r="H512" t="str" cm="1">
        <f t="array" aca="1" ref="H512" ca="1">_xlfn.IFS(G512&lt;2,"Excellent handling",AND(G512&gt;2,G512&lt;4)," ",G512&gt;4,"Bad handling")</f>
        <v>Bad handling</v>
      </c>
      <c r="I512" t="str">
        <f t="shared" si="15"/>
        <v xml:space="preserve"> </v>
      </c>
    </row>
    <row r="513" spans="1:9" x14ac:dyDescent="0.3">
      <c r="A513" s="1">
        <v>45627.3506859345</v>
      </c>
      <c r="B513" t="s">
        <v>9</v>
      </c>
      <c r="C513" t="s">
        <v>8</v>
      </c>
      <c r="D513" t="s">
        <v>54</v>
      </c>
      <c r="E513" s="1">
        <v>45628.714722057914</v>
      </c>
      <c r="F513" s="3">
        <v>388.77</v>
      </c>
      <c r="G513" s="5">
        <f t="shared" ca="1" si="14"/>
        <v>1.3640361234138254</v>
      </c>
      <c r="H513" t="str" cm="1">
        <f t="array" aca="1" ref="H513" ca="1">_xlfn.IFS(G513&lt;2,"Excellent handling",AND(G513&gt;2,G513&lt;4)," ",G513&gt;4,"Bad handling")</f>
        <v>Excellent handling</v>
      </c>
      <c r="I513" t="str">
        <f t="shared" si="15"/>
        <v>Weekend sale</v>
      </c>
    </row>
    <row r="514" spans="1:9" x14ac:dyDescent="0.3">
      <c r="A514" s="1">
        <v>45659.376971912141</v>
      </c>
      <c r="B514" t="s">
        <v>19</v>
      </c>
      <c r="C514" t="s">
        <v>15</v>
      </c>
      <c r="D514" t="s">
        <v>58</v>
      </c>
      <c r="E514" s="1">
        <v>45661.665676057492</v>
      </c>
      <c r="F514" s="3">
        <v>532.32000000000005</v>
      </c>
      <c r="G514" s="5">
        <f t="shared" ca="1" si="14"/>
        <v>2.2887041453504935</v>
      </c>
      <c r="H514" t="str" cm="1">
        <f t="array" aca="1" ref="H514" ca="1">_xlfn.IFS(G514&lt;2,"Excellent handling",AND(G514&gt;2,G514&lt;4)," ",G514&gt;4,"Bad handling")</f>
        <v xml:space="preserve"> </v>
      </c>
      <c r="I514" t="str">
        <f t="shared" si="15"/>
        <v xml:space="preserve"> </v>
      </c>
    </row>
    <row r="515" spans="1:9" x14ac:dyDescent="0.3">
      <c r="A515" s="1">
        <v>45640.216339560044</v>
      </c>
      <c r="B515" t="s">
        <v>5</v>
      </c>
      <c r="C515" t="s">
        <v>2</v>
      </c>
      <c r="D515" t="s">
        <v>55</v>
      </c>
      <c r="E515" s="1">
        <v>45641.315972399883</v>
      </c>
      <c r="F515" s="3">
        <v>62.32</v>
      </c>
      <c r="G515" s="5">
        <f t="shared" ref="G515:G578" ca="1" si="16">IF(ISTEXT(E515),TODAY(),E515)-A515</f>
        <v>1.0996328398396145</v>
      </c>
      <c r="H515" t="str" cm="1">
        <f t="array" aca="1" ref="H515" ca="1">_xlfn.IFS(G515&lt;2,"Excellent handling",AND(G515&gt;2,G515&lt;4)," ",G515&gt;4,"Bad handling")</f>
        <v>Excellent handling</v>
      </c>
      <c r="I515" t="str">
        <f t="shared" ref="I515:I578" si="17">IF(OR(WEEKDAY(A515)=7,WEEKDAY(A515)=1),"Weekend sale"," ")</f>
        <v>Weekend sale</v>
      </c>
    </row>
    <row r="516" spans="1:9" x14ac:dyDescent="0.3">
      <c r="A516" s="1">
        <v>45679.827265126514</v>
      </c>
      <c r="B516" t="s">
        <v>24</v>
      </c>
      <c r="C516" t="s">
        <v>22</v>
      </c>
      <c r="D516" t="s">
        <v>54</v>
      </c>
      <c r="E516" s="1">
        <v>45683.398336521175</v>
      </c>
      <c r="F516" s="3">
        <v>739.71</v>
      </c>
      <c r="G516" s="5">
        <f t="shared" ca="1" si="16"/>
        <v>3.5710713946609758</v>
      </c>
      <c r="H516" t="str" cm="1">
        <f t="array" aca="1" ref="H516" ca="1">_xlfn.IFS(G516&lt;2,"Excellent handling",AND(G516&gt;2,G516&lt;4)," ",G516&gt;4,"Bad handling")</f>
        <v xml:space="preserve"> </v>
      </c>
      <c r="I516" t="str">
        <f t="shared" si="17"/>
        <v xml:space="preserve"> </v>
      </c>
    </row>
    <row r="517" spans="1:9" x14ac:dyDescent="0.3">
      <c r="A517" s="1">
        <v>45679.069072920232</v>
      </c>
      <c r="B517" t="s">
        <v>44</v>
      </c>
      <c r="C517" t="s">
        <v>41</v>
      </c>
      <c r="D517" t="s">
        <v>62</v>
      </c>
      <c r="E517" s="1">
        <v>45680.773683878171</v>
      </c>
      <c r="F517" s="3">
        <v>651.75</v>
      </c>
      <c r="G517" s="5">
        <f t="shared" ca="1" si="16"/>
        <v>1.7046109579387121</v>
      </c>
      <c r="H517" t="str" cm="1">
        <f t="array" aca="1" ref="H517" ca="1">_xlfn.IFS(G517&lt;2,"Excellent handling",AND(G517&gt;2,G517&lt;4)," ",G517&gt;4,"Bad handling")</f>
        <v>Excellent handling</v>
      </c>
      <c r="I517" t="str">
        <f t="shared" si="17"/>
        <v xml:space="preserve"> </v>
      </c>
    </row>
    <row r="518" spans="1:9" x14ac:dyDescent="0.3">
      <c r="A518" s="1">
        <v>45641.004855651612</v>
      </c>
      <c r="B518" t="s">
        <v>34</v>
      </c>
      <c r="C518" t="s">
        <v>30</v>
      </c>
      <c r="D518" t="s">
        <v>61</v>
      </c>
      <c r="E518" s="1">
        <v>45643.592248210582</v>
      </c>
      <c r="F518" s="3">
        <v>794.44</v>
      </c>
      <c r="G518" s="5">
        <f t="shared" ca="1" si="16"/>
        <v>2.5873925589694409</v>
      </c>
      <c r="H518" t="str" cm="1">
        <f t="array" aca="1" ref="H518" ca="1">_xlfn.IFS(G518&lt;2,"Excellent handling",AND(G518&gt;2,G518&lt;4)," ",G518&gt;4,"Bad handling")</f>
        <v xml:space="preserve"> </v>
      </c>
      <c r="I518" t="str">
        <f t="shared" si="17"/>
        <v>Weekend sale</v>
      </c>
    </row>
    <row r="519" spans="1:9" x14ac:dyDescent="0.3">
      <c r="A519" s="1">
        <v>45652.075799736944</v>
      </c>
      <c r="B519" t="s">
        <v>21</v>
      </c>
      <c r="C519" t="s">
        <v>15</v>
      </c>
      <c r="D519" t="s">
        <v>60</v>
      </c>
      <c r="E519" s="1">
        <v>45654.240212216733</v>
      </c>
      <c r="F519" s="3">
        <v>754.08</v>
      </c>
      <c r="G519" s="5">
        <f t="shared" ca="1" si="16"/>
        <v>2.1644124797894619</v>
      </c>
      <c r="H519" t="str" cm="1">
        <f t="array" aca="1" ref="H519" ca="1">_xlfn.IFS(G519&lt;2,"Excellent handling",AND(G519&gt;2,G519&lt;4)," ",G519&gt;4,"Bad handling")</f>
        <v xml:space="preserve"> </v>
      </c>
      <c r="I519" t="str">
        <f t="shared" si="17"/>
        <v xml:space="preserve"> </v>
      </c>
    </row>
    <row r="520" spans="1:9" x14ac:dyDescent="0.3">
      <c r="A520" s="1">
        <v>45667.222391823983</v>
      </c>
      <c r="B520" t="s">
        <v>34</v>
      </c>
      <c r="C520" t="s">
        <v>30</v>
      </c>
      <c r="D520" t="s">
        <v>61</v>
      </c>
      <c r="E520" s="1">
        <v>45668.849089269264</v>
      </c>
      <c r="F520" s="3">
        <v>638.08000000000004</v>
      </c>
      <c r="G520" s="5">
        <f t="shared" ca="1" si="16"/>
        <v>1.6266974452810246</v>
      </c>
      <c r="H520" t="str" cm="1">
        <f t="array" aca="1" ref="H520" ca="1">_xlfn.IFS(G520&lt;2,"Excellent handling",AND(G520&gt;2,G520&lt;4)," ",G520&gt;4,"Bad handling")</f>
        <v>Excellent handling</v>
      </c>
      <c r="I520" t="str">
        <f t="shared" si="17"/>
        <v xml:space="preserve"> </v>
      </c>
    </row>
    <row r="521" spans="1:9" x14ac:dyDescent="0.3">
      <c r="A521" s="1">
        <v>45690.975133185617</v>
      </c>
      <c r="B521" t="s">
        <v>29</v>
      </c>
      <c r="C521" t="s">
        <v>26</v>
      </c>
      <c r="D521" t="s">
        <v>61</v>
      </c>
      <c r="E521" s="1">
        <v>45691.475601354607</v>
      </c>
      <c r="F521" s="3">
        <v>90.18</v>
      </c>
      <c r="G521" s="5">
        <f t="shared" ca="1" si="16"/>
        <v>0.50046816898975521</v>
      </c>
      <c r="H521" t="str" cm="1">
        <f t="array" aca="1" ref="H521" ca="1">_xlfn.IFS(G521&lt;2,"Excellent handling",AND(G521&gt;2,G521&lt;4)," ",G521&gt;4,"Bad handling")</f>
        <v>Excellent handling</v>
      </c>
      <c r="I521" t="str">
        <f t="shared" si="17"/>
        <v>Weekend sale</v>
      </c>
    </row>
    <row r="522" spans="1:9" x14ac:dyDescent="0.3">
      <c r="A522" s="1">
        <v>45630.40657953651</v>
      </c>
      <c r="B522" t="s">
        <v>5</v>
      </c>
      <c r="C522" t="s">
        <v>2</v>
      </c>
      <c r="D522" t="s">
        <v>55</v>
      </c>
      <c r="E522" s="1">
        <v>45633.189514101075</v>
      </c>
      <c r="F522" s="3">
        <v>172.95</v>
      </c>
      <c r="G522" s="5">
        <f t="shared" ca="1" si="16"/>
        <v>2.7829345645659487</v>
      </c>
      <c r="H522" t="str" cm="1">
        <f t="array" aca="1" ref="H522" ca="1">_xlfn.IFS(G522&lt;2,"Excellent handling",AND(G522&gt;2,G522&lt;4)," ",G522&gt;4,"Bad handling")</f>
        <v xml:space="preserve"> </v>
      </c>
      <c r="I522" t="str">
        <f t="shared" si="17"/>
        <v xml:space="preserve"> </v>
      </c>
    </row>
    <row r="523" spans="1:9" x14ac:dyDescent="0.3">
      <c r="A523" s="1">
        <v>45693.817541463934</v>
      </c>
      <c r="B523" t="s">
        <v>36</v>
      </c>
      <c r="C523" t="s">
        <v>35</v>
      </c>
      <c r="D523" t="s">
        <v>55</v>
      </c>
      <c r="E523" s="1">
        <v>45696.780922759492</v>
      </c>
      <c r="F523" s="3">
        <v>112.85</v>
      </c>
      <c r="G523" s="5">
        <f t="shared" ca="1" si="16"/>
        <v>2.9633812955580652</v>
      </c>
      <c r="H523" t="str" cm="1">
        <f t="array" aca="1" ref="H523" ca="1">_xlfn.IFS(G523&lt;2,"Excellent handling",AND(G523&gt;2,G523&lt;4)," ",G523&gt;4,"Bad handling")</f>
        <v xml:space="preserve"> </v>
      </c>
      <c r="I523" t="str">
        <f t="shared" si="17"/>
        <v xml:space="preserve"> </v>
      </c>
    </row>
    <row r="524" spans="1:9" x14ac:dyDescent="0.3">
      <c r="A524" s="1">
        <v>45650.816949028012</v>
      </c>
      <c r="B524" t="s">
        <v>34</v>
      </c>
      <c r="C524" t="s">
        <v>30</v>
      </c>
      <c r="D524" t="s">
        <v>61</v>
      </c>
      <c r="E524" s="1">
        <v>45651.049408219274</v>
      </c>
      <c r="F524" s="3">
        <v>754.78</v>
      </c>
      <c r="G524" s="5">
        <f t="shared" ca="1" si="16"/>
        <v>0.23245919126202352</v>
      </c>
      <c r="H524" t="str" cm="1">
        <f t="array" aca="1" ref="H524" ca="1">_xlfn.IFS(G524&lt;2,"Excellent handling",AND(G524&gt;2,G524&lt;4)," ",G524&gt;4,"Bad handling")</f>
        <v>Excellent handling</v>
      </c>
      <c r="I524" t="str">
        <f t="shared" si="17"/>
        <v xml:space="preserve"> </v>
      </c>
    </row>
    <row r="525" spans="1:9" x14ac:dyDescent="0.3">
      <c r="A525" s="1">
        <v>45642.949629552786</v>
      </c>
      <c r="B525" t="s">
        <v>25</v>
      </c>
      <c r="C525" t="s">
        <v>22</v>
      </c>
      <c r="D525" t="s">
        <v>61</v>
      </c>
      <c r="E525" s="1">
        <v>45645.718592480393</v>
      </c>
      <c r="F525" s="3">
        <v>591.14</v>
      </c>
      <c r="G525" s="5">
        <f t="shared" ca="1" si="16"/>
        <v>2.7689629276064807</v>
      </c>
      <c r="H525" t="str" cm="1">
        <f t="array" aca="1" ref="H525" ca="1">_xlfn.IFS(G525&lt;2,"Excellent handling",AND(G525&gt;2,G525&lt;4)," ",G525&gt;4,"Bad handling")</f>
        <v xml:space="preserve"> </v>
      </c>
      <c r="I525" t="str">
        <f t="shared" si="17"/>
        <v xml:space="preserve"> </v>
      </c>
    </row>
    <row r="526" spans="1:9" x14ac:dyDescent="0.3">
      <c r="A526" s="1">
        <v>45663.489274162377</v>
      </c>
      <c r="B526" t="s">
        <v>47</v>
      </c>
      <c r="C526" t="s">
        <v>45</v>
      </c>
      <c r="D526" t="s">
        <v>59</v>
      </c>
      <c r="E526" s="1">
        <v>45665.127271065809</v>
      </c>
      <c r="F526" s="3">
        <v>602.39</v>
      </c>
      <c r="G526" s="5">
        <f t="shared" ca="1" si="16"/>
        <v>1.6379969034314854</v>
      </c>
      <c r="H526" t="str" cm="1">
        <f t="array" aca="1" ref="H526" ca="1">_xlfn.IFS(G526&lt;2,"Excellent handling",AND(G526&gt;2,G526&lt;4)," ",G526&gt;4,"Bad handling")</f>
        <v>Excellent handling</v>
      </c>
      <c r="I526" t="str">
        <f t="shared" si="17"/>
        <v xml:space="preserve"> </v>
      </c>
    </row>
    <row r="527" spans="1:9" x14ac:dyDescent="0.3">
      <c r="A527" s="1">
        <v>45668.901516870697</v>
      </c>
      <c r="B527" t="s">
        <v>25</v>
      </c>
      <c r="C527" t="s">
        <v>22</v>
      </c>
      <c r="D527" t="s">
        <v>61</v>
      </c>
      <c r="E527" s="1">
        <v>45671.131944951638</v>
      </c>
      <c r="F527" s="3">
        <v>357.35</v>
      </c>
      <c r="G527" s="5">
        <f t="shared" ca="1" si="16"/>
        <v>2.2304280809403281</v>
      </c>
      <c r="H527" t="str" cm="1">
        <f t="array" aca="1" ref="H527" ca="1">_xlfn.IFS(G527&lt;2,"Excellent handling",AND(G527&gt;2,G527&lt;4)," ",G527&gt;4,"Bad handling")</f>
        <v xml:space="preserve"> </v>
      </c>
      <c r="I527" t="str">
        <f t="shared" si="17"/>
        <v>Weekend sale</v>
      </c>
    </row>
    <row r="528" spans="1:9" x14ac:dyDescent="0.3">
      <c r="A528" s="1">
        <v>45685.151898781885</v>
      </c>
      <c r="B528" t="s">
        <v>32</v>
      </c>
      <c r="C528" t="s">
        <v>30</v>
      </c>
      <c r="D528" t="s">
        <v>58</v>
      </c>
      <c r="E528" s="1">
        <v>45687.857598230075</v>
      </c>
      <c r="F528" s="3">
        <v>783.9</v>
      </c>
      <c r="G528" s="5">
        <f t="shared" ca="1" si="16"/>
        <v>2.7056994481899892</v>
      </c>
      <c r="H528" t="str" cm="1">
        <f t="array" aca="1" ref="H528" ca="1">_xlfn.IFS(G528&lt;2,"Excellent handling",AND(G528&gt;2,G528&lt;4)," ",G528&gt;4,"Bad handling")</f>
        <v xml:space="preserve"> </v>
      </c>
      <c r="I528" t="str">
        <f t="shared" si="17"/>
        <v xml:space="preserve"> </v>
      </c>
    </row>
    <row r="529" spans="1:9" x14ac:dyDescent="0.3">
      <c r="A529" s="1">
        <v>45660.719541184124</v>
      </c>
      <c r="B529" t="s">
        <v>47</v>
      </c>
      <c r="C529" t="s">
        <v>45</v>
      </c>
      <c r="D529" t="s">
        <v>59</v>
      </c>
      <c r="E529" s="1">
        <v>45662.423125253059</v>
      </c>
      <c r="F529" s="3">
        <v>202.83</v>
      </c>
      <c r="G529" s="5">
        <f t="shared" ca="1" si="16"/>
        <v>1.7035840689350152</v>
      </c>
      <c r="H529" t="str" cm="1">
        <f t="array" aca="1" ref="H529" ca="1">_xlfn.IFS(G529&lt;2,"Excellent handling",AND(G529&gt;2,G529&lt;4)," ",G529&gt;4,"Bad handling")</f>
        <v>Excellent handling</v>
      </c>
      <c r="I529" t="str">
        <f t="shared" si="17"/>
        <v xml:space="preserve"> </v>
      </c>
    </row>
    <row r="530" spans="1:9" x14ac:dyDescent="0.3">
      <c r="A530" s="1">
        <v>45645.193381283934</v>
      </c>
      <c r="B530" t="s">
        <v>6</v>
      </c>
      <c r="C530" t="s">
        <v>2</v>
      </c>
      <c r="D530" t="s">
        <v>58</v>
      </c>
      <c r="E530" s="1">
        <v>45650.258709824971</v>
      </c>
      <c r="F530" s="3">
        <v>843.66</v>
      </c>
      <c r="G530" s="5">
        <f t="shared" ca="1" si="16"/>
        <v>5.0653285410371609</v>
      </c>
      <c r="H530" t="str" cm="1">
        <f t="array" aca="1" ref="H530" ca="1">_xlfn.IFS(G530&lt;2,"Excellent handling",AND(G530&gt;2,G530&lt;4)," ",G530&gt;4,"Bad handling")</f>
        <v>Bad handling</v>
      </c>
      <c r="I530" t="str">
        <f t="shared" si="17"/>
        <v xml:space="preserve"> </v>
      </c>
    </row>
    <row r="531" spans="1:9" x14ac:dyDescent="0.3">
      <c r="A531" s="1">
        <v>45693.632146598924</v>
      </c>
      <c r="B531" t="s">
        <v>29</v>
      </c>
      <c r="C531" t="s">
        <v>26</v>
      </c>
      <c r="D531" t="s">
        <v>61</v>
      </c>
      <c r="E531" s="1">
        <v>45694.857895577137</v>
      </c>
      <c r="F531" s="3">
        <v>801.5</v>
      </c>
      <c r="G531" s="5">
        <f t="shared" ca="1" si="16"/>
        <v>1.2257489782132325</v>
      </c>
      <c r="H531" t="str" cm="1">
        <f t="array" aca="1" ref="H531" ca="1">_xlfn.IFS(G531&lt;2,"Excellent handling",AND(G531&gt;2,G531&lt;4)," ",G531&gt;4,"Bad handling")</f>
        <v>Excellent handling</v>
      </c>
      <c r="I531" t="str">
        <f t="shared" si="17"/>
        <v xml:space="preserve"> </v>
      </c>
    </row>
    <row r="532" spans="1:9" x14ac:dyDescent="0.3">
      <c r="A532" s="1">
        <v>45646.604108472704</v>
      </c>
      <c r="B532" t="s">
        <v>5</v>
      </c>
      <c r="C532" t="s">
        <v>2</v>
      </c>
      <c r="D532" t="s">
        <v>55</v>
      </c>
      <c r="E532" s="1">
        <v>45650.416562097467</v>
      </c>
      <c r="F532" s="3">
        <v>676.16</v>
      </c>
      <c r="G532" s="5">
        <f t="shared" ca="1" si="16"/>
        <v>3.8124536247632932</v>
      </c>
      <c r="H532" t="str" cm="1">
        <f t="array" aca="1" ref="H532" ca="1">_xlfn.IFS(G532&lt;2,"Excellent handling",AND(G532&gt;2,G532&lt;4)," ",G532&gt;4,"Bad handling")</f>
        <v xml:space="preserve"> </v>
      </c>
      <c r="I532" t="str">
        <f t="shared" si="17"/>
        <v xml:space="preserve"> </v>
      </c>
    </row>
    <row r="533" spans="1:9" x14ac:dyDescent="0.3">
      <c r="A533" s="1">
        <v>45692.633102225067</v>
      </c>
      <c r="B533" t="s">
        <v>40</v>
      </c>
      <c r="C533" t="s">
        <v>38</v>
      </c>
      <c r="D533" t="s">
        <v>53</v>
      </c>
      <c r="E533" s="1">
        <v>45694.47689522936</v>
      </c>
      <c r="F533" s="3">
        <v>781.31</v>
      </c>
      <c r="G533" s="5">
        <f t="shared" ca="1" si="16"/>
        <v>1.8437930042928201</v>
      </c>
      <c r="H533" t="str" cm="1">
        <f t="array" aca="1" ref="H533" ca="1">_xlfn.IFS(G533&lt;2,"Excellent handling",AND(G533&gt;2,G533&lt;4)," ",G533&gt;4,"Bad handling")</f>
        <v>Excellent handling</v>
      </c>
      <c r="I533" t="str">
        <f t="shared" si="17"/>
        <v xml:space="preserve"> </v>
      </c>
    </row>
    <row r="534" spans="1:9" x14ac:dyDescent="0.3">
      <c r="A534" s="1">
        <v>45666.995385477152</v>
      </c>
      <c r="B534" t="s">
        <v>44</v>
      </c>
      <c r="C534" t="s">
        <v>41</v>
      </c>
      <c r="D534" t="s">
        <v>62</v>
      </c>
      <c r="E534" s="1">
        <v>45667.885854222979</v>
      </c>
      <c r="F534" s="3">
        <v>750.13</v>
      </c>
      <c r="G534" s="5">
        <f t="shared" ca="1" si="16"/>
        <v>0.89046874582709279</v>
      </c>
      <c r="H534" t="str" cm="1">
        <f t="array" aca="1" ref="H534" ca="1">_xlfn.IFS(G534&lt;2,"Excellent handling",AND(G534&gt;2,G534&lt;4)," ",G534&gt;4,"Bad handling")</f>
        <v>Excellent handling</v>
      </c>
      <c r="I534" t="str">
        <f t="shared" si="17"/>
        <v xml:space="preserve"> </v>
      </c>
    </row>
    <row r="535" spans="1:9" x14ac:dyDescent="0.3">
      <c r="A535" s="1">
        <v>45633.721026531828</v>
      </c>
      <c r="B535" t="s">
        <v>43</v>
      </c>
      <c r="C535" t="s">
        <v>41</v>
      </c>
      <c r="D535" t="s">
        <v>57</v>
      </c>
      <c r="E535" s="1">
        <v>45633.954932297544</v>
      </c>
      <c r="F535" s="3">
        <v>375.83</v>
      </c>
      <c r="G535" s="5">
        <f t="shared" ca="1" si="16"/>
        <v>0.23390576571546262</v>
      </c>
      <c r="H535" t="str" cm="1">
        <f t="array" aca="1" ref="H535" ca="1">_xlfn.IFS(G535&lt;2,"Excellent handling",AND(G535&gt;2,G535&lt;4)," ",G535&gt;4,"Bad handling")</f>
        <v>Excellent handling</v>
      </c>
      <c r="I535" t="str">
        <f t="shared" si="17"/>
        <v>Weekend sale</v>
      </c>
    </row>
    <row r="536" spans="1:9" x14ac:dyDescent="0.3">
      <c r="A536" s="1">
        <v>45694.483291317018</v>
      </c>
      <c r="B536" t="s">
        <v>27</v>
      </c>
      <c r="C536" t="s">
        <v>26</v>
      </c>
      <c r="D536" t="s">
        <v>55</v>
      </c>
      <c r="E536" s="1">
        <v>45695.695950256348</v>
      </c>
      <c r="F536" s="3">
        <v>444.32</v>
      </c>
      <c r="G536" s="5">
        <f t="shared" ca="1" si="16"/>
        <v>1.2126589393301401</v>
      </c>
      <c r="H536" t="str" cm="1">
        <f t="array" aca="1" ref="H536" ca="1">_xlfn.IFS(G536&lt;2,"Excellent handling",AND(G536&gt;2,G536&lt;4)," ",G536&gt;4,"Bad handling")</f>
        <v>Excellent handling</v>
      </c>
      <c r="I536" t="str">
        <f t="shared" si="17"/>
        <v xml:space="preserve"> </v>
      </c>
    </row>
    <row r="537" spans="1:9" x14ac:dyDescent="0.3">
      <c r="A537" s="1">
        <v>45655.882549233167</v>
      </c>
      <c r="B537" t="s">
        <v>16</v>
      </c>
      <c r="C537" t="s">
        <v>15</v>
      </c>
      <c r="D537" t="s">
        <v>60</v>
      </c>
      <c r="E537" s="1">
        <v>45657.38110037872</v>
      </c>
      <c r="F537" s="3">
        <v>546.91</v>
      </c>
      <c r="G537" s="5">
        <f t="shared" ca="1" si="16"/>
        <v>1.4985511455524829</v>
      </c>
      <c r="H537" t="str" cm="1">
        <f t="array" aca="1" ref="H537" ca="1">_xlfn.IFS(G537&lt;2,"Excellent handling",AND(G537&gt;2,G537&lt;4)," ",G537&gt;4,"Bad handling")</f>
        <v>Excellent handling</v>
      </c>
      <c r="I537" t="str">
        <f t="shared" si="17"/>
        <v>Weekend sale</v>
      </c>
    </row>
    <row r="538" spans="1:9" x14ac:dyDescent="0.3">
      <c r="A538" s="1">
        <v>45628.075532537849</v>
      </c>
      <c r="B538" t="s">
        <v>44</v>
      </c>
      <c r="C538" t="s">
        <v>41</v>
      </c>
      <c r="D538" t="s">
        <v>62</v>
      </c>
      <c r="E538" s="1">
        <v>45630.433897215502</v>
      </c>
      <c r="F538" s="3">
        <v>761.02</v>
      </c>
      <c r="G538" s="5">
        <f t="shared" ca="1" si="16"/>
        <v>2.3583646776532987</v>
      </c>
      <c r="H538" t="str" cm="1">
        <f t="array" aca="1" ref="H538" ca="1">_xlfn.IFS(G538&lt;2,"Excellent handling",AND(G538&gt;2,G538&lt;4)," ",G538&gt;4,"Bad handling")</f>
        <v xml:space="preserve"> </v>
      </c>
      <c r="I538" t="str">
        <f t="shared" si="17"/>
        <v xml:space="preserve"> </v>
      </c>
    </row>
    <row r="539" spans="1:9" x14ac:dyDescent="0.3">
      <c r="A539" s="1">
        <v>45651.289714358012</v>
      </c>
      <c r="B539" t="s">
        <v>42</v>
      </c>
      <c r="C539" t="s">
        <v>41</v>
      </c>
      <c r="D539" t="s">
        <v>56</v>
      </c>
      <c r="E539" s="1">
        <v>45656.759114746659</v>
      </c>
      <c r="F539" s="3">
        <v>305.93</v>
      </c>
      <c r="G539" s="5">
        <f t="shared" ca="1" si="16"/>
        <v>5.4694003886470455</v>
      </c>
      <c r="H539" t="str" cm="1">
        <f t="array" aca="1" ref="H539" ca="1">_xlfn.IFS(G539&lt;2,"Excellent handling",AND(G539&gt;2,G539&lt;4)," ",G539&gt;4,"Bad handling")</f>
        <v>Bad handling</v>
      </c>
      <c r="I539" t="str">
        <f t="shared" si="17"/>
        <v xml:space="preserve"> </v>
      </c>
    </row>
    <row r="540" spans="1:9" x14ac:dyDescent="0.3">
      <c r="A540" s="1">
        <v>45657.495226528692</v>
      </c>
      <c r="B540" t="s">
        <v>27</v>
      </c>
      <c r="C540" t="s">
        <v>26</v>
      </c>
      <c r="D540" t="s">
        <v>55</v>
      </c>
      <c r="E540" s="1">
        <v>45662.254672145049</v>
      </c>
      <c r="F540" s="3">
        <v>750.25</v>
      </c>
      <c r="G540" s="5">
        <f t="shared" ca="1" si="16"/>
        <v>4.7594456163569703</v>
      </c>
      <c r="H540" t="str" cm="1">
        <f t="array" aca="1" ref="H540" ca="1">_xlfn.IFS(G540&lt;2,"Excellent handling",AND(G540&gt;2,G540&lt;4)," ",G540&gt;4,"Bad handling")</f>
        <v>Bad handling</v>
      </c>
      <c r="I540" t="str">
        <f t="shared" si="17"/>
        <v xml:space="preserve"> </v>
      </c>
    </row>
    <row r="541" spans="1:9" x14ac:dyDescent="0.3">
      <c r="A541" s="1">
        <v>45679.281140081643</v>
      </c>
      <c r="B541" t="s">
        <v>23</v>
      </c>
      <c r="C541" t="s">
        <v>22</v>
      </c>
      <c r="D541" t="s">
        <v>61</v>
      </c>
      <c r="E541" s="1">
        <v>45682.259404530181</v>
      </c>
      <c r="F541" s="3">
        <v>591.34</v>
      </c>
      <c r="G541" s="5">
        <f t="shared" ca="1" si="16"/>
        <v>2.978264448538539</v>
      </c>
      <c r="H541" t="str" cm="1">
        <f t="array" aca="1" ref="H541" ca="1">_xlfn.IFS(G541&lt;2,"Excellent handling",AND(G541&gt;2,G541&lt;4)," ",G541&gt;4,"Bad handling")</f>
        <v xml:space="preserve"> </v>
      </c>
      <c r="I541" t="str">
        <f t="shared" si="17"/>
        <v xml:space="preserve"> </v>
      </c>
    </row>
    <row r="542" spans="1:9" x14ac:dyDescent="0.3">
      <c r="A542" s="1">
        <v>45627.169788158557</v>
      </c>
      <c r="B542" t="s">
        <v>29</v>
      </c>
      <c r="C542" t="s">
        <v>26</v>
      </c>
      <c r="D542" t="s">
        <v>61</v>
      </c>
      <c r="E542" s="1">
        <v>45631.177203778694</v>
      </c>
      <c r="F542" s="3">
        <v>232.3</v>
      </c>
      <c r="G542" s="5">
        <f t="shared" ca="1" si="16"/>
        <v>4.0074156201371807</v>
      </c>
      <c r="H542" t="str" cm="1">
        <f t="array" aca="1" ref="H542" ca="1">_xlfn.IFS(G542&lt;2,"Excellent handling",AND(G542&gt;2,G542&lt;4)," ",G542&gt;4,"Bad handling")</f>
        <v>Bad handling</v>
      </c>
      <c r="I542" t="str">
        <f t="shared" si="17"/>
        <v>Weekend sale</v>
      </c>
    </row>
    <row r="543" spans="1:9" x14ac:dyDescent="0.3">
      <c r="A543" s="1">
        <v>45695.345055010373</v>
      </c>
      <c r="B543" t="s">
        <v>5</v>
      </c>
      <c r="C543" t="s">
        <v>2</v>
      </c>
      <c r="D543" t="s">
        <v>55</v>
      </c>
      <c r="E543" s="1">
        <v>45696.55189078438</v>
      </c>
      <c r="F543" s="3">
        <v>499.24</v>
      </c>
      <c r="G543" s="5">
        <f t="shared" ca="1" si="16"/>
        <v>1.206835774006322</v>
      </c>
      <c r="H543" t="str" cm="1">
        <f t="array" aca="1" ref="H543" ca="1">_xlfn.IFS(G543&lt;2,"Excellent handling",AND(G543&gt;2,G543&lt;4)," ",G543&gt;4,"Bad handling")</f>
        <v>Excellent handling</v>
      </c>
      <c r="I543" t="str">
        <f t="shared" si="17"/>
        <v xml:space="preserve"> </v>
      </c>
    </row>
    <row r="544" spans="1:9" x14ac:dyDescent="0.3">
      <c r="A544" s="1">
        <v>45674.41327089163</v>
      </c>
      <c r="B544" t="s">
        <v>40</v>
      </c>
      <c r="C544" t="s">
        <v>38</v>
      </c>
      <c r="D544" t="s">
        <v>53</v>
      </c>
      <c r="E544" s="1">
        <v>45676.78029217849</v>
      </c>
      <c r="F544" s="3">
        <v>710.2</v>
      </c>
      <c r="G544" s="5">
        <f t="shared" ca="1" si="16"/>
        <v>2.3670212868601084</v>
      </c>
      <c r="H544" t="str" cm="1">
        <f t="array" aca="1" ref="H544" ca="1">_xlfn.IFS(G544&lt;2,"Excellent handling",AND(G544&gt;2,G544&lt;4)," ",G544&gt;4,"Bad handling")</f>
        <v xml:space="preserve"> </v>
      </c>
      <c r="I544" t="str">
        <f t="shared" si="17"/>
        <v xml:space="preserve"> </v>
      </c>
    </row>
    <row r="545" spans="1:9" x14ac:dyDescent="0.3">
      <c r="A545" s="1">
        <v>45661.696677630527</v>
      </c>
      <c r="B545" t="s">
        <v>11</v>
      </c>
      <c r="C545" t="s">
        <v>8</v>
      </c>
      <c r="D545" t="s">
        <v>57</v>
      </c>
      <c r="E545" s="1">
        <v>45665.111681355935</v>
      </c>
      <c r="F545" s="3">
        <v>57.93</v>
      </c>
      <c r="G545" s="5">
        <f t="shared" ca="1" si="16"/>
        <v>3.4150037254075869</v>
      </c>
      <c r="H545" t="str" cm="1">
        <f t="array" aca="1" ref="H545" ca="1">_xlfn.IFS(G545&lt;2,"Excellent handling",AND(G545&gt;2,G545&lt;4)," ",G545&gt;4,"Bad handling")</f>
        <v xml:space="preserve"> </v>
      </c>
      <c r="I545" t="str">
        <f t="shared" si="17"/>
        <v>Weekend sale</v>
      </c>
    </row>
    <row r="546" spans="1:9" x14ac:dyDescent="0.3">
      <c r="A546" s="1">
        <v>45642.298281832605</v>
      </c>
      <c r="B546" t="s">
        <v>39</v>
      </c>
      <c r="C546" t="s">
        <v>38</v>
      </c>
      <c r="D546" t="s">
        <v>57</v>
      </c>
      <c r="E546" s="1">
        <v>45644.138455236127</v>
      </c>
      <c r="F546" s="3">
        <v>591.79999999999995</v>
      </c>
      <c r="G546" s="5">
        <f t="shared" ca="1" si="16"/>
        <v>1.8401734035214758</v>
      </c>
      <c r="H546" t="str" cm="1">
        <f t="array" aca="1" ref="H546" ca="1">_xlfn.IFS(G546&lt;2,"Excellent handling",AND(G546&gt;2,G546&lt;4)," ",G546&gt;4,"Bad handling")</f>
        <v>Excellent handling</v>
      </c>
      <c r="I546" t="str">
        <f t="shared" si="17"/>
        <v xml:space="preserve"> </v>
      </c>
    </row>
    <row r="547" spans="1:9" x14ac:dyDescent="0.3">
      <c r="A547" s="1">
        <v>45658.943180066904</v>
      </c>
      <c r="B547" t="s">
        <v>29</v>
      </c>
      <c r="C547" t="s">
        <v>26</v>
      </c>
      <c r="D547" t="s">
        <v>61</v>
      </c>
      <c r="E547" s="1">
        <v>45661.726159564889</v>
      </c>
      <c r="F547" s="3">
        <v>54.82</v>
      </c>
      <c r="G547" s="5">
        <f t="shared" ca="1" si="16"/>
        <v>2.7829794979843427</v>
      </c>
      <c r="H547" t="str" cm="1">
        <f t="array" aca="1" ref="H547" ca="1">_xlfn.IFS(G547&lt;2,"Excellent handling",AND(G547&gt;2,G547&lt;4)," ",G547&gt;4,"Bad handling")</f>
        <v xml:space="preserve"> </v>
      </c>
      <c r="I547" t="str">
        <f t="shared" si="17"/>
        <v xml:space="preserve"> </v>
      </c>
    </row>
    <row r="548" spans="1:9" x14ac:dyDescent="0.3">
      <c r="A548" s="1">
        <v>45678.867545107998</v>
      </c>
      <c r="B548" t="s">
        <v>16</v>
      </c>
      <c r="C548" t="s">
        <v>15</v>
      </c>
      <c r="D548" t="s">
        <v>60</v>
      </c>
      <c r="E548" s="1">
        <v>45681.754010447599</v>
      </c>
      <c r="F548" s="3">
        <v>70.75</v>
      </c>
      <c r="G548" s="5">
        <f t="shared" ca="1" si="16"/>
        <v>2.8864653396012727</v>
      </c>
      <c r="H548" t="str" cm="1">
        <f t="array" aca="1" ref="H548" ca="1">_xlfn.IFS(G548&lt;2,"Excellent handling",AND(G548&gt;2,G548&lt;4)," ",G548&gt;4,"Bad handling")</f>
        <v xml:space="preserve"> </v>
      </c>
      <c r="I548" t="str">
        <f t="shared" si="17"/>
        <v xml:space="preserve"> </v>
      </c>
    </row>
    <row r="549" spans="1:9" x14ac:dyDescent="0.3">
      <c r="A549" s="1">
        <v>45666.065158895413</v>
      </c>
      <c r="B549" t="s">
        <v>42</v>
      </c>
      <c r="C549" t="s">
        <v>41</v>
      </c>
      <c r="D549" t="s">
        <v>56</v>
      </c>
      <c r="E549" s="1">
        <v>45667.532957392774</v>
      </c>
      <c r="F549" s="3">
        <v>445.18</v>
      </c>
      <c r="G549" s="5">
        <f t="shared" ca="1" si="16"/>
        <v>1.4677984973604907</v>
      </c>
      <c r="H549" t="str" cm="1">
        <f t="array" aca="1" ref="H549" ca="1">_xlfn.IFS(G549&lt;2,"Excellent handling",AND(G549&gt;2,G549&lt;4)," ",G549&gt;4,"Bad handling")</f>
        <v>Excellent handling</v>
      </c>
      <c r="I549" t="str">
        <f t="shared" si="17"/>
        <v xml:space="preserve"> </v>
      </c>
    </row>
    <row r="550" spans="1:9" x14ac:dyDescent="0.3">
      <c r="A550" s="1">
        <v>45682.842549861751</v>
      </c>
      <c r="B550" t="s">
        <v>34</v>
      </c>
      <c r="C550" t="s">
        <v>30</v>
      </c>
      <c r="D550" t="s">
        <v>61</v>
      </c>
      <c r="E550" s="1">
        <v>45685.060746225638</v>
      </c>
      <c r="F550" s="3">
        <v>87.18</v>
      </c>
      <c r="G550" s="5">
        <f t="shared" ca="1" si="16"/>
        <v>2.2181963638868183</v>
      </c>
      <c r="H550" t="str" cm="1">
        <f t="array" aca="1" ref="H550" ca="1">_xlfn.IFS(G550&lt;2,"Excellent handling",AND(G550&gt;2,G550&lt;4)," ",G550&gt;4,"Bad handling")</f>
        <v xml:space="preserve"> </v>
      </c>
      <c r="I550" t="str">
        <f t="shared" si="17"/>
        <v>Weekend sale</v>
      </c>
    </row>
    <row r="551" spans="1:9" x14ac:dyDescent="0.3">
      <c r="A551" s="1">
        <v>45655.882128088713</v>
      </c>
      <c r="B551" t="s">
        <v>27</v>
      </c>
      <c r="C551" t="s">
        <v>26</v>
      </c>
      <c r="D551" t="s">
        <v>55</v>
      </c>
      <c r="E551" s="1">
        <v>45658.188052045662</v>
      </c>
      <c r="F551" s="3">
        <v>743.88</v>
      </c>
      <c r="G551" s="5">
        <f t="shared" ca="1" si="16"/>
        <v>2.3059239569483907</v>
      </c>
      <c r="H551" t="str" cm="1">
        <f t="array" aca="1" ref="H551" ca="1">_xlfn.IFS(G551&lt;2,"Excellent handling",AND(G551&gt;2,G551&lt;4)," ",G551&gt;4,"Bad handling")</f>
        <v xml:space="preserve"> </v>
      </c>
      <c r="I551" t="str">
        <f t="shared" si="17"/>
        <v>Weekend sale</v>
      </c>
    </row>
    <row r="552" spans="1:9" x14ac:dyDescent="0.3">
      <c r="A552" s="1">
        <v>45687.992759077562</v>
      </c>
      <c r="B552" t="s">
        <v>12</v>
      </c>
      <c r="C552" t="s">
        <v>8</v>
      </c>
      <c r="D552" t="s">
        <v>56</v>
      </c>
      <c r="E552" s="1">
        <v>45689.608889308336</v>
      </c>
      <c r="F552" s="3">
        <v>761.74</v>
      </c>
      <c r="G552" s="5">
        <f t="shared" ca="1" si="16"/>
        <v>1.616130230773706</v>
      </c>
      <c r="H552" t="str" cm="1">
        <f t="array" aca="1" ref="H552" ca="1">_xlfn.IFS(G552&lt;2,"Excellent handling",AND(G552&gt;2,G552&lt;4)," ",G552&gt;4,"Bad handling")</f>
        <v>Excellent handling</v>
      </c>
      <c r="I552" t="str">
        <f t="shared" si="17"/>
        <v xml:space="preserve"> </v>
      </c>
    </row>
    <row r="553" spans="1:9" x14ac:dyDescent="0.3">
      <c r="A553" s="1">
        <v>45674.240590178604</v>
      </c>
      <c r="B553" t="s">
        <v>10</v>
      </c>
      <c r="C553" t="s">
        <v>8</v>
      </c>
      <c r="D553" t="s">
        <v>55</v>
      </c>
      <c r="E553" s="1">
        <v>45677.815464137428</v>
      </c>
      <c r="F553" s="3">
        <v>441.04</v>
      </c>
      <c r="G553" s="5">
        <f t="shared" ca="1" si="16"/>
        <v>3.5748739588234457</v>
      </c>
      <c r="H553" t="str" cm="1">
        <f t="array" aca="1" ref="H553" ca="1">_xlfn.IFS(G553&lt;2,"Excellent handling",AND(G553&gt;2,G553&lt;4)," ",G553&gt;4,"Bad handling")</f>
        <v xml:space="preserve"> </v>
      </c>
      <c r="I553" t="str">
        <f t="shared" si="17"/>
        <v xml:space="preserve"> </v>
      </c>
    </row>
    <row r="554" spans="1:9" x14ac:dyDescent="0.3">
      <c r="A554" s="1">
        <v>45650.855952565056</v>
      </c>
      <c r="B554" t="s">
        <v>27</v>
      </c>
      <c r="C554" t="s">
        <v>26</v>
      </c>
      <c r="D554" t="s">
        <v>55</v>
      </c>
      <c r="E554" s="1">
        <v>45653.726052859594</v>
      </c>
      <c r="F554" s="3">
        <v>158.9</v>
      </c>
      <c r="G554" s="5">
        <f t="shared" ca="1" si="16"/>
        <v>2.8701002945381333</v>
      </c>
      <c r="H554" t="str" cm="1">
        <f t="array" aca="1" ref="H554" ca="1">_xlfn.IFS(G554&lt;2,"Excellent handling",AND(G554&gt;2,G554&lt;4)," ",G554&gt;4,"Bad handling")</f>
        <v xml:space="preserve"> </v>
      </c>
      <c r="I554" t="str">
        <f t="shared" si="17"/>
        <v xml:space="preserve"> </v>
      </c>
    </row>
    <row r="555" spans="1:9" x14ac:dyDescent="0.3">
      <c r="A555" s="1">
        <v>45637.594497845719</v>
      </c>
      <c r="B555" t="s">
        <v>21</v>
      </c>
      <c r="C555" t="s">
        <v>15</v>
      </c>
      <c r="D555" t="s">
        <v>60</v>
      </c>
      <c r="E555" s="1" t="s">
        <v>66</v>
      </c>
      <c r="F555" s="3">
        <v>139.78</v>
      </c>
      <c r="G555" s="5">
        <f t="shared" ca="1" si="16"/>
        <v>417.40550215428084</v>
      </c>
      <c r="H555" t="str" cm="1">
        <f t="array" aca="1" ref="H555" ca="1">_xlfn.IFS(G555&lt;2,"Excellent handling",AND(G555&gt;2,G555&lt;4)," ",G555&gt;4,"Bad handling")</f>
        <v>Bad handling</v>
      </c>
      <c r="I555" t="str">
        <f t="shared" si="17"/>
        <v xml:space="preserve"> </v>
      </c>
    </row>
    <row r="556" spans="1:9" x14ac:dyDescent="0.3">
      <c r="A556" s="1">
        <v>45686.251674874853</v>
      </c>
      <c r="B556" t="s">
        <v>18</v>
      </c>
      <c r="C556" t="s">
        <v>15</v>
      </c>
      <c r="D556" t="s">
        <v>53</v>
      </c>
      <c r="E556" s="1">
        <v>45688.587832804937</v>
      </c>
      <c r="F556" s="3">
        <v>595.91</v>
      </c>
      <c r="G556" s="5">
        <f t="shared" ca="1" si="16"/>
        <v>2.3361579300835729</v>
      </c>
      <c r="H556" t="str" cm="1">
        <f t="array" aca="1" ref="H556" ca="1">_xlfn.IFS(G556&lt;2,"Excellent handling",AND(G556&gt;2,G556&lt;4)," ",G556&gt;4,"Bad handling")</f>
        <v xml:space="preserve"> </v>
      </c>
      <c r="I556" t="str">
        <f t="shared" si="17"/>
        <v xml:space="preserve"> </v>
      </c>
    </row>
    <row r="557" spans="1:9" x14ac:dyDescent="0.3">
      <c r="A557" s="1">
        <v>45681.124592355736</v>
      </c>
      <c r="B557" t="s">
        <v>42</v>
      </c>
      <c r="C557" t="s">
        <v>41</v>
      </c>
      <c r="D557" t="s">
        <v>56</v>
      </c>
      <c r="E557" s="1">
        <v>45681.988984122079</v>
      </c>
      <c r="F557" s="3">
        <v>749.07</v>
      </c>
      <c r="G557" s="5">
        <f t="shared" ca="1" si="16"/>
        <v>0.86439176634303294</v>
      </c>
      <c r="H557" t="str" cm="1">
        <f t="array" aca="1" ref="H557" ca="1">_xlfn.IFS(G557&lt;2,"Excellent handling",AND(G557&gt;2,G557&lt;4)," ",G557&gt;4,"Bad handling")</f>
        <v>Excellent handling</v>
      </c>
      <c r="I557" t="str">
        <f t="shared" si="17"/>
        <v xml:space="preserve"> </v>
      </c>
    </row>
    <row r="558" spans="1:9" x14ac:dyDescent="0.3">
      <c r="A558" s="1">
        <v>45663.722741140649</v>
      </c>
      <c r="B558" t="s">
        <v>7</v>
      </c>
      <c r="C558" t="s">
        <v>2</v>
      </c>
      <c r="D558" t="s">
        <v>54</v>
      </c>
      <c r="E558" s="1">
        <v>45666.233248195153</v>
      </c>
      <c r="F558" s="3">
        <v>87.93</v>
      </c>
      <c r="G558" s="5">
        <f t="shared" ca="1" si="16"/>
        <v>2.5105070545032504</v>
      </c>
      <c r="H558" t="str" cm="1">
        <f t="array" aca="1" ref="H558" ca="1">_xlfn.IFS(G558&lt;2,"Excellent handling",AND(G558&gt;2,G558&lt;4)," ",G558&gt;4,"Bad handling")</f>
        <v xml:space="preserve"> </v>
      </c>
      <c r="I558" t="str">
        <f t="shared" si="17"/>
        <v xml:space="preserve"> </v>
      </c>
    </row>
    <row r="559" spans="1:9" x14ac:dyDescent="0.3">
      <c r="A559" s="1">
        <v>45663.354310919967</v>
      </c>
      <c r="B559" t="s">
        <v>18</v>
      </c>
      <c r="C559" t="s">
        <v>15</v>
      </c>
      <c r="D559" t="s">
        <v>53</v>
      </c>
      <c r="E559" s="1">
        <v>45666.077348343279</v>
      </c>
      <c r="F559" s="3">
        <v>402.1</v>
      </c>
      <c r="G559" s="5">
        <f t="shared" ca="1" si="16"/>
        <v>2.7230374233113253</v>
      </c>
      <c r="H559" t="str" cm="1">
        <f t="array" aca="1" ref="H559" ca="1">_xlfn.IFS(G559&lt;2,"Excellent handling",AND(G559&gt;2,G559&lt;4)," ",G559&gt;4,"Bad handling")</f>
        <v xml:space="preserve"> </v>
      </c>
      <c r="I559" t="str">
        <f t="shared" si="17"/>
        <v xml:space="preserve"> </v>
      </c>
    </row>
    <row r="560" spans="1:9" x14ac:dyDescent="0.3">
      <c r="A560" s="1">
        <v>45627.12990269639</v>
      </c>
      <c r="B560" t="s">
        <v>32</v>
      </c>
      <c r="C560" t="s">
        <v>30</v>
      </c>
      <c r="D560" t="s">
        <v>58</v>
      </c>
      <c r="E560" s="1">
        <v>45628.280285457156</v>
      </c>
      <c r="F560" s="3">
        <v>668.05</v>
      </c>
      <c r="G560" s="5">
        <f t="shared" ca="1" si="16"/>
        <v>1.1503827607666608</v>
      </c>
      <c r="H560" t="str" cm="1">
        <f t="array" aca="1" ref="H560" ca="1">_xlfn.IFS(G560&lt;2,"Excellent handling",AND(G560&gt;2,G560&lt;4)," ",G560&gt;4,"Bad handling")</f>
        <v>Excellent handling</v>
      </c>
      <c r="I560" t="str">
        <f t="shared" si="17"/>
        <v>Weekend sale</v>
      </c>
    </row>
    <row r="561" spans="1:9" x14ac:dyDescent="0.3">
      <c r="A561" s="1">
        <v>45632.855623177849</v>
      </c>
      <c r="B561" t="s">
        <v>40</v>
      </c>
      <c r="C561" t="s">
        <v>38</v>
      </c>
      <c r="D561" t="s">
        <v>53</v>
      </c>
      <c r="E561" s="1">
        <v>45635.314713493302</v>
      </c>
      <c r="F561" s="3">
        <v>383.83</v>
      </c>
      <c r="G561" s="5">
        <f t="shared" ca="1" si="16"/>
        <v>2.4590903154530679</v>
      </c>
      <c r="H561" t="str" cm="1">
        <f t="array" aca="1" ref="H561" ca="1">_xlfn.IFS(G561&lt;2,"Excellent handling",AND(G561&gt;2,G561&lt;4)," ",G561&gt;4,"Bad handling")</f>
        <v xml:space="preserve"> </v>
      </c>
      <c r="I561" t="str">
        <f t="shared" si="17"/>
        <v xml:space="preserve"> </v>
      </c>
    </row>
    <row r="562" spans="1:9" x14ac:dyDescent="0.3">
      <c r="A562" s="1">
        <v>45677.026274118703</v>
      </c>
      <c r="B562" t="s">
        <v>27</v>
      </c>
      <c r="C562" t="s">
        <v>26</v>
      </c>
      <c r="D562" t="s">
        <v>55</v>
      </c>
      <c r="E562" s="1">
        <v>45679.05076478266</v>
      </c>
      <c r="F562" s="3">
        <v>515.08000000000004</v>
      </c>
      <c r="G562" s="5">
        <f t="shared" ca="1" si="16"/>
        <v>2.0244906639563851</v>
      </c>
      <c r="H562" t="str" cm="1">
        <f t="array" aca="1" ref="H562" ca="1">_xlfn.IFS(G562&lt;2,"Excellent handling",AND(G562&gt;2,G562&lt;4)," ",G562&gt;4,"Bad handling")</f>
        <v xml:space="preserve"> </v>
      </c>
      <c r="I562" t="str">
        <f t="shared" si="17"/>
        <v xml:space="preserve"> </v>
      </c>
    </row>
    <row r="563" spans="1:9" x14ac:dyDescent="0.3">
      <c r="A563" s="1">
        <v>45685.578401158062</v>
      </c>
      <c r="B563" t="s">
        <v>37</v>
      </c>
      <c r="C563" t="s">
        <v>35</v>
      </c>
      <c r="D563" t="s">
        <v>60</v>
      </c>
      <c r="E563" s="1">
        <v>45686.618896922031</v>
      </c>
      <c r="F563" s="3">
        <v>459.14</v>
      </c>
      <c r="G563" s="5">
        <f t="shared" ca="1" si="16"/>
        <v>1.0404957639693748</v>
      </c>
      <c r="H563" t="str" cm="1">
        <f t="array" aca="1" ref="H563" ca="1">_xlfn.IFS(G563&lt;2,"Excellent handling",AND(G563&gt;2,G563&lt;4)," ",G563&gt;4,"Bad handling")</f>
        <v>Excellent handling</v>
      </c>
      <c r="I563" t="str">
        <f t="shared" si="17"/>
        <v xml:space="preserve"> </v>
      </c>
    </row>
    <row r="564" spans="1:9" x14ac:dyDescent="0.3">
      <c r="A564" s="1">
        <v>45645.574809377526</v>
      </c>
      <c r="B564" t="s">
        <v>24</v>
      </c>
      <c r="C564" t="s">
        <v>22</v>
      </c>
      <c r="D564" t="s">
        <v>54</v>
      </c>
      <c r="E564" s="1">
        <v>45648.292717515258</v>
      </c>
      <c r="F564" s="3">
        <v>225.74</v>
      </c>
      <c r="G564" s="5">
        <f t="shared" ca="1" si="16"/>
        <v>2.7179081377325929</v>
      </c>
      <c r="H564" t="str" cm="1">
        <f t="array" aca="1" ref="H564" ca="1">_xlfn.IFS(G564&lt;2,"Excellent handling",AND(G564&gt;2,G564&lt;4)," ",G564&gt;4,"Bad handling")</f>
        <v xml:space="preserve"> </v>
      </c>
      <c r="I564" t="str">
        <f t="shared" si="17"/>
        <v xml:space="preserve"> </v>
      </c>
    </row>
    <row r="565" spans="1:9" x14ac:dyDescent="0.3">
      <c r="A565" s="1">
        <v>45662.919112419906</v>
      </c>
      <c r="B565" t="s">
        <v>6</v>
      </c>
      <c r="C565" t="s">
        <v>2</v>
      </c>
      <c r="D565" t="s">
        <v>58</v>
      </c>
      <c r="E565" s="1">
        <v>45664.005033016743</v>
      </c>
      <c r="F565" s="3">
        <v>191.95</v>
      </c>
      <c r="G565" s="5">
        <f t="shared" ca="1" si="16"/>
        <v>1.0859205968372407</v>
      </c>
      <c r="H565" t="str" cm="1">
        <f t="array" aca="1" ref="H565" ca="1">_xlfn.IFS(G565&lt;2,"Excellent handling",AND(G565&gt;2,G565&lt;4)," ",G565&gt;4,"Bad handling")</f>
        <v>Excellent handling</v>
      </c>
      <c r="I565" t="str">
        <f t="shared" si="17"/>
        <v>Weekend sale</v>
      </c>
    </row>
    <row r="566" spans="1:9" x14ac:dyDescent="0.3">
      <c r="A566" s="1">
        <v>45652.468786364865</v>
      </c>
      <c r="B566" t="s">
        <v>27</v>
      </c>
      <c r="C566" t="s">
        <v>26</v>
      </c>
      <c r="D566" t="s">
        <v>55</v>
      </c>
      <c r="E566" s="1">
        <v>45654.383910506876</v>
      </c>
      <c r="F566" s="3">
        <v>264.36</v>
      </c>
      <c r="G566" s="5">
        <f t="shared" ca="1" si="16"/>
        <v>1.9151241420113365</v>
      </c>
      <c r="H566" t="str" cm="1">
        <f t="array" aca="1" ref="H566" ca="1">_xlfn.IFS(G566&lt;2,"Excellent handling",AND(G566&gt;2,G566&lt;4)," ",G566&gt;4,"Bad handling")</f>
        <v>Excellent handling</v>
      </c>
      <c r="I566" t="str">
        <f t="shared" si="17"/>
        <v xml:space="preserve"> </v>
      </c>
    </row>
    <row r="567" spans="1:9" x14ac:dyDescent="0.3">
      <c r="A567" s="1">
        <v>45632.003219833045</v>
      </c>
      <c r="B567" t="s">
        <v>33</v>
      </c>
      <c r="C567" t="s">
        <v>30</v>
      </c>
      <c r="D567" t="s">
        <v>59</v>
      </c>
      <c r="E567" s="1">
        <v>45634.128412088525</v>
      </c>
      <c r="F567" s="3">
        <v>137.97999999999999</v>
      </c>
      <c r="G567" s="5">
        <f t="shared" ca="1" si="16"/>
        <v>2.125192255480215</v>
      </c>
      <c r="H567" t="str" cm="1">
        <f t="array" aca="1" ref="H567" ca="1">_xlfn.IFS(G567&lt;2,"Excellent handling",AND(G567&gt;2,G567&lt;4)," ",G567&gt;4,"Bad handling")</f>
        <v xml:space="preserve"> </v>
      </c>
      <c r="I567" t="str">
        <f t="shared" si="17"/>
        <v xml:space="preserve"> </v>
      </c>
    </row>
    <row r="568" spans="1:9" x14ac:dyDescent="0.3">
      <c r="A568" s="1">
        <v>45693.854064369109</v>
      </c>
      <c r="B568" t="s">
        <v>9</v>
      </c>
      <c r="C568" t="s">
        <v>8</v>
      </c>
      <c r="D568" t="s">
        <v>54</v>
      </c>
      <c r="E568" s="1">
        <v>45695.997576251866</v>
      </c>
      <c r="F568" s="3">
        <v>684.66</v>
      </c>
      <c r="G568" s="5">
        <f t="shared" ca="1" si="16"/>
        <v>2.1435118827575934</v>
      </c>
      <c r="H568" t="str" cm="1">
        <f t="array" aca="1" ref="H568" ca="1">_xlfn.IFS(G568&lt;2,"Excellent handling",AND(G568&gt;2,G568&lt;4)," ",G568&gt;4,"Bad handling")</f>
        <v xml:space="preserve"> </v>
      </c>
      <c r="I568" t="str">
        <f t="shared" si="17"/>
        <v xml:space="preserve"> </v>
      </c>
    </row>
    <row r="569" spans="1:9" x14ac:dyDescent="0.3">
      <c r="A569" s="1">
        <v>45659.437499980217</v>
      </c>
      <c r="B569" t="s">
        <v>18</v>
      </c>
      <c r="C569" t="s">
        <v>15</v>
      </c>
      <c r="D569" t="s">
        <v>53</v>
      </c>
      <c r="E569" s="1">
        <v>45661.053325924717</v>
      </c>
      <c r="F569" s="3">
        <v>104.69</v>
      </c>
      <c r="G569" s="5">
        <f t="shared" ca="1" si="16"/>
        <v>1.6158259445001022</v>
      </c>
      <c r="H569" t="str" cm="1">
        <f t="array" aca="1" ref="H569" ca="1">_xlfn.IFS(G569&lt;2,"Excellent handling",AND(G569&gt;2,G569&lt;4)," ",G569&gt;4,"Bad handling")</f>
        <v>Excellent handling</v>
      </c>
      <c r="I569" t="str">
        <f t="shared" si="17"/>
        <v xml:space="preserve"> </v>
      </c>
    </row>
    <row r="570" spans="1:9" x14ac:dyDescent="0.3">
      <c r="A570" s="1">
        <v>45673.490325280072</v>
      </c>
      <c r="B570" t="s">
        <v>42</v>
      </c>
      <c r="C570" t="s">
        <v>41</v>
      </c>
      <c r="D570" t="s">
        <v>56</v>
      </c>
      <c r="E570" s="1" t="s">
        <v>64</v>
      </c>
      <c r="F570" s="3">
        <v>110.57</v>
      </c>
      <c r="G570" s="5">
        <f t="shared" ca="1" si="16"/>
        <v>381.50967471992772</v>
      </c>
      <c r="H570" t="str" cm="1">
        <f t="array" aca="1" ref="H570" ca="1">_xlfn.IFS(G570&lt;2,"Excellent handling",AND(G570&gt;2,G570&lt;4)," ",G570&gt;4,"Bad handling")</f>
        <v>Bad handling</v>
      </c>
      <c r="I570" t="str">
        <f t="shared" si="17"/>
        <v xml:space="preserve"> </v>
      </c>
    </row>
    <row r="571" spans="1:9" x14ac:dyDescent="0.3">
      <c r="A571" s="1">
        <v>45659.891213478899</v>
      </c>
      <c r="B571" t="s">
        <v>14</v>
      </c>
      <c r="C571" t="s">
        <v>8</v>
      </c>
      <c r="D571" t="s">
        <v>54</v>
      </c>
      <c r="E571" s="1">
        <v>45662.174284913301</v>
      </c>
      <c r="F571" s="3">
        <v>362.65</v>
      </c>
      <c r="G571" s="5">
        <f t="shared" ca="1" si="16"/>
        <v>2.2830714344017906</v>
      </c>
      <c r="H571" t="str" cm="1">
        <f t="array" aca="1" ref="H571" ca="1">_xlfn.IFS(G571&lt;2,"Excellent handling",AND(G571&gt;2,G571&lt;4)," ",G571&gt;4,"Bad handling")</f>
        <v xml:space="preserve"> </v>
      </c>
      <c r="I571" t="str">
        <f t="shared" si="17"/>
        <v xml:space="preserve"> </v>
      </c>
    </row>
    <row r="572" spans="1:9" x14ac:dyDescent="0.3">
      <c r="A572" s="1">
        <v>45656.350715548469</v>
      </c>
      <c r="B572" t="s">
        <v>17</v>
      </c>
      <c r="C572" t="s">
        <v>15</v>
      </c>
      <c r="D572" t="s">
        <v>54</v>
      </c>
      <c r="E572" s="1">
        <v>45657.035251264308</v>
      </c>
      <c r="F572" s="3">
        <v>726.57</v>
      </c>
      <c r="G572" s="5">
        <f t="shared" ca="1" si="16"/>
        <v>0.68453571583813755</v>
      </c>
      <c r="H572" t="str" cm="1">
        <f t="array" aca="1" ref="H572" ca="1">_xlfn.IFS(G572&lt;2,"Excellent handling",AND(G572&gt;2,G572&lt;4)," ",G572&gt;4,"Bad handling")</f>
        <v>Excellent handling</v>
      </c>
      <c r="I572" t="str">
        <f t="shared" si="17"/>
        <v xml:space="preserve"> </v>
      </c>
    </row>
    <row r="573" spans="1:9" x14ac:dyDescent="0.3">
      <c r="A573" s="1">
        <v>45695.383116318859</v>
      </c>
      <c r="B573" t="s">
        <v>21</v>
      </c>
      <c r="C573" t="s">
        <v>15</v>
      </c>
      <c r="D573" t="s">
        <v>60</v>
      </c>
      <c r="E573" s="1">
        <v>45697.981512213686</v>
      </c>
      <c r="F573" s="3">
        <v>769.17</v>
      </c>
      <c r="G573" s="5">
        <f t="shared" ca="1" si="16"/>
        <v>2.598395894827263</v>
      </c>
      <c r="H573" t="str" cm="1">
        <f t="array" aca="1" ref="H573" ca="1">_xlfn.IFS(G573&lt;2,"Excellent handling",AND(G573&gt;2,G573&lt;4)," ",G573&gt;4,"Bad handling")</f>
        <v xml:space="preserve"> </v>
      </c>
      <c r="I573" t="str">
        <f t="shared" si="17"/>
        <v xml:space="preserve"> </v>
      </c>
    </row>
    <row r="574" spans="1:9" x14ac:dyDescent="0.3">
      <c r="A574" s="1">
        <v>45647.224894261104</v>
      </c>
      <c r="B574" t="s">
        <v>27</v>
      </c>
      <c r="C574" t="s">
        <v>26</v>
      </c>
      <c r="D574" t="s">
        <v>55</v>
      </c>
      <c r="E574" s="1">
        <v>45648.949546115276</v>
      </c>
      <c r="F574" s="3">
        <v>340.22</v>
      </c>
      <c r="G574" s="5">
        <f t="shared" ca="1" si="16"/>
        <v>1.7246518541724072</v>
      </c>
      <c r="H574" t="str" cm="1">
        <f t="array" aca="1" ref="H574" ca="1">_xlfn.IFS(G574&lt;2,"Excellent handling",AND(G574&gt;2,G574&lt;4)," ",G574&gt;4,"Bad handling")</f>
        <v>Excellent handling</v>
      </c>
      <c r="I574" t="str">
        <f t="shared" si="17"/>
        <v>Weekend sale</v>
      </c>
    </row>
    <row r="575" spans="1:9" x14ac:dyDescent="0.3">
      <c r="A575" s="1">
        <v>45641.227870796691</v>
      </c>
      <c r="B575" t="s">
        <v>5</v>
      </c>
      <c r="C575" t="s">
        <v>2</v>
      </c>
      <c r="D575" t="s">
        <v>55</v>
      </c>
      <c r="E575" s="1">
        <v>45643.849171884358</v>
      </c>
      <c r="F575" s="3">
        <v>281.55</v>
      </c>
      <c r="G575" s="5">
        <f t="shared" ca="1" si="16"/>
        <v>2.6213010876672342</v>
      </c>
      <c r="H575" t="str" cm="1">
        <f t="array" aca="1" ref="H575" ca="1">_xlfn.IFS(G575&lt;2,"Excellent handling",AND(G575&gt;2,G575&lt;4)," ",G575&gt;4,"Bad handling")</f>
        <v xml:space="preserve"> </v>
      </c>
      <c r="I575" t="str">
        <f t="shared" si="17"/>
        <v>Weekend sale</v>
      </c>
    </row>
    <row r="576" spans="1:9" x14ac:dyDescent="0.3">
      <c r="A576" s="1">
        <v>45651.715839906887</v>
      </c>
      <c r="B576" t="s">
        <v>3</v>
      </c>
      <c r="C576" t="s">
        <v>2</v>
      </c>
      <c r="D576" t="s">
        <v>54</v>
      </c>
      <c r="E576" s="1">
        <v>45654.014608140591</v>
      </c>
      <c r="F576" s="3">
        <v>762.44</v>
      </c>
      <c r="G576" s="5">
        <f t="shared" ca="1" si="16"/>
        <v>2.2987682337043225</v>
      </c>
      <c r="H576" t="str" cm="1">
        <f t="array" aca="1" ref="H576" ca="1">_xlfn.IFS(G576&lt;2,"Excellent handling",AND(G576&gt;2,G576&lt;4)," ",G576&gt;4,"Bad handling")</f>
        <v xml:space="preserve"> </v>
      </c>
      <c r="I576" t="str">
        <f t="shared" si="17"/>
        <v xml:space="preserve"> </v>
      </c>
    </row>
    <row r="577" spans="1:9" x14ac:dyDescent="0.3">
      <c r="A577" s="1">
        <v>45684.456636946372</v>
      </c>
      <c r="B577" t="s">
        <v>7</v>
      </c>
      <c r="C577" t="s">
        <v>2</v>
      </c>
      <c r="D577" t="s">
        <v>54</v>
      </c>
      <c r="E577" s="1">
        <v>45684.641290591004</v>
      </c>
      <c r="F577" s="3">
        <v>355.06</v>
      </c>
      <c r="G577" s="5">
        <f t="shared" ca="1" si="16"/>
        <v>0.18465364463190781</v>
      </c>
      <c r="H577" t="str" cm="1">
        <f t="array" aca="1" ref="H577" ca="1">_xlfn.IFS(G577&lt;2,"Excellent handling",AND(G577&gt;2,G577&lt;4)," ",G577&gt;4,"Bad handling")</f>
        <v>Excellent handling</v>
      </c>
      <c r="I577" t="str">
        <f t="shared" si="17"/>
        <v xml:space="preserve"> </v>
      </c>
    </row>
    <row r="578" spans="1:9" x14ac:dyDescent="0.3">
      <c r="A578" s="1">
        <v>45661.271224821881</v>
      </c>
      <c r="B578" t="s">
        <v>49</v>
      </c>
      <c r="C578" t="s">
        <v>45</v>
      </c>
      <c r="D578" t="s">
        <v>60</v>
      </c>
      <c r="E578" s="1" t="s">
        <v>66</v>
      </c>
      <c r="F578" s="3">
        <v>50.79</v>
      </c>
      <c r="G578" s="5">
        <f t="shared" ca="1" si="16"/>
        <v>393.72877517811867</v>
      </c>
      <c r="H578" t="str" cm="1">
        <f t="array" aca="1" ref="H578" ca="1">_xlfn.IFS(G578&lt;2,"Excellent handling",AND(G578&gt;2,G578&lt;4)," ",G578&gt;4,"Bad handling")</f>
        <v>Bad handling</v>
      </c>
      <c r="I578" t="str">
        <f t="shared" si="17"/>
        <v>Weekend sale</v>
      </c>
    </row>
    <row r="579" spans="1:9" x14ac:dyDescent="0.3">
      <c r="A579" s="1">
        <v>45629.969439793065</v>
      </c>
      <c r="B579" t="s">
        <v>37</v>
      </c>
      <c r="C579" t="s">
        <v>35</v>
      </c>
      <c r="D579" t="s">
        <v>60</v>
      </c>
      <c r="E579" s="1" t="s">
        <v>64</v>
      </c>
      <c r="F579" s="3">
        <v>660.59</v>
      </c>
      <c r="G579" s="5">
        <f t="shared" ref="G579:G630" ca="1" si="18">IF(ISTEXT(E579),TODAY(),E579)-A579</f>
        <v>425.03056020693475</v>
      </c>
      <c r="H579" t="str" cm="1">
        <f t="array" aca="1" ref="H579" ca="1">_xlfn.IFS(G579&lt;2,"Excellent handling",AND(G579&gt;2,G579&lt;4)," ",G579&gt;4,"Bad handling")</f>
        <v>Bad handling</v>
      </c>
      <c r="I579" t="str">
        <f t="shared" ref="I579:I630" si="19">IF(OR(WEEKDAY(A579)=7,WEEKDAY(A579)=1),"Weekend sale"," ")</f>
        <v xml:space="preserve"> </v>
      </c>
    </row>
    <row r="580" spans="1:9" x14ac:dyDescent="0.3">
      <c r="A580" s="1">
        <v>45677.989496379887</v>
      </c>
      <c r="B580" t="s">
        <v>33</v>
      </c>
      <c r="C580" t="s">
        <v>30</v>
      </c>
      <c r="D580" t="s">
        <v>59</v>
      </c>
      <c r="E580" s="1">
        <v>45678.011003287698</v>
      </c>
      <c r="F580" s="3">
        <v>310.04000000000002</v>
      </c>
      <c r="G580" s="5">
        <f t="shared" ca="1" si="18"/>
        <v>2.1506907811271958E-2</v>
      </c>
      <c r="H580" t="str" cm="1">
        <f t="array" aca="1" ref="H580" ca="1">_xlfn.IFS(G580&lt;2,"Excellent handling",AND(G580&gt;2,G580&lt;4)," ",G580&gt;4,"Bad handling")</f>
        <v>Excellent handling</v>
      </c>
      <c r="I580" t="str">
        <f t="shared" si="19"/>
        <v xml:space="preserve"> </v>
      </c>
    </row>
    <row r="581" spans="1:9" x14ac:dyDescent="0.3">
      <c r="A581" s="1">
        <v>45647.243098208462</v>
      </c>
      <c r="B581" t="s">
        <v>9</v>
      </c>
      <c r="C581" t="s">
        <v>8</v>
      </c>
      <c r="D581" t="s">
        <v>54</v>
      </c>
      <c r="E581" s="1">
        <v>45650.117590971779</v>
      </c>
      <c r="F581" s="3">
        <v>395.34</v>
      </c>
      <c r="G581" s="5">
        <f t="shared" ca="1" si="18"/>
        <v>2.8744927633160842</v>
      </c>
      <c r="H581" t="str" cm="1">
        <f t="array" aca="1" ref="H581" ca="1">_xlfn.IFS(G581&lt;2,"Excellent handling",AND(G581&gt;2,G581&lt;4)," ",G581&gt;4,"Bad handling")</f>
        <v xml:space="preserve"> </v>
      </c>
      <c r="I581" t="str">
        <f t="shared" si="19"/>
        <v>Weekend sale</v>
      </c>
    </row>
    <row r="582" spans="1:9" x14ac:dyDescent="0.3">
      <c r="A582" s="1">
        <v>45687.805495480774</v>
      </c>
      <c r="B582" t="s">
        <v>27</v>
      </c>
      <c r="C582" t="s">
        <v>26</v>
      </c>
      <c r="D582" t="s">
        <v>55</v>
      </c>
      <c r="E582" s="1">
        <v>45688.619943936319</v>
      </c>
      <c r="F582" s="3">
        <v>219.87</v>
      </c>
      <c r="G582" s="5">
        <f t="shared" ca="1" si="18"/>
        <v>0.81444845554506173</v>
      </c>
      <c r="H582" t="str" cm="1">
        <f t="array" aca="1" ref="H582" ca="1">_xlfn.IFS(G582&lt;2,"Excellent handling",AND(G582&gt;2,G582&lt;4)," ",G582&gt;4,"Bad handling")</f>
        <v>Excellent handling</v>
      </c>
      <c r="I582" t="str">
        <f t="shared" si="19"/>
        <v xml:space="preserve"> </v>
      </c>
    </row>
    <row r="583" spans="1:9" x14ac:dyDescent="0.3">
      <c r="A583" s="1">
        <v>45690.709915602696</v>
      </c>
      <c r="B583" t="s">
        <v>25</v>
      </c>
      <c r="C583" t="s">
        <v>22</v>
      </c>
      <c r="D583" t="s">
        <v>61</v>
      </c>
      <c r="E583" s="1">
        <v>45692.164004609367</v>
      </c>
      <c r="F583" s="3">
        <v>66.31</v>
      </c>
      <c r="G583" s="5">
        <f t="shared" ca="1" si="18"/>
        <v>1.4540890066709835</v>
      </c>
      <c r="H583" t="str" cm="1">
        <f t="array" aca="1" ref="H583" ca="1">_xlfn.IFS(G583&lt;2,"Excellent handling",AND(G583&gt;2,G583&lt;4)," ",G583&gt;4,"Bad handling")</f>
        <v>Excellent handling</v>
      </c>
      <c r="I583" t="str">
        <f t="shared" si="19"/>
        <v>Weekend sale</v>
      </c>
    </row>
    <row r="584" spans="1:9" x14ac:dyDescent="0.3">
      <c r="A584" s="1">
        <v>45694.174197575834</v>
      </c>
      <c r="B584" t="s">
        <v>14</v>
      </c>
      <c r="C584" t="s">
        <v>8</v>
      </c>
      <c r="D584" t="s">
        <v>54</v>
      </c>
      <c r="E584" s="1">
        <v>45696.714005426657</v>
      </c>
      <c r="F584" s="3">
        <v>227.99</v>
      </c>
      <c r="G584" s="5">
        <f t="shared" ca="1" si="18"/>
        <v>2.5398078508223989</v>
      </c>
      <c r="H584" t="str" cm="1">
        <f t="array" aca="1" ref="H584" ca="1">_xlfn.IFS(G584&lt;2,"Excellent handling",AND(G584&gt;2,G584&lt;4)," ",G584&gt;4,"Bad handling")</f>
        <v xml:space="preserve"> </v>
      </c>
      <c r="I584" t="str">
        <f t="shared" si="19"/>
        <v xml:space="preserve"> </v>
      </c>
    </row>
    <row r="585" spans="1:9" x14ac:dyDescent="0.3">
      <c r="A585" s="1">
        <v>45629.161190323022</v>
      </c>
      <c r="B585" t="s">
        <v>24</v>
      </c>
      <c r="C585" t="s">
        <v>22</v>
      </c>
      <c r="D585" t="s">
        <v>54</v>
      </c>
      <c r="E585" s="1">
        <v>45632.100369008112</v>
      </c>
      <c r="F585" s="3">
        <v>485.67</v>
      </c>
      <c r="G585" s="5">
        <f t="shared" ca="1" si="18"/>
        <v>2.9391786850901553</v>
      </c>
      <c r="H585" t="str" cm="1">
        <f t="array" aca="1" ref="H585" ca="1">_xlfn.IFS(G585&lt;2,"Excellent handling",AND(G585&gt;2,G585&lt;4)," ",G585&gt;4,"Bad handling")</f>
        <v xml:space="preserve"> </v>
      </c>
      <c r="I585" t="str">
        <f t="shared" si="19"/>
        <v xml:space="preserve"> </v>
      </c>
    </row>
    <row r="586" spans="1:9" x14ac:dyDescent="0.3">
      <c r="A586" s="1">
        <v>45664.315798489835</v>
      </c>
      <c r="B586" t="s">
        <v>42</v>
      </c>
      <c r="C586" t="s">
        <v>41</v>
      </c>
      <c r="D586" t="s">
        <v>56</v>
      </c>
      <c r="E586" s="1">
        <v>45667.382265287219</v>
      </c>
      <c r="F586" s="3">
        <v>622.39</v>
      </c>
      <c r="G586" s="5">
        <f t="shared" ca="1" si="18"/>
        <v>3.0664667973833275</v>
      </c>
      <c r="H586" t="str" cm="1">
        <f t="array" aca="1" ref="H586" ca="1">_xlfn.IFS(G586&lt;2,"Excellent handling",AND(G586&gt;2,G586&lt;4)," ",G586&gt;4,"Bad handling")</f>
        <v xml:space="preserve"> </v>
      </c>
      <c r="I586" t="str">
        <f t="shared" si="19"/>
        <v xml:space="preserve"> </v>
      </c>
    </row>
    <row r="587" spans="1:9" x14ac:dyDescent="0.3">
      <c r="A587" s="1">
        <v>45635.94436729727</v>
      </c>
      <c r="B587" t="s">
        <v>44</v>
      </c>
      <c r="C587" t="s">
        <v>41</v>
      </c>
      <c r="D587" t="s">
        <v>62</v>
      </c>
      <c r="E587" s="1">
        <v>45636.489929195166</v>
      </c>
      <c r="F587" s="3">
        <v>603.59</v>
      </c>
      <c r="G587" s="5">
        <f t="shared" ca="1" si="18"/>
        <v>0.54556189789582277</v>
      </c>
      <c r="H587" t="str" cm="1">
        <f t="array" aca="1" ref="H587" ca="1">_xlfn.IFS(G587&lt;2,"Excellent handling",AND(G587&gt;2,G587&lt;4)," ",G587&gt;4,"Bad handling")</f>
        <v>Excellent handling</v>
      </c>
      <c r="I587" t="str">
        <f t="shared" si="19"/>
        <v xml:space="preserve"> </v>
      </c>
    </row>
    <row r="588" spans="1:9" x14ac:dyDescent="0.3">
      <c r="A588" s="1">
        <v>45642.362170671797</v>
      </c>
      <c r="B588" t="s">
        <v>37</v>
      </c>
      <c r="C588" t="s">
        <v>35</v>
      </c>
      <c r="D588" t="s">
        <v>60</v>
      </c>
      <c r="E588" s="1">
        <v>45644.64575372231</v>
      </c>
      <c r="F588" s="3">
        <v>750.26</v>
      </c>
      <c r="G588" s="5">
        <f t="shared" ca="1" si="18"/>
        <v>2.2835830505136983</v>
      </c>
      <c r="H588" t="str" cm="1">
        <f t="array" aca="1" ref="H588" ca="1">_xlfn.IFS(G588&lt;2,"Excellent handling",AND(G588&gt;2,G588&lt;4)," ",G588&gt;4,"Bad handling")</f>
        <v xml:space="preserve"> </v>
      </c>
      <c r="I588" t="str">
        <f t="shared" si="19"/>
        <v xml:space="preserve"> </v>
      </c>
    </row>
    <row r="589" spans="1:9" x14ac:dyDescent="0.3">
      <c r="A589" s="1">
        <v>45633.271264241615</v>
      </c>
      <c r="B589" t="s">
        <v>12</v>
      </c>
      <c r="C589" t="s">
        <v>8</v>
      </c>
      <c r="D589" t="s">
        <v>56</v>
      </c>
      <c r="E589" s="1">
        <v>45634.240338677373</v>
      </c>
      <c r="F589" s="3">
        <v>605.58000000000004</v>
      </c>
      <c r="G589" s="5">
        <f t="shared" ca="1" si="18"/>
        <v>0.96907443575764773</v>
      </c>
      <c r="H589" t="str" cm="1">
        <f t="array" aca="1" ref="H589" ca="1">_xlfn.IFS(G589&lt;2,"Excellent handling",AND(G589&gt;2,G589&lt;4)," ",G589&gt;4,"Bad handling")</f>
        <v>Excellent handling</v>
      </c>
      <c r="I589" t="str">
        <f t="shared" si="19"/>
        <v>Weekend sale</v>
      </c>
    </row>
    <row r="590" spans="1:9" x14ac:dyDescent="0.3">
      <c r="A590" s="1">
        <v>45639.925418095219</v>
      </c>
      <c r="B590" t="s">
        <v>13</v>
      </c>
      <c r="C590" t="s">
        <v>8</v>
      </c>
      <c r="D590" t="s">
        <v>57</v>
      </c>
      <c r="E590" s="1">
        <v>45642.250561029447</v>
      </c>
      <c r="F590" s="3">
        <v>664.8</v>
      </c>
      <c r="G590" s="5">
        <f t="shared" ca="1" si="18"/>
        <v>2.3251429342271877</v>
      </c>
      <c r="H590" t="str" cm="1">
        <f t="array" aca="1" ref="H590" ca="1">_xlfn.IFS(G590&lt;2,"Excellent handling",AND(G590&gt;2,G590&lt;4)," ",G590&gt;4,"Bad handling")</f>
        <v xml:space="preserve"> </v>
      </c>
      <c r="I590" t="str">
        <f t="shared" si="19"/>
        <v xml:space="preserve"> </v>
      </c>
    </row>
    <row r="591" spans="1:9" x14ac:dyDescent="0.3">
      <c r="A591" s="1">
        <v>45651.704533998185</v>
      </c>
      <c r="B591" t="s">
        <v>48</v>
      </c>
      <c r="C591" t="s">
        <v>45</v>
      </c>
      <c r="D591" t="s">
        <v>60</v>
      </c>
      <c r="E591" s="1" t="s">
        <v>64</v>
      </c>
      <c r="F591" s="3">
        <v>117.16</v>
      </c>
      <c r="G591" s="5">
        <f t="shared" ca="1" si="18"/>
        <v>403.29546600181493</v>
      </c>
      <c r="H591" t="str" cm="1">
        <f t="array" aca="1" ref="H591" ca="1">_xlfn.IFS(G591&lt;2,"Excellent handling",AND(G591&gt;2,G591&lt;4)," ",G591&gt;4,"Bad handling")</f>
        <v>Bad handling</v>
      </c>
      <c r="I591" t="str">
        <f t="shared" si="19"/>
        <v xml:space="preserve"> </v>
      </c>
    </row>
    <row r="592" spans="1:9" x14ac:dyDescent="0.3">
      <c r="A592" s="1">
        <v>45631.048350653575</v>
      </c>
      <c r="B592" t="s">
        <v>5</v>
      </c>
      <c r="C592" t="s">
        <v>2</v>
      </c>
      <c r="D592" t="s">
        <v>55</v>
      </c>
      <c r="E592" s="1">
        <v>45632.138188643868</v>
      </c>
      <c r="F592" s="3">
        <v>725.04</v>
      </c>
      <c r="G592" s="5">
        <f t="shared" ca="1" si="18"/>
        <v>1.089837990293745</v>
      </c>
      <c r="H592" t="str" cm="1">
        <f t="array" aca="1" ref="H592" ca="1">_xlfn.IFS(G592&lt;2,"Excellent handling",AND(G592&gt;2,G592&lt;4)," ",G592&gt;4,"Bad handling")</f>
        <v>Excellent handling</v>
      </c>
      <c r="I592" t="str">
        <f t="shared" si="19"/>
        <v xml:space="preserve"> </v>
      </c>
    </row>
    <row r="593" spans="1:9" x14ac:dyDescent="0.3">
      <c r="A593" s="1">
        <v>45667.915411621565</v>
      </c>
      <c r="B593" t="s">
        <v>20</v>
      </c>
      <c r="C593" t="s">
        <v>15</v>
      </c>
      <c r="D593" t="s">
        <v>58</v>
      </c>
      <c r="E593" s="1">
        <v>45668.768182389504</v>
      </c>
      <c r="F593" s="3">
        <v>188.67</v>
      </c>
      <c r="G593" s="5">
        <f t="shared" ca="1" si="18"/>
        <v>0.85277076793863671</v>
      </c>
      <c r="H593" t="str" cm="1">
        <f t="array" aca="1" ref="H593" ca="1">_xlfn.IFS(G593&lt;2,"Excellent handling",AND(G593&gt;2,G593&lt;4)," ",G593&gt;4,"Bad handling")</f>
        <v>Excellent handling</v>
      </c>
      <c r="I593" t="str">
        <f t="shared" si="19"/>
        <v xml:space="preserve"> </v>
      </c>
    </row>
    <row r="594" spans="1:9" x14ac:dyDescent="0.3">
      <c r="A594" s="1">
        <v>45641.581038144359</v>
      </c>
      <c r="B594" t="s">
        <v>43</v>
      </c>
      <c r="C594" t="s">
        <v>41</v>
      </c>
      <c r="D594" t="s">
        <v>57</v>
      </c>
      <c r="E594" s="1">
        <v>45642.368149813192</v>
      </c>
      <c r="F594" s="3">
        <v>667.15</v>
      </c>
      <c r="G594" s="5">
        <f t="shared" ca="1" si="18"/>
        <v>0.78711166883294936</v>
      </c>
      <c r="H594" t="str" cm="1">
        <f t="array" aca="1" ref="H594" ca="1">_xlfn.IFS(G594&lt;2,"Excellent handling",AND(G594&gt;2,G594&lt;4)," ",G594&gt;4,"Bad handling")</f>
        <v>Excellent handling</v>
      </c>
      <c r="I594" t="str">
        <f t="shared" si="19"/>
        <v>Weekend sale</v>
      </c>
    </row>
    <row r="595" spans="1:9" x14ac:dyDescent="0.3">
      <c r="A595" s="1">
        <v>45683.549281310545</v>
      </c>
      <c r="B595" t="s">
        <v>3</v>
      </c>
      <c r="C595" t="s">
        <v>2</v>
      </c>
      <c r="D595" t="s">
        <v>54</v>
      </c>
      <c r="E595" s="1">
        <v>45685.593531632578</v>
      </c>
      <c r="F595" s="3">
        <v>134.79</v>
      </c>
      <c r="G595" s="5">
        <f t="shared" ca="1" si="18"/>
        <v>2.0442503220328945</v>
      </c>
      <c r="H595" t="str" cm="1">
        <f t="array" aca="1" ref="H595" ca="1">_xlfn.IFS(G595&lt;2,"Excellent handling",AND(G595&gt;2,G595&lt;4)," ",G595&gt;4,"Bad handling")</f>
        <v xml:space="preserve"> </v>
      </c>
      <c r="I595" t="str">
        <f t="shared" si="19"/>
        <v>Weekend sale</v>
      </c>
    </row>
    <row r="596" spans="1:9" x14ac:dyDescent="0.3">
      <c r="A596" s="1">
        <v>45660.785278276104</v>
      </c>
      <c r="B596" t="s">
        <v>6</v>
      </c>
      <c r="C596" t="s">
        <v>2</v>
      </c>
      <c r="D596" t="s">
        <v>58</v>
      </c>
      <c r="E596" s="1">
        <v>45662.714715734881</v>
      </c>
      <c r="F596" s="3">
        <v>260.51</v>
      </c>
      <c r="G596" s="5">
        <f t="shared" ca="1" si="18"/>
        <v>1.9294374587771017</v>
      </c>
      <c r="H596" t="str" cm="1">
        <f t="array" aca="1" ref="H596" ca="1">_xlfn.IFS(G596&lt;2,"Excellent handling",AND(G596&gt;2,G596&lt;4)," ",G596&gt;4,"Bad handling")</f>
        <v>Excellent handling</v>
      </c>
      <c r="I596" t="str">
        <f t="shared" si="19"/>
        <v xml:space="preserve"> </v>
      </c>
    </row>
    <row r="597" spans="1:9" x14ac:dyDescent="0.3">
      <c r="A597" s="1">
        <v>45643.530087360276</v>
      </c>
      <c r="B597" t="s">
        <v>17</v>
      </c>
      <c r="C597" t="s">
        <v>15</v>
      </c>
      <c r="D597" t="s">
        <v>54</v>
      </c>
      <c r="E597" s="1">
        <v>45646.124674583996</v>
      </c>
      <c r="F597" s="3">
        <v>687.01</v>
      </c>
      <c r="G597" s="5">
        <f t="shared" ca="1" si="18"/>
        <v>2.5945872237207368</v>
      </c>
      <c r="H597" t="str" cm="1">
        <f t="array" aca="1" ref="H597" ca="1">_xlfn.IFS(G597&lt;2,"Excellent handling",AND(G597&gt;2,G597&lt;4)," ",G597&gt;4,"Bad handling")</f>
        <v xml:space="preserve"> </v>
      </c>
      <c r="I597" t="str">
        <f t="shared" si="19"/>
        <v xml:space="preserve"> </v>
      </c>
    </row>
    <row r="598" spans="1:9" x14ac:dyDescent="0.3">
      <c r="A598" s="1">
        <v>45659.822026383459</v>
      </c>
      <c r="B598" t="s">
        <v>36</v>
      </c>
      <c r="C598" t="s">
        <v>35</v>
      </c>
      <c r="D598" t="s">
        <v>55</v>
      </c>
      <c r="E598" s="1">
        <v>45661.088762828826</v>
      </c>
      <c r="F598" s="3">
        <v>76.900000000000006</v>
      </c>
      <c r="G598" s="5">
        <f t="shared" ca="1" si="18"/>
        <v>1.266736445366405</v>
      </c>
      <c r="H598" t="str" cm="1">
        <f t="array" aca="1" ref="H598" ca="1">_xlfn.IFS(G598&lt;2,"Excellent handling",AND(G598&gt;2,G598&lt;4)," ",G598&gt;4,"Bad handling")</f>
        <v>Excellent handling</v>
      </c>
      <c r="I598" t="str">
        <f t="shared" si="19"/>
        <v xml:space="preserve"> </v>
      </c>
    </row>
    <row r="599" spans="1:9" x14ac:dyDescent="0.3">
      <c r="A599" s="1">
        <v>45644.026652143155</v>
      </c>
      <c r="B599" t="s">
        <v>28</v>
      </c>
      <c r="C599" t="s">
        <v>26</v>
      </c>
      <c r="D599" t="s">
        <v>60</v>
      </c>
      <c r="E599" s="1">
        <v>45645.218306856259</v>
      </c>
      <c r="F599" s="3">
        <v>803.32</v>
      </c>
      <c r="G599" s="5">
        <f t="shared" ca="1" si="18"/>
        <v>1.1916547131040716</v>
      </c>
      <c r="H599" t="str" cm="1">
        <f t="array" aca="1" ref="H599" ca="1">_xlfn.IFS(G599&lt;2,"Excellent handling",AND(G599&gt;2,G599&lt;4)," ",G599&gt;4,"Bad handling")</f>
        <v>Excellent handling</v>
      </c>
      <c r="I599" t="str">
        <f t="shared" si="19"/>
        <v xml:space="preserve"> </v>
      </c>
    </row>
    <row r="600" spans="1:9" x14ac:dyDescent="0.3">
      <c r="A600" s="1">
        <v>45637.994272299919</v>
      </c>
      <c r="B600" t="s">
        <v>23</v>
      </c>
      <c r="C600" t="s">
        <v>22</v>
      </c>
      <c r="D600" t="s">
        <v>61</v>
      </c>
      <c r="E600" s="1">
        <v>45639.734593573325</v>
      </c>
      <c r="F600" s="3">
        <v>813.4</v>
      </c>
      <c r="G600" s="5">
        <f t="shared" ca="1" si="18"/>
        <v>1.7403212734061526</v>
      </c>
      <c r="H600" t="str" cm="1">
        <f t="array" aca="1" ref="H600" ca="1">_xlfn.IFS(G600&lt;2,"Excellent handling",AND(G600&gt;2,G600&lt;4)," ",G600&gt;4,"Bad handling")</f>
        <v>Excellent handling</v>
      </c>
      <c r="I600" t="str">
        <f t="shared" si="19"/>
        <v xml:space="preserve"> </v>
      </c>
    </row>
    <row r="601" spans="1:9" x14ac:dyDescent="0.3">
      <c r="A601" s="1">
        <v>45652.190329561767</v>
      </c>
      <c r="B601" t="s">
        <v>48</v>
      </c>
      <c r="C601" t="s">
        <v>45</v>
      </c>
      <c r="D601" t="s">
        <v>60</v>
      </c>
      <c r="E601" s="1" t="s">
        <v>64</v>
      </c>
      <c r="F601" s="3">
        <v>26.01</v>
      </c>
      <c r="G601" s="5">
        <f t="shared" ca="1" si="18"/>
        <v>402.8096704382333</v>
      </c>
      <c r="H601" t="str" cm="1">
        <f t="array" aca="1" ref="H601" ca="1">_xlfn.IFS(G601&lt;2,"Excellent handling",AND(G601&gt;2,G601&lt;4)," ",G601&gt;4,"Bad handling")</f>
        <v>Bad handling</v>
      </c>
      <c r="I601" t="str">
        <f t="shared" si="19"/>
        <v xml:space="preserve"> </v>
      </c>
    </row>
    <row r="602" spans="1:9" x14ac:dyDescent="0.3">
      <c r="A602" s="1">
        <v>45650.118763894345</v>
      </c>
      <c r="B602" t="s">
        <v>49</v>
      </c>
      <c r="C602" t="s">
        <v>45</v>
      </c>
      <c r="D602" t="s">
        <v>60</v>
      </c>
      <c r="E602" s="1">
        <v>45652.823693142767</v>
      </c>
      <c r="F602" s="3">
        <v>803.67</v>
      </c>
      <c r="G602" s="5">
        <f t="shared" ca="1" si="18"/>
        <v>2.7049292484225589</v>
      </c>
      <c r="H602" t="str" cm="1">
        <f t="array" aca="1" ref="H602" ca="1">_xlfn.IFS(G602&lt;2,"Excellent handling",AND(G602&gt;2,G602&lt;4)," ",G602&gt;4,"Bad handling")</f>
        <v xml:space="preserve"> </v>
      </c>
      <c r="I602" t="str">
        <f t="shared" si="19"/>
        <v xml:space="preserve"> </v>
      </c>
    </row>
    <row r="603" spans="1:9" x14ac:dyDescent="0.3">
      <c r="A603" s="1">
        <v>45660.264899289468</v>
      </c>
      <c r="B603" t="s">
        <v>7</v>
      </c>
      <c r="C603" t="s">
        <v>2</v>
      </c>
      <c r="D603" t="s">
        <v>54</v>
      </c>
      <c r="E603" s="1">
        <v>45662.389637153043</v>
      </c>
      <c r="F603" s="3">
        <v>175.13</v>
      </c>
      <c r="G603" s="5">
        <f t="shared" ca="1" si="18"/>
        <v>2.1247378635744099</v>
      </c>
      <c r="H603" t="str" cm="1">
        <f t="array" aca="1" ref="H603" ca="1">_xlfn.IFS(G603&lt;2,"Excellent handling",AND(G603&gt;2,G603&lt;4)," ",G603&gt;4,"Bad handling")</f>
        <v xml:space="preserve"> </v>
      </c>
      <c r="I603" t="str">
        <f t="shared" si="19"/>
        <v xml:space="preserve"> </v>
      </c>
    </row>
    <row r="604" spans="1:9" x14ac:dyDescent="0.3">
      <c r="A604" s="1">
        <v>45665.223584125757</v>
      </c>
      <c r="B604" t="s">
        <v>48</v>
      </c>
      <c r="C604" t="s">
        <v>45</v>
      </c>
      <c r="D604" t="s">
        <v>60</v>
      </c>
      <c r="E604" s="1">
        <v>45667.900501683951</v>
      </c>
      <c r="F604" s="3">
        <v>466.48</v>
      </c>
      <c r="G604" s="5">
        <f t="shared" ca="1" si="18"/>
        <v>2.6769175581939635</v>
      </c>
      <c r="H604" t="str" cm="1">
        <f t="array" aca="1" ref="H604" ca="1">_xlfn.IFS(G604&lt;2,"Excellent handling",AND(G604&gt;2,G604&lt;4)," ",G604&gt;4,"Bad handling")</f>
        <v xml:space="preserve"> </v>
      </c>
      <c r="I604" t="str">
        <f t="shared" si="19"/>
        <v xml:space="preserve"> </v>
      </c>
    </row>
    <row r="605" spans="1:9" x14ac:dyDescent="0.3">
      <c r="A605" s="1">
        <v>45658.549498212451</v>
      </c>
      <c r="B605" t="s">
        <v>40</v>
      </c>
      <c r="C605" t="s">
        <v>38</v>
      </c>
      <c r="D605" t="s">
        <v>53</v>
      </c>
      <c r="E605" s="1">
        <v>45661.178266450232</v>
      </c>
      <c r="F605" s="3">
        <v>591.41999999999996</v>
      </c>
      <c r="G605" s="5">
        <f t="shared" ca="1" si="18"/>
        <v>2.628768237780605</v>
      </c>
      <c r="H605" t="str" cm="1">
        <f t="array" aca="1" ref="H605" ca="1">_xlfn.IFS(G605&lt;2,"Excellent handling",AND(G605&gt;2,G605&lt;4)," ",G605&gt;4,"Bad handling")</f>
        <v xml:space="preserve"> </v>
      </c>
      <c r="I605" t="str">
        <f t="shared" si="19"/>
        <v xml:space="preserve"> </v>
      </c>
    </row>
    <row r="606" spans="1:9" x14ac:dyDescent="0.3">
      <c r="A606" s="1">
        <v>45632.025693971686</v>
      </c>
      <c r="B606" t="s">
        <v>39</v>
      </c>
      <c r="C606" t="s">
        <v>38</v>
      </c>
      <c r="D606" t="s">
        <v>57</v>
      </c>
      <c r="E606" s="1">
        <v>45632.856930292932</v>
      </c>
      <c r="F606" s="3">
        <v>219.15</v>
      </c>
      <c r="G606" s="5">
        <f t="shared" ca="1" si="18"/>
        <v>0.83123632124625146</v>
      </c>
      <c r="H606" t="str" cm="1">
        <f t="array" aca="1" ref="H606" ca="1">_xlfn.IFS(G606&lt;2,"Excellent handling",AND(G606&gt;2,G606&lt;4)," ",G606&gt;4,"Bad handling")</f>
        <v>Excellent handling</v>
      </c>
      <c r="I606" t="str">
        <f t="shared" si="19"/>
        <v xml:space="preserve"> </v>
      </c>
    </row>
    <row r="607" spans="1:9" x14ac:dyDescent="0.3">
      <c r="A607" s="1">
        <v>45655.267837071937</v>
      </c>
      <c r="B607" t="s">
        <v>4</v>
      </c>
      <c r="C607" t="s">
        <v>2</v>
      </c>
      <c r="D607" t="s">
        <v>60</v>
      </c>
      <c r="E607" s="1">
        <v>45660.06075180351</v>
      </c>
      <c r="F607" s="3">
        <v>710.84</v>
      </c>
      <c r="G607" s="5">
        <f t="shared" ca="1" si="18"/>
        <v>4.7929147315735463</v>
      </c>
      <c r="H607" t="str" cm="1">
        <f t="array" aca="1" ref="H607" ca="1">_xlfn.IFS(G607&lt;2,"Excellent handling",AND(G607&gt;2,G607&lt;4)," ",G607&gt;4,"Bad handling")</f>
        <v>Bad handling</v>
      </c>
      <c r="I607" t="str">
        <f t="shared" si="19"/>
        <v>Weekend sale</v>
      </c>
    </row>
    <row r="608" spans="1:9" x14ac:dyDescent="0.3">
      <c r="A608" s="1">
        <v>45666.616070540207</v>
      </c>
      <c r="B608" t="s">
        <v>4</v>
      </c>
      <c r="C608" t="s">
        <v>2</v>
      </c>
      <c r="D608" t="s">
        <v>60</v>
      </c>
      <c r="E608" s="1">
        <v>45669.491475392497</v>
      </c>
      <c r="F608" s="3">
        <v>729.1</v>
      </c>
      <c r="G608" s="5">
        <f t="shared" ca="1" si="18"/>
        <v>2.8754048522896483</v>
      </c>
      <c r="H608" t="str" cm="1">
        <f t="array" aca="1" ref="H608" ca="1">_xlfn.IFS(G608&lt;2,"Excellent handling",AND(G608&gt;2,G608&lt;4)," ",G608&gt;4,"Bad handling")</f>
        <v xml:space="preserve"> </v>
      </c>
      <c r="I608" t="str">
        <f t="shared" si="19"/>
        <v xml:space="preserve"> </v>
      </c>
    </row>
    <row r="609" spans="1:9" x14ac:dyDescent="0.3">
      <c r="A609" s="1">
        <v>45679.698200353712</v>
      </c>
      <c r="B609" t="s">
        <v>16</v>
      </c>
      <c r="C609" t="s">
        <v>15</v>
      </c>
      <c r="D609" t="s">
        <v>60</v>
      </c>
      <c r="E609" s="1">
        <v>45682.315424786422</v>
      </c>
      <c r="F609" s="3">
        <v>695.79</v>
      </c>
      <c r="G609" s="5">
        <f t="shared" ca="1" si="18"/>
        <v>2.6172244327099179</v>
      </c>
      <c r="H609" t="str" cm="1">
        <f t="array" aca="1" ref="H609" ca="1">_xlfn.IFS(G609&lt;2,"Excellent handling",AND(G609&gt;2,G609&lt;4)," ",G609&gt;4,"Bad handling")</f>
        <v xml:space="preserve"> </v>
      </c>
      <c r="I609" t="str">
        <f t="shared" si="19"/>
        <v xml:space="preserve"> </v>
      </c>
    </row>
    <row r="610" spans="1:9" x14ac:dyDescent="0.3">
      <c r="A610" s="1">
        <v>45633.566180975497</v>
      </c>
      <c r="B610" t="s">
        <v>6</v>
      </c>
      <c r="C610" t="s">
        <v>2</v>
      </c>
      <c r="D610" t="s">
        <v>58</v>
      </c>
      <c r="E610" s="1">
        <v>45638.057138367221</v>
      </c>
      <c r="F610" s="3">
        <v>40.25</v>
      </c>
      <c r="G610" s="5">
        <f t="shared" ca="1" si="18"/>
        <v>4.4909573917248053</v>
      </c>
      <c r="H610" t="str" cm="1">
        <f t="array" aca="1" ref="H610" ca="1">_xlfn.IFS(G610&lt;2,"Excellent handling",AND(G610&gt;2,G610&lt;4)," ",G610&gt;4,"Bad handling")</f>
        <v>Bad handling</v>
      </c>
      <c r="I610" t="str">
        <f t="shared" si="19"/>
        <v>Weekend sale</v>
      </c>
    </row>
    <row r="611" spans="1:9" x14ac:dyDescent="0.3">
      <c r="A611" s="1">
        <v>45668.259091226166</v>
      </c>
      <c r="B611" t="s">
        <v>28</v>
      </c>
      <c r="C611" t="s">
        <v>26</v>
      </c>
      <c r="D611" t="s">
        <v>60</v>
      </c>
      <c r="E611" s="1">
        <v>45669.738163184957</v>
      </c>
      <c r="F611" s="3">
        <v>770.12</v>
      </c>
      <c r="G611" s="5">
        <f t="shared" ca="1" si="18"/>
        <v>1.4790719587908825</v>
      </c>
      <c r="H611" t="str" cm="1">
        <f t="array" aca="1" ref="H611" ca="1">_xlfn.IFS(G611&lt;2,"Excellent handling",AND(G611&gt;2,G611&lt;4)," ",G611&gt;4,"Bad handling")</f>
        <v>Excellent handling</v>
      </c>
      <c r="I611" t="str">
        <f t="shared" si="19"/>
        <v>Weekend sale</v>
      </c>
    </row>
    <row r="612" spans="1:9" x14ac:dyDescent="0.3">
      <c r="A612" s="1">
        <v>45636.339716164475</v>
      </c>
      <c r="B612" t="s">
        <v>49</v>
      </c>
      <c r="C612" t="s">
        <v>45</v>
      </c>
      <c r="D612" t="s">
        <v>60</v>
      </c>
      <c r="E612" s="1">
        <v>45639.028752270613</v>
      </c>
      <c r="F612" s="3">
        <v>161.46</v>
      </c>
      <c r="G612" s="5">
        <f t="shared" ca="1" si="18"/>
        <v>2.6890361061377916</v>
      </c>
      <c r="H612" t="str" cm="1">
        <f t="array" aca="1" ref="H612" ca="1">_xlfn.IFS(G612&lt;2,"Excellent handling",AND(G612&gt;2,G612&lt;4)," ",G612&gt;4,"Bad handling")</f>
        <v xml:space="preserve"> </v>
      </c>
      <c r="I612" t="str">
        <f t="shared" si="19"/>
        <v xml:space="preserve"> </v>
      </c>
    </row>
    <row r="613" spans="1:9" x14ac:dyDescent="0.3">
      <c r="A613" s="1">
        <v>45670.029810946704</v>
      </c>
      <c r="B613" t="s">
        <v>24</v>
      </c>
      <c r="C613" t="s">
        <v>22</v>
      </c>
      <c r="D613" t="s">
        <v>54</v>
      </c>
      <c r="E613" s="1">
        <v>45670.639774673793</v>
      </c>
      <c r="F613" s="3">
        <v>401.48</v>
      </c>
      <c r="G613" s="5">
        <f t="shared" ca="1" si="18"/>
        <v>0.60996372708905255</v>
      </c>
      <c r="H613" t="str" cm="1">
        <f t="array" aca="1" ref="H613" ca="1">_xlfn.IFS(G613&lt;2,"Excellent handling",AND(G613&gt;2,G613&lt;4)," ",G613&gt;4,"Bad handling")</f>
        <v>Excellent handling</v>
      </c>
      <c r="I613" t="str">
        <f t="shared" si="19"/>
        <v xml:space="preserve"> </v>
      </c>
    </row>
    <row r="614" spans="1:9" x14ac:dyDescent="0.3">
      <c r="A614" s="1">
        <v>45666.345850054364</v>
      </c>
      <c r="B614" t="s">
        <v>17</v>
      </c>
      <c r="C614" t="s">
        <v>15</v>
      </c>
      <c r="D614" t="s">
        <v>54</v>
      </c>
      <c r="E614" s="1">
        <v>45666.625516031185</v>
      </c>
      <c r="F614" s="3">
        <v>372.59</v>
      </c>
      <c r="G614" s="5">
        <f t="shared" ca="1" si="18"/>
        <v>0.27966597682097927</v>
      </c>
      <c r="H614" t="str" cm="1">
        <f t="array" aca="1" ref="H614" ca="1">_xlfn.IFS(G614&lt;2,"Excellent handling",AND(G614&gt;2,G614&lt;4)," ",G614&gt;4,"Bad handling")</f>
        <v>Excellent handling</v>
      </c>
      <c r="I614" t="str">
        <f t="shared" si="19"/>
        <v xml:space="preserve"> </v>
      </c>
    </row>
    <row r="615" spans="1:9" x14ac:dyDescent="0.3">
      <c r="A615" s="1">
        <v>45627.296831966618</v>
      </c>
      <c r="B615" t="s">
        <v>23</v>
      </c>
      <c r="C615" t="s">
        <v>22</v>
      </c>
      <c r="D615" t="s">
        <v>61</v>
      </c>
      <c r="E615" s="1">
        <v>45631.277587046396</v>
      </c>
      <c r="F615" s="3">
        <v>202.87</v>
      </c>
      <c r="G615" s="5">
        <f t="shared" ca="1" si="18"/>
        <v>3.9807550797777367</v>
      </c>
      <c r="H615" t="str" cm="1">
        <f t="array" aca="1" ref="H615" ca="1">_xlfn.IFS(G615&lt;2,"Excellent handling",AND(G615&gt;2,G615&lt;4)," ",G615&gt;4,"Bad handling")</f>
        <v xml:space="preserve"> </v>
      </c>
      <c r="I615" t="str">
        <f t="shared" si="19"/>
        <v>Weekend sale</v>
      </c>
    </row>
    <row r="616" spans="1:9" x14ac:dyDescent="0.3">
      <c r="A616" s="1">
        <v>45672.171036225831</v>
      </c>
      <c r="B616" t="s">
        <v>29</v>
      </c>
      <c r="C616" t="s">
        <v>26</v>
      </c>
      <c r="D616" t="s">
        <v>61</v>
      </c>
      <c r="E616" s="1">
        <v>45673.505687644421</v>
      </c>
      <c r="F616" s="3">
        <v>352.67</v>
      </c>
      <c r="G616" s="5">
        <f t="shared" ca="1" si="18"/>
        <v>1.3346514185905107</v>
      </c>
      <c r="H616" t="str" cm="1">
        <f t="array" aca="1" ref="H616" ca="1">_xlfn.IFS(G616&lt;2,"Excellent handling",AND(G616&gt;2,G616&lt;4)," ",G616&gt;4,"Bad handling")</f>
        <v>Excellent handling</v>
      </c>
      <c r="I616" t="str">
        <f t="shared" si="19"/>
        <v xml:space="preserve"> </v>
      </c>
    </row>
    <row r="617" spans="1:9" x14ac:dyDescent="0.3">
      <c r="A617" s="1">
        <v>45660.313776685762</v>
      </c>
      <c r="B617" t="s">
        <v>33</v>
      </c>
      <c r="C617" t="s">
        <v>30</v>
      </c>
      <c r="D617" t="s">
        <v>59</v>
      </c>
      <c r="E617" s="1">
        <v>45660.864467671454</v>
      </c>
      <c r="F617" s="3">
        <v>211.64</v>
      </c>
      <c r="G617" s="5">
        <f t="shared" ca="1" si="18"/>
        <v>0.55069098569219932</v>
      </c>
      <c r="H617" t="str" cm="1">
        <f t="array" aca="1" ref="H617" ca="1">_xlfn.IFS(G617&lt;2,"Excellent handling",AND(G617&gt;2,G617&lt;4)," ",G617&gt;4,"Bad handling")</f>
        <v>Excellent handling</v>
      </c>
      <c r="I617" t="str">
        <f t="shared" si="19"/>
        <v xml:space="preserve"> </v>
      </c>
    </row>
    <row r="618" spans="1:9" x14ac:dyDescent="0.3">
      <c r="A618" s="1">
        <v>45668.46041021758</v>
      </c>
      <c r="B618" t="s">
        <v>13</v>
      </c>
      <c r="C618" t="s">
        <v>8</v>
      </c>
      <c r="D618" t="s">
        <v>57</v>
      </c>
      <c r="E618" s="1" t="s">
        <v>65</v>
      </c>
      <c r="F618" s="3">
        <v>53.65</v>
      </c>
      <c r="G618" s="5">
        <f t="shared" ca="1" si="18"/>
        <v>386.53958978242008</v>
      </c>
      <c r="H618" t="str" cm="1">
        <f t="array" aca="1" ref="H618" ca="1">_xlfn.IFS(G618&lt;2,"Excellent handling",AND(G618&gt;2,G618&lt;4)," ",G618&gt;4,"Bad handling")</f>
        <v>Bad handling</v>
      </c>
      <c r="I618" t="str">
        <f t="shared" si="19"/>
        <v>Weekend sale</v>
      </c>
    </row>
    <row r="619" spans="1:9" x14ac:dyDescent="0.3">
      <c r="A619" s="1">
        <v>45668.299372348505</v>
      </c>
      <c r="B619" t="s">
        <v>7</v>
      </c>
      <c r="C619" t="s">
        <v>2</v>
      </c>
      <c r="D619" t="s">
        <v>54</v>
      </c>
      <c r="E619" s="1">
        <v>45669.485052137716</v>
      </c>
      <c r="F619" s="3">
        <v>324.2</v>
      </c>
      <c r="G619" s="5">
        <f t="shared" ca="1" si="18"/>
        <v>1.1856797892105533</v>
      </c>
      <c r="H619" t="str" cm="1">
        <f t="array" aca="1" ref="H619" ca="1">_xlfn.IFS(G619&lt;2,"Excellent handling",AND(G619&gt;2,G619&lt;4)," ",G619&gt;4,"Bad handling")</f>
        <v>Excellent handling</v>
      </c>
      <c r="I619" t="str">
        <f t="shared" si="19"/>
        <v>Weekend sale</v>
      </c>
    </row>
    <row r="620" spans="1:9" x14ac:dyDescent="0.3">
      <c r="A620" s="1">
        <v>45646.874493025018</v>
      </c>
      <c r="B620" t="s">
        <v>11</v>
      </c>
      <c r="C620" t="s">
        <v>8</v>
      </c>
      <c r="D620" t="s">
        <v>57</v>
      </c>
      <c r="E620" s="1">
        <v>45648.739420979662</v>
      </c>
      <c r="F620" s="3">
        <v>706.59</v>
      </c>
      <c r="G620" s="5">
        <f t="shared" ca="1" si="18"/>
        <v>1.8649279546443722</v>
      </c>
      <c r="H620" t="str" cm="1">
        <f t="array" aca="1" ref="H620" ca="1">_xlfn.IFS(G620&lt;2,"Excellent handling",AND(G620&gt;2,G620&lt;4)," ",G620&gt;4,"Bad handling")</f>
        <v>Excellent handling</v>
      </c>
      <c r="I620" t="str">
        <f t="shared" si="19"/>
        <v xml:space="preserve"> </v>
      </c>
    </row>
    <row r="621" spans="1:9" x14ac:dyDescent="0.3">
      <c r="A621" s="1">
        <v>45663.074799039139</v>
      </c>
      <c r="B621" t="s">
        <v>36</v>
      </c>
      <c r="C621" t="s">
        <v>35</v>
      </c>
      <c r="D621" t="s">
        <v>55</v>
      </c>
      <c r="E621" s="1">
        <v>45664.655320241545</v>
      </c>
      <c r="F621" s="3">
        <v>27.69</v>
      </c>
      <c r="G621" s="5">
        <f t="shared" ca="1" si="18"/>
        <v>1.5805212024060893</v>
      </c>
      <c r="H621" t="str" cm="1">
        <f t="array" aca="1" ref="H621" ca="1">_xlfn.IFS(G621&lt;2,"Excellent handling",AND(G621&gt;2,G621&lt;4)," ",G621&gt;4,"Bad handling")</f>
        <v>Excellent handling</v>
      </c>
      <c r="I621" t="str">
        <f t="shared" si="19"/>
        <v xml:space="preserve"> </v>
      </c>
    </row>
    <row r="622" spans="1:9" x14ac:dyDescent="0.3">
      <c r="A622" s="1">
        <v>45653.205489623957</v>
      </c>
      <c r="B622" t="s">
        <v>11</v>
      </c>
      <c r="C622" t="s">
        <v>8</v>
      </c>
      <c r="D622" t="s">
        <v>57</v>
      </c>
      <c r="E622" s="1">
        <v>45655.242149208068</v>
      </c>
      <c r="F622" s="3">
        <v>193.14</v>
      </c>
      <c r="G622" s="5">
        <f t="shared" ca="1" si="18"/>
        <v>2.0366595841114759</v>
      </c>
      <c r="H622" t="str" cm="1">
        <f t="array" aca="1" ref="H622" ca="1">_xlfn.IFS(G622&lt;2,"Excellent handling",AND(G622&gt;2,G622&lt;4)," ",G622&gt;4,"Bad handling")</f>
        <v xml:space="preserve"> </v>
      </c>
      <c r="I622" t="str">
        <f t="shared" si="19"/>
        <v xml:space="preserve"> </v>
      </c>
    </row>
    <row r="623" spans="1:9" x14ac:dyDescent="0.3">
      <c r="A623" s="1">
        <v>45684.337849341129</v>
      </c>
      <c r="B623" t="s">
        <v>17</v>
      </c>
      <c r="C623" t="s">
        <v>15</v>
      </c>
      <c r="D623" t="s">
        <v>54</v>
      </c>
      <c r="E623" s="1">
        <v>45685.613026440216</v>
      </c>
      <c r="F623" s="3">
        <v>285.52999999999997</v>
      </c>
      <c r="G623" s="5">
        <f t="shared" ca="1" si="18"/>
        <v>1.2751770990871591</v>
      </c>
      <c r="H623" t="str" cm="1">
        <f t="array" aca="1" ref="H623" ca="1">_xlfn.IFS(G623&lt;2,"Excellent handling",AND(G623&gt;2,G623&lt;4)," ",G623&gt;4,"Bad handling")</f>
        <v>Excellent handling</v>
      </c>
      <c r="I623" t="str">
        <f t="shared" si="19"/>
        <v xml:space="preserve"> </v>
      </c>
    </row>
    <row r="624" spans="1:9" x14ac:dyDescent="0.3">
      <c r="A624" s="1">
        <v>45634.696000482829</v>
      </c>
      <c r="B624" t="s">
        <v>28</v>
      </c>
      <c r="C624" t="s">
        <v>26</v>
      </c>
      <c r="D624" t="s">
        <v>60</v>
      </c>
      <c r="E624" s="1" t="s">
        <v>64</v>
      </c>
      <c r="F624" s="3">
        <v>241.52</v>
      </c>
      <c r="G624" s="5">
        <f t="shared" ca="1" si="18"/>
        <v>420.30399951717118</v>
      </c>
      <c r="H624" t="str" cm="1">
        <f t="array" aca="1" ref="H624" ca="1">_xlfn.IFS(G624&lt;2,"Excellent handling",AND(G624&gt;2,G624&lt;4)," ",G624&gt;4,"Bad handling")</f>
        <v>Bad handling</v>
      </c>
      <c r="I624" t="str">
        <f t="shared" si="19"/>
        <v>Weekend sale</v>
      </c>
    </row>
    <row r="625" spans="1:9" x14ac:dyDescent="0.3">
      <c r="A625" s="1">
        <v>45661.395101841539</v>
      </c>
      <c r="B625" t="s">
        <v>12</v>
      </c>
      <c r="C625" t="s">
        <v>8</v>
      </c>
      <c r="D625" t="s">
        <v>56</v>
      </c>
      <c r="E625" s="1">
        <v>45666.808397640416</v>
      </c>
      <c r="F625" s="3">
        <v>705</v>
      </c>
      <c r="G625" s="5">
        <f t="shared" ca="1" si="18"/>
        <v>5.4132957988767885</v>
      </c>
      <c r="H625" t="str" cm="1">
        <f t="array" aca="1" ref="H625" ca="1">_xlfn.IFS(G625&lt;2,"Excellent handling",AND(G625&gt;2,G625&lt;4)," ",G625&gt;4,"Bad handling")</f>
        <v>Bad handling</v>
      </c>
      <c r="I625" t="str">
        <f t="shared" si="19"/>
        <v>Weekend sale</v>
      </c>
    </row>
    <row r="626" spans="1:9" x14ac:dyDescent="0.3">
      <c r="A626" s="1">
        <v>45682.079262411331</v>
      </c>
      <c r="B626" t="s">
        <v>12</v>
      </c>
      <c r="C626" t="s">
        <v>8</v>
      </c>
      <c r="D626" t="s">
        <v>56</v>
      </c>
      <c r="E626" s="1">
        <v>45686.513952060865</v>
      </c>
      <c r="F626" s="3">
        <v>191.93</v>
      </c>
      <c r="G626" s="5">
        <f t="shared" ca="1" si="18"/>
        <v>4.4346896495335386</v>
      </c>
      <c r="H626" t="str" cm="1">
        <f t="array" aca="1" ref="H626" ca="1">_xlfn.IFS(G626&lt;2,"Excellent handling",AND(G626&gt;2,G626&lt;4)," ",G626&gt;4,"Bad handling")</f>
        <v>Bad handling</v>
      </c>
      <c r="I626" t="str">
        <f t="shared" si="19"/>
        <v>Weekend sale</v>
      </c>
    </row>
    <row r="627" spans="1:9" x14ac:dyDescent="0.3">
      <c r="A627" s="1">
        <v>45628.168468859243</v>
      </c>
      <c r="B627" t="s">
        <v>46</v>
      </c>
      <c r="C627" t="s">
        <v>45</v>
      </c>
      <c r="D627" t="s">
        <v>59</v>
      </c>
      <c r="E627" s="1">
        <v>45633.573874648995</v>
      </c>
      <c r="F627" s="3">
        <v>92.09</v>
      </c>
      <c r="G627" s="5">
        <f t="shared" ca="1" si="18"/>
        <v>5.4054057897519669</v>
      </c>
      <c r="H627" t="str" cm="1">
        <f t="array" aca="1" ref="H627" ca="1">_xlfn.IFS(G627&lt;2,"Excellent handling",AND(G627&gt;2,G627&lt;4)," ",G627&gt;4,"Bad handling")</f>
        <v>Bad handling</v>
      </c>
      <c r="I627" t="str">
        <f t="shared" si="19"/>
        <v xml:space="preserve"> </v>
      </c>
    </row>
    <row r="628" spans="1:9" x14ac:dyDescent="0.3">
      <c r="A628" s="1">
        <v>45631.803656021249</v>
      </c>
      <c r="B628" t="s">
        <v>16</v>
      </c>
      <c r="C628" t="s">
        <v>15</v>
      </c>
      <c r="D628" t="s">
        <v>60</v>
      </c>
      <c r="E628" s="1">
        <v>45634.166492017794</v>
      </c>
      <c r="F628" s="3">
        <v>86.46</v>
      </c>
      <c r="G628" s="5">
        <f t="shared" ca="1" si="18"/>
        <v>2.3628359965441632</v>
      </c>
      <c r="H628" t="str" cm="1">
        <f t="array" aca="1" ref="H628" ca="1">_xlfn.IFS(G628&lt;2,"Excellent handling",AND(G628&gt;2,G628&lt;4)," ",G628&gt;4,"Bad handling")</f>
        <v xml:space="preserve"> </v>
      </c>
      <c r="I628" t="str">
        <f t="shared" si="19"/>
        <v xml:space="preserve"> </v>
      </c>
    </row>
    <row r="629" spans="1:9" x14ac:dyDescent="0.3">
      <c r="A629" s="1">
        <v>45678.665040137865</v>
      </c>
      <c r="B629" t="s">
        <v>7</v>
      </c>
      <c r="C629" t="s">
        <v>2</v>
      </c>
      <c r="D629" t="s">
        <v>54</v>
      </c>
      <c r="E629" s="1">
        <v>45682.728488705601</v>
      </c>
      <c r="F629" s="3">
        <v>338.55</v>
      </c>
      <c r="G629" s="5">
        <f t="shared" ca="1" si="18"/>
        <v>4.0634485677364864</v>
      </c>
      <c r="H629" t="str" cm="1">
        <f t="array" aca="1" ref="H629" ca="1">_xlfn.IFS(G629&lt;2,"Excellent handling",AND(G629&gt;2,G629&lt;4)," ",G629&gt;4,"Bad handling")</f>
        <v>Bad handling</v>
      </c>
      <c r="I629" t="str">
        <f t="shared" si="19"/>
        <v xml:space="preserve"> </v>
      </c>
    </row>
    <row r="630" spans="1:9" x14ac:dyDescent="0.3">
      <c r="A630" s="1">
        <v>45681.085615241471</v>
      </c>
      <c r="B630" t="s">
        <v>43</v>
      </c>
      <c r="C630" t="s">
        <v>41</v>
      </c>
      <c r="D630" t="s">
        <v>57</v>
      </c>
      <c r="E630" s="1">
        <v>45681.69237065057</v>
      </c>
      <c r="F630" s="3">
        <v>525.39</v>
      </c>
      <c r="G630" s="5">
        <f t="shared" ca="1" si="18"/>
        <v>0.60675540909869596</v>
      </c>
      <c r="H630" t="str" cm="1">
        <f t="array" aca="1" ref="H630" ca="1">_xlfn.IFS(G630&lt;2,"Excellent handling",AND(G630&gt;2,G630&lt;4)," ",G630&gt;4,"Bad handling")</f>
        <v>Excellent handling</v>
      </c>
      <c r="I630" t="str">
        <f t="shared" si="19"/>
        <v xml:space="preserve"> </v>
      </c>
    </row>
  </sheetData>
  <conditionalFormatting sqref="F2:F630">
    <cfRule type="expression" dxfId="2" priority="3">
      <formula>AND(A2&gt;DATE(2025,1,1),F2&gt;=500)</formula>
    </cfRule>
  </conditionalFormatting>
  <conditionalFormatting sqref="B2:B630">
    <cfRule type="expression" dxfId="3" priority="1">
      <formula>AND(HOUR(A2)&gt;=10,HOUR(A2)&lt;12)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D856E-8227-4B55-A14C-0EE6B5DE298D}">
  <dimension ref="B1:C12"/>
  <sheetViews>
    <sheetView tabSelected="1" workbookViewId="0">
      <selection activeCell="F8" sqref="F8"/>
    </sheetView>
  </sheetViews>
  <sheetFormatPr defaultRowHeight="14.4" x14ac:dyDescent="0.3"/>
  <cols>
    <col min="2" max="2" width="18.88671875" bestFit="1" customWidth="1"/>
    <col min="3" max="3" width="13.88671875" bestFit="1" customWidth="1"/>
  </cols>
  <sheetData>
    <row r="1" spans="2:3" ht="15" thickBot="1" x14ac:dyDescent="0.35"/>
    <row r="2" spans="2:3" x14ac:dyDescent="0.3">
      <c r="B2" s="6" t="s">
        <v>0</v>
      </c>
      <c r="C2" s="7" t="s">
        <v>70</v>
      </c>
    </row>
    <row r="3" spans="2:3" x14ac:dyDescent="0.3">
      <c r="B3" s="8" t="s">
        <v>30</v>
      </c>
      <c r="C3" s="9">
        <f>SUMIFS(Stationery!$F$2:$F$630,Stationery!$A$2:$A$630,"&gt;" &amp; DATE(2025,1,10),Stationery!$A$2:$A$630,"&lt;" &amp; DATE(2025,1,20), Stationery!$C$2:$C$630,Analysis!$B3)</f>
        <v>1669.17</v>
      </c>
    </row>
    <row r="4" spans="2:3" x14ac:dyDescent="0.3">
      <c r="B4" s="8" t="s">
        <v>45</v>
      </c>
      <c r="C4" s="9">
        <f>SUMIFS(Stationery!$F$2:$F$630,Stationery!$A$2:$A$630,"&gt;" &amp; DATE(2025,1,10),Stationery!$A$2:$A$630,"&lt;" &amp; DATE(2025,1,20), Stationery!$C$2:$C$630,Analysis!$B4)</f>
        <v>3107.47</v>
      </c>
    </row>
    <row r="5" spans="2:3" x14ac:dyDescent="0.3">
      <c r="B5" s="8" t="s">
        <v>38</v>
      </c>
      <c r="C5" s="9">
        <f>SUMIFS(Stationery!$F$2:$F$630,Stationery!$A$2:$A$630,"&gt;" &amp; DATE(2025,1,10),Stationery!$A$2:$A$630,"&lt;" &amp; DATE(2025,1,20), Stationery!$C$2:$C$630,Analysis!$B5)</f>
        <v>2730.28</v>
      </c>
    </row>
    <row r="6" spans="2:3" x14ac:dyDescent="0.3">
      <c r="B6" s="8" t="s">
        <v>15</v>
      </c>
      <c r="C6" s="9">
        <f>SUMIFS(Stationery!$F$2:$F$630,Stationery!$A$2:$A$630,"&gt;" &amp; DATE(2025,1,10),Stationery!$A$2:$A$630,"&lt;" &amp; DATE(2025,1,20), Stationery!$C$2:$C$630,Analysis!$B6)</f>
        <v>8936.7000000000007</v>
      </c>
    </row>
    <row r="7" spans="2:3" x14ac:dyDescent="0.3">
      <c r="B7" s="8" t="s">
        <v>2</v>
      </c>
      <c r="C7" s="9">
        <f>SUMIFS(Stationery!$F$2:$F$630,Stationery!$A$2:$A$630,"&gt;" &amp; DATE(2025,1,10),Stationery!$A$2:$A$630,"&lt;" &amp; DATE(2025,1,20), Stationery!$C$2:$C$630,Analysis!$B7)</f>
        <v>5075.51</v>
      </c>
    </row>
    <row r="8" spans="2:3" x14ac:dyDescent="0.3">
      <c r="B8" s="8" t="s">
        <v>41</v>
      </c>
      <c r="C8" s="9">
        <f>SUMIFS(Stationery!$F$2:$F$630,Stationery!$A$2:$A$630,"&gt;" &amp; DATE(2025,1,10),Stationery!$A$2:$A$630,"&lt;" &amp; DATE(2025,1,20), Stationery!$C$2:$C$630,Analysis!$B8)</f>
        <v>1529.87</v>
      </c>
    </row>
    <row r="9" spans="2:3" x14ac:dyDescent="0.3">
      <c r="B9" s="8" t="s">
        <v>35</v>
      </c>
      <c r="C9" s="9">
        <f>SUMIFS(Stationery!$F$2:$F$630,Stationery!$A$2:$A$630,"&gt;" &amp; DATE(2025,1,10),Stationery!$A$2:$A$630,"&lt;" &amp; DATE(2025,1,20), Stationery!$C$2:$C$630,Analysis!$B9)</f>
        <v>576.56999999999994</v>
      </c>
    </row>
    <row r="10" spans="2:3" x14ac:dyDescent="0.3">
      <c r="B10" s="8" t="s">
        <v>8</v>
      </c>
      <c r="C10" s="9">
        <f>SUMIFS(Stationery!$F$2:$F$630,Stationery!$A$2:$A$630,"&gt;" &amp; DATE(2025,1,10),Stationery!$A$2:$A$630,"&lt;" &amp; DATE(2025,1,20), Stationery!$C$2:$C$630,Analysis!$B10)</f>
        <v>5468.2000000000007</v>
      </c>
    </row>
    <row r="11" spans="2:3" x14ac:dyDescent="0.3">
      <c r="B11" s="8" t="s">
        <v>22</v>
      </c>
      <c r="C11" s="9">
        <f>SUMIFS(Stationery!$F$2:$F$630,Stationery!$A$2:$A$630,"&gt;" &amp; DATE(2025,1,10),Stationery!$A$2:$A$630,"&lt;" &amp; DATE(2025,1,20), Stationery!$C$2:$C$630,Analysis!$B11)</f>
        <v>2323.96</v>
      </c>
    </row>
    <row r="12" spans="2:3" ht="15" thickBot="1" x14ac:dyDescent="0.35">
      <c r="B12" s="10" t="s">
        <v>26</v>
      </c>
      <c r="C12" s="11">
        <f>SUMIFS(Stationery!$F$2:$F$630,Stationery!$A$2:$A$630,"&gt;" &amp; DATE(2025,1,10),Stationery!$A$2:$A$630,"&lt;" &amp; DATE(2025,1,20), Stationery!$C$2:$C$630,Analysis!$B12)</f>
        <v>4874.24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Stationery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</dc:creator>
  <cp:lastModifiedBy>PAVEL ANDREEV</cp:lastModifiedBy>
  <dcterms:created xsi:type="dcterms:W3CDTF">2015-06-05T18:17:20Z</dcterms:created>
  <dcterms:modified xsi:type="dcterms:W3CDTF">2026-02-02T10:49:43Z</dcterms:modified>
</cp:coreProperties>
</file>
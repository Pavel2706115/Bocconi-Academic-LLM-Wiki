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11 - Lesson 10/"/>
    </mc:Choice>
  </mc:AlternateContent>
  <xr:revisionPtr revIDLastSave="35" documentId="13_ncr:1_{C891F445-D9D6-465B-AEBC-6FE47E153FC4}" xr6:coauthVersionLast="47" xr6:coauthVersionMax="47" xr10:uidLastSave="{1A07BF34-1DEC-4B5B-BC61-B3C00CD27C24}"/>
  <bookViews>
    <workbookView xWindow="-108" yWindow="-108" windowWidth="23256" windowHeight="12456" activeTab="1" xr2:uid="{00000000-000D-0000-FFFF-FFFF00000000}"/>
  </bookViews>
  <sheets>
    <sheet name="Orders" sheetId="11" r:id="rId1"/>
    <sheet name="Data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2" i="11"/>
  <c r="G3" i="11" l="1"/>
  <c r="G4" i="11"/>
  <c r="G5" i="11"/>
  <c r="I5" i="11" s="1"/>
  <c r="J5" i="11" s="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I29" i="11" s="1"/>
  <c r="J29" i="11" s="1"/>
  <c r="G30" i="11"/>
  <c r="I30" i="11" s="1"/>
  <c r="J30" i="11" s="1"/>
  <c r="G31" i="11"/>
  <c r="G2" i="11"/>
  <c r="I15" i="11"/>
  <c r="J15" i="11" s="1"/>
  <c r="I28" i="11"/>
  <c r="J28" i="11" s="1"/>
  <c r="I20" i="11"/>
  <c r="J20" i="11" s="1"/>
  <c r="I27" i="11" l="1"/>
  <c r="J27" i="11" s="1"/>
  <c r="I25" i="11"/>
  <c r="J25" i="11" s="1"/>
  <c r="I24" i="11"/>
  <c r="J24" i="11" s="1"/>
  <c r="I22" i="11"/>
  <c r="J22" i="11" s="1"/>
  <c r="I19" i="11"/>
  <c r="J19" i="11" s="1"/>
  <c r="I17" i="11"/>
  <c r="J17" i="11" s="1"/>
  <c r="I14" i="11"/>
  <c r="J14" i="11" s="1"/>
  <c r="I12" i="11"/>
  <c r="J12" i="11" s="1"/>
  <c r="I10" i="11"/>
  <c r="J10" i="11" s="1"/>
  <c r="I9" i="11"/>
  <c r="J9" i="11" s="1"/>
  <c r="I2" i="11"/>
  <c r="J2" i="11" s="1"/>
  <c r="I31" i="11"/>
  <c r="J31" i="11" s="1"/>
  <c r="I26" i="11"/>
  <c r="J26" i="11" s="1"/>
  <c r="I23" i="11"/>
  <c r="J23" i="11" s="1"/>
  <c r="I18" i="11"/>
  <c r="J18" i="11" s="1"/>
  <c r="I13" i="11"/>
  <c r="J13" i="11" s="1"/>
  <c r="I11" i="11"/>
  <c r="J11" i="11" s="1"/>
  <c r="I7" i="11"/>
  <c r="J7" i="11" s="1"/>
  <c r="I6" i="11"/>
  <c r="J6" i="11" s="1"/>
  <c r="I3" i="11"/>
  <c r="J3" i="11" s="1"/>
  <c r="I21" i="11"/>
  <c r="J21" i="11" s="1"/>
  <c r="I16" i="11"/>
  <c r="J16" i="11" s="1"/>
  <c r="I4" i="11"/>
  <c r="J4" i="11" s="1"/>
  <c r="I8" i="11"/>
  <c r="J8" i="11" s="1"/>
</calcChain>
</file>

<file path=xl/sharedStrings.xml><?xml version="1.0" encoding="utf-8"?>
<sst xmlns="http://schemas.openxmlformats.org/spreadsheetml/2006/main" count="245" uniqueCount="175">
  <si>
    <t>Order ID</t>
  </si>
  <si>
    <t>Order date</t>
  </si>
  <si>
    <t>Seller</t>
  </si>
  <si>
    <t>Country</t>
  </si>
  <si>
    <t>Quantity</t>
  </si>
  <si>
    <t>Price per unit</t>
  </si>
  <si>
    <t>Discount</t>
  </si>
  <si>
    <t>Discounted price per unit</t>
  </si>
  <si>
    <t>XD-267</t>
  </si>
  <si>
    <t>AE-0005</t>
  </si>
  <si>
    <t>Maresca</t>
  </si>
  <si>
    <t>Italy</t>
  </si>
  <si>
    <t>XD-269</t>
  </si>
  <si>
    <t>AE-0006</t>
  </si>
  <si>
    <t>Poulsen</t>
  </si>
  <si>
    <t>Denmark</t>
  </si>
  <si>
    <t>MM-211</t>
  </si>
  <si>
    <t>AE-0017</t>
  </si>
  <si>
    <t>Vinci</t>
  </si>
  <si>
    <t>XD-270</t>
  </si>
  <si>
    <t>AE-0019</t>
  </si>
  <si>
    <t>Schuster</t>
  </si>
  <si>
    <t>Austria</t>
  </si>
  <si>
    <t>XN-431</t>
  </si>
  <si>
    <t>AE-0028</t>
  </si>
  <si>
    <t>Dawson</t>
  </si>
  <si>
    <t>USA</t>
  </si>
  <si>
    <t>ST-379</t>
  </si>
  <si>
    <t>AE-0018</t>
  </si>
  <si>
    <t>Vasquez</t>
  </si>
  <si>
    <t>Spain</t>
  </si>
  <si>
    <t>MM-192</t>
  </si>
  <si>
    <t>AE-0023</t>
  </si>
  <si>
    <t>Weber</t>
  </si>
  <si>
    <t>Germany</t>
  </si>
  <si>
    <t>TA-101</t>
  </si>
  <si>
    <t>AE-0011</t>
  </si>
  <si>
    <t>Peeters</t>
  </si>
  <si>
    <t>Belgium</t>
  </si>
  <si>
    <t>XN-437</t>
  </si>
  <si>
    <t>AE-0003</t>
  </si>
  <si>
    <t>Radic</t>
  </si>
  <si>
    <t>Croatia</t>
  </si>
  <si>
    <t>TA-128</t>
  </si>
  <si>
    <t>AE-0030</t>
  </si>
  <si>
    <t>XD-272</t>
  </si>
  <si>
    <t>AE-0001</t>
  </si>
  <si>
    <t>XD-268</t>
  </si>
  <si>
    <t>AE-0009</t>
  </si>
  <si>
    <t>TT-290</t>
  </si>
  <si>
    <t>AE-0024</t>
  </si>
  <si>
    <t>ST-111</t>
  </si>
  <si>
    <t>AE-0026</t>
  </si>
  <si>
    <t>AE-0020</t>
  </si>
  <si>
    <t>Carroll</t>
  </si>
  <si>
    <t>France</t>
  </si>
  <si>
    <t>MO-809</t>
  </si>
  <si>
    <t>AE-0025</t>
  </si>
  <si>
    <t>AE-0012</t>
  </si>
  <si>
    <t>Mckinney</t>
  </si>
  <si>
    <t>UK</t>
  </si>
  <si>
    <t>AE-0016</t>
  </si>
  <si>
    <t>Rossi</t>
  </si>
  <si>
    <t>XD-274</t>
  </si>
  <si>
    <t>AE-0022</t>
  </si>
  <si>
    <t>TA-125</t>
  </si>
  <si>
    <t>AE-0029</t>
  </si>
  <si>
    <t>AE-0021</t>
  </si>
  <si>
    <t>XD-276</t>
  </si>
  <si>
    <t>AE-0027</t>
  </si>
  <si>
    <t>ML-141</t>
  </si>
  <si>
    <t>AE-0010</t>
  </si>
  <si>
    <t>SM-119</t>
  </si>
  <si>
    <t>AE-0007</t>
  </si>
  <si>
    <t>Cross</t>
  </si>
  <si>
    <t>ST-122</t>
  </si>
  <si>
    <t>AE-0002</t>
  </si>
  <si>
    <t>ST-236</t>
  </si>
  <si>
    <t>AE-0014</t>
  </si>
  <si>
    <t>AE-0013</t>
  </si>
  <si>
    <t>AL-098</t>
  </si>
  <si>
    <t>AE-0008</t>
  </si>
  <si>
    <t>MO-821</t>
  </si>
  <si>
    <t>AE-0015</t>
  </si>
  <si>
    <t>TT-220</t>
  </si>
  <si>
    <t>AE-0004</t>
  </si>
  <si>
    <t>Ordered quantity (min.)</t>
  </si>
  <si>
    <t>MM-194</t>
  </si>
  <si>
    <t>ML-153</t>
  </si>
  <si>
    <t>XN-432</t>
  </si>
  <si>
    <t>MM-193</t>
  </si>
  <si>
    <t>AL-091</t>
  </si>
  <si>
    <t>AL-095</t>
  </si>
  <si>
    <t>XN-434</t>
  </si>
  <si>
    <t>SM-120</t>
  </si>
  <si>
    <t>XD-277</t>
  </si>
  <si>
    <t>AL-099</t>
  </si>
  <si>
    <t>XN-435</t>
  </si>
  <si>
    <t>AL-092</t>
  </si>
  <si>
    <t>XN-436</t>
  </si>
  <si>
    <t>XD-275</t>
  </si>
  <si>
    <t>SM-121</t>
  </si>
  <si>
    <t>XD-273</t>
  </si>
  <si>
    <t>AL-093</t>
  </si>
  <si>
    <t>ML-143</t>
  </si>
  <si>
    <t>AL-096</t>
  </si>
  <si>
    <t>ML-142</t>
  </si>
  <si>
    <t>ML-154</t>
  </si>
  <si>
    <t>SM-123</t>
  </si>
  <si>
    <t>SM-122</t>
  </si>
  <si>
    <t>ML-152</t>
  </si>
  <si>
    <t>XN-438</t>
  </si>
  <si>
    <t>XN-433</t>
  </si>
  <si>
    <t>AL-094</t>
  </si>
  <si>
    <t>AL-097</t>
  </si>
  <si>
    <t>XD-271</t>
  </si>
  <si>
    <t>Order amount</t>
  </si>
  <si>
    <t>Unit price</t>
  </si>
  <si>
    <t>Product</t>
  </si>
  <si>
    <t>Internal ID</t>
  </si>
  <si>
    <t>PDT_001</t>
  </si>
  <si>
    <t>PDT_002</t>
  </si>
  <si>
    <t>PDT_003</t>
  </si>
  <si>
    <t>PDT_004</t>
  </si>
  <si>
    <t>PDT_005</t>
  </si>
  <si>
    <t>PDT_006</t>
  </si>
  <si>
    <t>PDT_007</t>
  </si>
  <si>
    <t>PDT_008</t>
  </si>
  <si>
    <t>PDT_009</t>
  </si>
  <si>
    <t>PDT_010</t>
  </si>
  <si>
    <t>PDT_011</t>
  </si>
  <si>
    <t>PDT_012</t>
  </si>
  <si>
    <t>PDT_013</t>
  </si>
  <si>
    <t>PDT_014</t>
  </si>
  <si>
    <t>PDT_015</t>
  </si>
  <si>
    <t>PDT_016</t>
  </si>
  <si>
    <t>PDT_017</t>
  </si>
  <si>
    <t>PDT_018</t>
  </si>
  <si>
    <t>PDT_019</t>
  </si>
  <si>
    <t>PDT_020</t>
  </si>
  <si>
    <t>PDT_021</t>
  </si>
  <si>
    <t>PDT_022</t>
  </si>
  <si>
    <t>PDT_023</t>
  </si>
  <si>
    <t>PDT_024</t>
  </si>
  <si>
    <t>PDT_025</t>
  </si>
  <si>
    <t>PDT_026</t>
  </si>
  <si>
    <t>PDT_027</t>
  </si>
  <si>
    <t>PDT_028</t>
  </si>
  <si>
    <t>PDT_029</t>
  </si>
  <si>
    <t>PDT_030</t>
  </si>
  <si>
    <t>PDT_031</t>
  </si>
  <si>
    <t>PDT_032</t>
  </si>
  <si>
    <t>PDT_033</t>
  </si>
  <si>
    <t>PDT_034</t>
  </si>
  <si>
    <t>PDT_035</t>
  </si>
  <si>
    <t>PDT_036</t>
  </si>
  <si>
    <t>PDT_037</t>
  </si>
  <si>
    <t>PDT_038</t>
  </si>
  <si>
    <t>PDT_039</t>
  </si>
  <si>
    <t>PDT_040</t>
  </si>
  <si>
    <t>PDT_041</t>
  </si>
  <si>
    <t>PDT_042</t>
  </si>
  <si>
    <t>PDT_043</t>
  </si>
  <si>
    <t>PDT_044</t>
  </si>
  <si>
    <t>PDT_045</t>
  </si>
  <si>
    <t>PDT_046</t>
  </si>
  <si>
    <t>PDT_047</t>
  </si>
  <si>
    <t>PDT_048</t>
  </si>
  <si>
    <t>PDT_049</t>
  </si>
  <si>
    <t>PDT_050</t>
  </si>
  <si>
    <t>PDT_051</t>
  </si>
  <si>
    <t>PDT_052</t>
  </si>
  <si>
    <t>PDT_053</t>
  </si>
  <si>
    <t>PDT_054</t>
  </si>
  <si>
    <t>PDT_055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</si>
</sst>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9" fontId="0" fillId="0" borderId="0" xfId="1" applyFont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3" fontId="0" fillId="0" borderId="2" xfId="0" applyNumberFormat="1" applyBorder="1"/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1097-14D6-4457-9C91-DFC46A91B637}">
  <dimension ref="A1:J31"/>
  <sheetViews>
    <sheetView topLeftCell="A2" zoomScale="110" zoomScaleNormal="110" workbookViewId="0">
      <selection activeCell="F3" sqref="F3:F25"/>
    </sheetView>
  </sheetViews>
  <sheetFormatPr defaultRowHeight="14.4" x14ac:dyDescent="0.3"/>
  <cols>
    <col min="1" max="1" width="9.6640625" customWidth="1"/>
    <col min="2" max="2" width="9.6640625" style="2" customWidth="1"/>
    <col min="3" max="5" width="13.6640625" customWidth="1"/>
    <col min="6" max="8" width="10.6640625" customWidth="1"/>
    <col min="9" max="10" width="14.6640625" customWidth="1"/>
  </cols>
  <sheetData>
    <row r="1" spans="1:10" ht="30" customHeight="1" thickBot="1" x14ac:dyDescent="0.35">
      <c r="A1" s="1" t="s">
        <v>118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117</v>
      </c>
      <c r="H1" s="1" t="s">
        <v>6</v>
      </c>
      <c r="I1" s="1" t="s">
        <v>7</v>
      </c>
      <c r="J1" s="1" t="s">
        <v>116</v>
      </c>
    </row>
    <row r="2" spans="1:10" x14ac:dyDescent="0.3">
      <c r="A2" t="s">
        <v>8</v>
      </c>
      <c r="B2" s="2" t="s">
        <v>9</v>
      </c>
      <c r="C2" s="3">
        <v>45165</v>
      </c>
      <c r="D2" t="s">
        <v>10</v>
      </c>
      <c r="E2" t="s">
        <v>11</v>
      </c>
      <c r="F2" s="4">
        <v>2300</v>
      </c>
      <c r="G2" s="5">
        <f>VLOOKUP(A2,Data!$B$2:$C$56,2,FALSE)</f>
        <v>299</v>
      </c>
      <c r="H2" s="6">
        <f>VLOOKUP(F2,Data!F$2:G$8,2,TRUE)</f>
        <v>0</v>
      </c>
      <c r="I2" s="5">
        <f t="shared" ref="I2:I31" si="0">G2*(1-H2)</f>
        <v>299</v>
      </c>
      <c r="J2" s="5">
        <f t="shared" ref="J2:J31" si="1">I2*F2</f>
        <v>687700</v>
      </c>
    </row>
    <row r="3" spans="1:10" x14ac:dyDescent="0.3">
      <c r="A3" t="s">
        <v>12</v>
      </c>
      <c r="B3" s="2" t="s">
        <v>13</v>
      </c>
      <c r="C3" s="3">
        <v>45168</v>
      </c>
      <c r="D3" t="s">
        <v>14</v>
      </c>
      <c r="E3" t="s">
        <v>15</v>
      </c>
      <c r="F3" s="4">
        <v>1150</v>
      </c>
      <c r="G3" s="5">
        <f>VLOOKUP(A3,Data!$B$2:$C$56,2,FALSE)</f>
        <v>399</v>
      </c>
      <c r="H3" s="6">
        <f>VLOOKUP(F3,Data!F$2:G$8,2,TRUE)</f>
        <v>0</v>
      </c>
      <c r="I3" s="5">
        <f t="shared" si="0"/>
        <v>399</v>
      </c>
      <c r="J3" s="5">
        <f t="shared" si="1"/>
        <v>458850</v>
      </c>
    </row>
    <row r="4" spans="1:10" x14ac:dyDescent="0.3">
      <c r="A4" t="s">
        <v>16</v>
      </c>
      <c r="B4" s="2" t="s">
        <v>17</v>
      </c>
      <c r="C4" s="3">
        <v>45193</v>
      </c>
      <c r="D4" t="s">
        <v>18</v>
      </c>
      <c r="E4" t="s">
        <v>11</v>
      </c>
      <c r="F4" s="4"/>
      <c r="G4" s="5">
        <f>VLOOKUP(A4,Data!$B$2:$C$56,2,FALSE)</f>
        <v>229</v>
      </c>
      <c r="H4" s="6">
        <f>VLOOKUP(F4,Data!F$2:G$8,2,TRUE)</f>
        <v>0</v>
      </c>
      <c r="I4" s="5">
        <f t="shared" si="0"/>
        <v>229</v>
      </c>
      <c r="J4" s="5">
        <f t="shared" si="1"/>
        <v>0</v>
      </c>
    </row>
    <row r="5" spans="1:10" x14ac:dyDescent="0.3">
      <c r="A5" t="s">
        <v>19</v>
      </c>
      <c r="B5" s="2" t="s">
        <v>20</v>
      </c>
      <c r="C5" s="3">
        <v>45199</v>
      </c>
      <c r="D5" t="s">
        <v>21</v>
      </c>
      <c r="E5" t="s">
        <v>22</v>
      </c>
      <c r="F5" s="4">
        <v>325</v>
      </c>
      <c r="G5" s="5">
        <f>VLOOKUP(A5,Data!$B$2:$C$56,2,FALSE)</f>
        <v>449</v>
      </c>
      <c r="H5" s="6">
        <f>VLOOKUP(F5,Data!F$2:G$8,2,TRUE)</f>
        <v>0</v>
      </c>
      <c r="I5" s="5">
        <f t="shared" si="0"/>
        <v>449</v>
      </c>
      <c r="J5" s="5">
        <f t="shared" si="1"/>
        <v>145925</v>
      </c>
    </row>
    <row r="6" spans="1:10" x14ac:dyDescent="0.3">
      <c r="A6" t="s">
        <v>23</v>
      </c>
      <c r="B6" s="2" t="s">
        <v>24</v>
      </c>
      <c r="C6" s="3">
        <v>45236</v>
      </c>
      <c r="D6" t="s">
        <v>25</v>
      </c>
      <c r="E6" t="s">
        <v>26</v>
      </c>
      <c r="F6" s="4">
        <v>1250</v>
      </c>
      <c r="G6" s="5">
        <f>VLOOKUP(A6,Data!$B$2:$C$56,2,FALSE)</f>
        <v>399</v>
      </c>
      <c r="H6" s="6">
        <f>VLOOKUP(F6,Data!F$2:G$8,2,TRUE)</f>
        <v>0</v>
      </c>
      <c r="I6" s="5">
        <f t="shared" si="0"/>
        <v>399</v>
      </c>
      <c r="J6" s="5">
        <f t="shared" si="1"/>
        <v>498750</v>
      </c>
    </row>
    <row r="7" spans="1:10" x14ac:dyDescent="0.3">
      <c r="A7" t="s">
        <v>27</v>
      </c>
      <c r="B7" s="2" t="s">
        <v>28</v>
      </c>
      <c r="C7" s="3">
        <v>45198</v>
      </c>
      <c r="D7" t="s">
        <v>29</v>
      </c>
      <c r="E7" t="s">
        <v>30</v>
      </c>
      <c r="F7" s="4">
        <v>650</v>
      </c>
      <c r="G7" s="5">
        <f>VLOOKUP(A7,Data!$B$2:$C$56,2,FALSE)</f>
        <v>59</v>
      </c>
      <c r="H7" s="6">
        <f>VLOOKUP(F7,Data!F$2:G$8,2,TRUE)</f>
        <v>0.05</v>
      </c>
      <c r="I7" s="5">
        <f t="shared" si="0"/>
        <v>56.05</v>
      </c>
      <c r="J7" s="5">
        <f t="shared" si="1"/>
        <v>36432.5</v>
      </c>
    </row>
    <row r="8" spans="1:10" x14ac:dyDescent="0.3">
      <c r="A8" t="s">
        <v>31</v>
      </c>
      <c r="B8" s="2" t="s">
        <v>32</v>
      </c>
      <c r="C8" s="3">
        <v>45210</v>
      </c>
      <c r="D8" t="s">
        <v>33</v>
      </c>
      <c r="E8" t="s">
        <v>34</v>
      </c>
      <c r="F8" s="4">
        <v>535</v>
      </c>
      <c r="G8" s="5">
        <f>VLOOKUP(A8,Data!$B$2:$C$56,2,FALSE)</f>
        <v>179</v>
      </c>
      <c r="H8" s="6">
        <f>VLOOKUP(F8,Data!F$2:G$8,2,TRUE)</f>
        <v>0.05</v>
      </c>
      <c r="I8" s="5">
        <f t="shared" si="0"/>
        <v>170.04999999999998</v>
      </c>
      <c r="J8" s="5">
        <f t="shared" si="1"/>
        <v>90976.749999999985</v>
      </c>
    </row>
    <row r="9" spans="1:10" x14ac:dyDescent="0.3">
      <c r="A9" t="s">
        <v>35</v>
      </c>
      <c r="B9" s="2" t="s">
        <v>36</v>
      </c>
      <c r="C9" s="3">
        <v>45174</v>
      </c>
      <c r="D9" t="s">
        <v>37</v>
      </c>
      <c r="E9" t="s">
        <v>38</v>
      </c>
      <c r="F9" s="4">
        <v>3150</v>
      </c>
      <c r="G9" s="5">
        <f>VLOOKUP(A9,Data!$B$2:$C$56,2,FALSE)</f>
        <v>199</v>
      </c>
      <c r="H9" s="6">
        <f>VLOOKUP(F9,Data!F$2:G$8,2,TRUE)</f>
        <v>0</v>
      </c>
      <c r="I9" s="5">
        <f t="shared" si="0"/>
        <v>199</v>
      </c>
      <c r="J9" s="5">
        <f t="shared" si="1"/>
        <v>626850</v>
      </c>
    </row>
    <row r="10" spans="1:10" x14ac:dyDescent="0.3">
      <c r="A10" t="s">
        <v>39</v>
      </c>
      <c r="B10" s="2" t="s">
        <v>40</v>
      </c>
      <c r="C10" s="3">
        <v>45160</v>
      </c>
      <c r="D10" t="s">
        <v>41</v>
      </c>
      <c r="E10" t="s">
        <v>42</v>
      </c>
      <c r="F10" s="4"/>
      <c r="G10" s="5">
        <f>VLOOKUP(A10,Data!$B$2:$C$56,2,FALSE)</f>
        <v>799</v>
      </c>
      <c r="H10" s="6">
        <f>VLOOKUP(F10,Data!F$2:G$8,2,TRUE)</f>
        <v>0</v>
      </c>
      <c r="I10" s="5">
        <f t="shared" si="0"/>
        <v>799</v>
      </c>
      <c r="J10" s="5">
        <f t="shared" si="1"/>
        <v>0</v>
      </c>
    </row>
    <row r="11" spans="1:10" x14ac:dyDescent="0.3">
      <c r="A11" t="s">
        <v>43</v>
      </c>
      <c r="B11" s="2" t="s">
        <v>44</v>
      </c>
      <c r="C11" s="3">
        <v>45248</v>
      </c>
      <c r="D11" t="s">
        <v>29</v>
      </c>
      <c r="E11" t="s">
        <v>30</v>
      </c>
      <c r="F11" s="4">
        <v>1220</v>
      </c>
      <c r="G11" s="5">
        <f>VLOOKUP(A11,Data!$B$2:$C$56,2,FALSE)</f>
        <v>399</v>
      </c>
      <c r="H11" s="6">
        <f>VLOOKUP(F11,Data!F$2:G$8,2,TRUE)</f>
        <v>0</v>
      </c>
      <c r="I11" s="5">
        <f t="shared" si="0"/>
        <v>399</v>
      </c>
      <c r="J11" s="5">
        <f t="shared" si="1"/>
        <v>486780</v>
      </c>
    </row>
    <row r="12" spans="1:10" x14ac:dyDescent="0.3">
      <c r="A12" t="s">
        <v>45</v>
      </c>
      <c r="B12" s="2" t="s">
        <v>46</v>
      </c>
      <c r="C12" s="3">
        <v>45152</v>
      </c>
      <c r="D12" t="s">
        <v>21</v>
      </c>
      <c r="E12" t="s">
        <v>22</v>
      </c>
      <c r="F12" s="4">
        <v>1365</v>
      </c>
      <c r="G12" s="5">
        <f>VLOOKUP(A12,Data!$B$2:$C$56,2,FALSE)</f>
        <v>549</v>
      </c>
      <c r="H12" s="6">
        <f>VLOOKUP(F12,Data!F$2:G$8,2,TRUE)</f>
        <v>0</v>
      </c>
      <c r="I12" s="5">
        <f t="shared" si="0"/>
        <v>549</v>
      </c>
      <c r="J12" s="5">
        <f t="shared" si="1"/>
        <v>749385</v>
      </c>
    </row>
    <row r="13" spans="1:10" x14ac:dyDescent="0.3">
      <c r="A13" t="s">
        <v>47</v>
      </c>
      <c r="B13" s="2" t="s">
        <v>48</v>
      </c>
      <c r="C13" s="3">
        <v>45171</v>
      </c>
      <c r="D13" t="s">
        <v>33</v>
      </c>
      <c r="E13" t="s">
        <v>34</v>
      </c>
      <c r="F13" s="4">
        <v>525</v>
      </c>
      <c r="G13" s="5">
        <f>VLOOKUP(A13,Data!$B$2:$C$56,2,FALSE)</f>
        <v>349</v>
      </c>
      <c r="H13" s="6">
        <f>VLOOKUP(F13,Data!F$2:G$8,2,TRUE)</f>
        <v>0.05</v>
      </c>
      <c r="I13" s="5">
        <f t="shared" si="0"/>
        <v>331.55</v>
      </c>
      <c r="J13" s="5">
        <f t="shared" si="1"/>
        <v>174063.75</v>
      </c>
    </row>
    <row r="14" spans="1:10" x14ac:dyDescent="0.3">
      <c r="A14" t="s">
        <v>49</v>
      </c>
      <c r="B14" s="2" t="s">
        <v>50</v>
      </c>
      <c r="C14" s="3">
        <v>45212</v>
      </c>
      <c r="D14" t="s">
        <v>41</v>
      </c>
      <c r="E14" t="s">
        <v>42</v>
      </c>
      <c r="F14" s="4">
        <v>8125</v>
      </c>
      <c r="G14" s="5">
        <f>VLOOKUP(A14,Data!$B$2:$C$56,2,FALSE)</f>
        <v>15</v>
      </c>
      <c r="H14" s="6">
        <f>VLOOKUP(F14,Data!F$2:G$8,2,TRUE)</f>
        <v>0.2</v>
      </c>
      <c r="I14" s="5">
        <f t="shared" si="0"/>
        <v>12</v>
      </c>
      <c r="J14" s="5">
        <f t="shared" si="1"/>
        <v>97500</v>
      </c>
    </row>
    <row r="15" spans="1:10" x14ac:dyDescent="0.3">
      <c r="A15" t="s">
        <v>51</v>
      </c>
      <c r="B15" s="2" t="s">
        <v>52</v>
      </c>
      <c r="C15" s="3">
        <v>45225</v>
      </c>
      <c r="D15" t="s">
        <v>10</v>
      </c>
      <c r="E15" t="s">
        <v>11</v>
      </c>
      <c r="F15" s="4">
        <v>1500</v>
      </c>
      <c r="G15" s="5">
        <f>VLOOKUP(A15,Data!$B$2:$C$56,2,FALSE)</f>
        <v>99</v>
      </c>
      <c r="H15" s="6">
        <f>VLOOKUP(F15,Data!F$2:G$8,2,TRUE)</f>
        <v>0</v>
      </c>
      <c r="I15" s="5">
        <f t="shared" si="0"/>
        <v>99</v>
      </c>
      <c r="J15" s="5">
        <f t="shared" si="1"/>
        <v>148500</v>
      </c>
    </row>
    <row r="16" spans="1:10" x14ac:dyDescent="0.3">
      <c r="A16" t="s">
        <v>45</v>
      </c>
      <c r="B16" s="2" t="s">
        <v>53</v>
      </c>
      <c r="C16" s="3">
        <v>45203</v>
      </c>
      <c r="D16" t="s">
        <v>54</v>
      </c>
      <c r="E16" t="s">
        <v>55</v>
      </c>
      <c r="F16" s="4"/>
      <c r="G16" s="5">
        <f>VLOOKUP(A16,Data!$B$2:$C$56,2,FALSE)</f>
        <v>549</v>
      </c>
      <c r="H16" s="6">
        <f>VLOOKUP(F16,Data!F$2:G$8,2,TRUE)</f>
        <v>0</v>
      </c>
      <c r="I16" s="5">
        <f t="shared" si="0"/>
        <v>549</v>
      </c>
      <c r="J16" s="5">
        <f t="shared" si="1"/>
        <v>0</v>
      </c>
    </row>
    <row r="17" spans="1:10" x14ac:dyDescent="0.3">
      <c r="A17" t="s">
        <v>56</v>
      </c>
      <c r="B17" s="2" t="s">
        <v>57</v>
      </c>
      <c r="C17" s="3">
        <v>45218</v>
      </c>
      <c r="D17" t="s">
        <v>41</v>
      </c>
      <c r="E17" t="s">
        <v>42</v>
      </c>
      <c r="F17" s="4">
        <v>2525</v>
      </c>
      <c r="G17" s="5">
        <f>VLOOKUP(A17,Data!$B$2:$C$56,2,FALSE)</f>
        <v>15</v>
      </c>
      <c r="H17" s="6">
        <f>VLOOKUP(F17,Data!F$2:G$8,2,TRUE)</f>
        <v>0</v>
      </c>
      <c r="I17" s="5">
        <f t="shared" si="0"/>
        <v>15</v>
      </c>
      <c r="J17" s="5">
        <f t="shared" si="1"/>
        <v>37875</v>
      </c>
    </row>
    <row r="18" spans="1:10" x14ac:dyDescent="0.3">
      <c r="A18" t="s">
        <v>8</v>
      </c>
      <c r="B18" s="2" t="s">
        <v>58</v>
      </c>
      <c r="C18" s="3">
        <v>45175</v>
      </c>
      <c r="D18" t="s">
        <v>59</v>
      </c>
      <c r="E18" t="s">
        <v>60</v>
      </c>
      <c r="F18" s="4">
        <v>1250</v>
      </c>
      <c r="G18" s="5">
        <f>VLOOKUP(A18,Data!$B$2:$C$56,2,FALSE)</f>
        <v>299</v>
      </c>
      <c r="H18" s="6">
        <f>VLOOKUP(F18,Data!F$2:G$8,2,TRUE)</f>
        <v>0</v>
      </c>
      <c r="I18" s="5">
        <f t="shared" si="0"/>
        <v>299</v>
      </c>
      <c r="J18" s="5">
        <f t="shared" si="1"/>
        <v>373750</v>
      </c>
    </row>
    <row r="19" spans="1:10" x14ac:dyDescent="0.3">
      <c r="A19" t="s">
        <v>47</v>
      </c>
      <c r="B19" s="2" t="s">
        <v>61</v>
      </c>
      <c r="C19" s="3">
        <v>45190</v>
      </c>
      <c r="D19" t="s">
        <v>62</v>
      </c>
      <c r="E19" t="s">
        <v>11</v>
      </c>
      <c r="F19" s="4">
        <v>625</v>
      </c>
      <c r="G19" s="5">
        <f>VLOOKUP(A19,Data!$B$2:$C$56,2,FALSE)</f>
        <v>349</v>
      </c>
      <c r="H19" s="6">
        <f>VLOOKUP(F19,Data!F$2:G$8,2,TRUE)</f>
        <v>0.05</v>
      </c>
      <c r="I19" s="5">
        <f t="shared" si="0"/>
        <v>331.55</v>
      </c>
      <c r="J19" s="5">
        <f t="shared" si="1"/>
        <v>207218.75</v>
      </c>
    </row>
    <row r="20" spans="1:10" x14ac:dyDescent="0.3">
      <c r="A20" t="s">
        <v>63</v>
      </c>
      <c r="B20" s="2" t="s">
        <v>64</v>
      </c>
      <c r="C20" s="3">
        <v>45206</v>
      </c>
      <c r="D20" t="s">
        <v>25</v>
      </c>
      <c r="E20" t="s">
        <v>26</v>
      </c>
      <c r="F20" s="4">
        <v>1350</v>
      </c>
      <c r="G20" s="5">
        <f>VLOOKUP(A20,Data!$B$2:$C$56,2,FALSE)</f>
        <v>649</v>
      </c>
      <c r="H20" s="6">
        <f>VLOOKUP(F20,Data!F$2:G$8,2,TRUE)</f>
        <v>0</v>
      </c>
      <c r="I20" s="5">
        <f t="shared" si="0"/>
        <v>649</v>
      </c>
      <c r="J20" s="5">
        <f t="shared" si="1"/>
        <v>876150</v>
      </c>
    </row>
    <row r="21" spans="1:10" x14ac:dyDescent="0.3">
      <c r="A21" t="s">
        <v>65</v>
      </c>
      <c r="B21" s="2" t="s">
        <v>66</v>
      </c>
      <c r="C21" s="3">
        <v>45241</v>
      </c>
      <c r="D21" t="s">
        <v>59</v>
      </c>
      <c r="E21" t="s">
        <v>60</v>
      </c>
      <c r="F21" s="4">
        <v>450</v>
      </c>
      <c r="G21" s="5">
        <f>VLOOKUP(A21,Data!$B$2:$C$56,2,FALSE)</f>
        <v>299</v>
      </c>
      <c r="H21" s="6">
        <f>VLOOKUP(F21,Data!F$2:G$8,2,TRUE)</f>
        <v>0</v>
      </c>
      <c r="I21" s="5">
        <f t="shared" si="0"/>
        <v>299</v>
      </c>
      <c r="J21" s="5">
        <f t="shared" si="1"/>
        <v>134550</v>
      </c>
    </row>
    <row r="22" spans="1:10" x14ac:dyDescent="0.3">
      <c r="A22" t="s">
        <v>31</v>
      </c>
      <c r="B22" s="2" t="s">
        <v>67</v>
      </c>
      <c r="C22" s="3">
        <v>45205</v>
      </c>
      <c r="D22" t="s">
        <v>29</v>
      </c>
      <c r="E22" t="s">
        <v>30</v>
      </c>
      <c r="F22" s="4">
        <v>1230</v>
      </c>
      <c r="G22" s="5">
        <f>VLOOKUP(A22,Data!$B$2:$C$56,2,FALSE)</f>
        <v>179</v>
      </c>
      <c r="H22" s="6">
        <f>VLOOKUP(F22,Data!F$2:G$8,2,TRUE)</f>
        <v>0</v>
      </c>
      <c r="I22" s="5">
        <f t="shared" si="0"/>
        <v>179</v>
      </c>
      <c r="J22" s="5">
        <f t="shared" si="1"/>
        <v>220170</v>
      </c>
    </row>
    <row r="23" spans="1:10" x14ac:dyDescent="0.3">
      <c r="A23" t="s">
        <v>68</v>
      </c>
      <c r="B23" s="2" t="s">
        <v>69</v>
      </c>
      <c r="C23" s="3">
        <v>45225</v>
      </c>
      <c r="D23" t="s">
        <v>29</v>
      </c>
      <c r="E23" t="s">
        <v>30</v>
      </c>
      <c r="F23" s="4">
        <v>225</v>
      </c>
      <c r="G23" s="5">
        <f>VLOOKUP(A23,Data!$B$2:$C$56,2,FALSE)</f>
        <v>749</v>
      </c>
      <c r="H23" s="6">
        <f>VLOOKUP(F23,Data!F$2:G$8,2,TRUE)</f>
        <v>0</v>
      </c>
      <c r="I23" s="5">
        <f t="shared" si="0"/>
        <v>749</v>
      </c>
      <c r="J23" s="5">
        <f t="shared" si="1"/>
        <v>168525</v>
      </c>
    </row>
    <row r="24" spans="1:10" x14ac:dyDescent="0.3">
      <c r="A24" t="s">
        <v>70</v>
      </c>
      <c r="B24" s="2" t="s">
        <v>71</v>
      </c>
      <c r="C24" s="3">
        <v>45173</v>
      </c>
      <c r="D24" t="s">
        <v>41</v>
      </c>
      <c r="E24" t="s">
        <v>42</v>
      </c>
      <c r="F24" s="4"/>
      <c r="G24" s="5">
        <f>VLOOKUP(A24,Data!$B$2:$C$56,2,FALSE)</f>
        <v>99</v>
      </c>
      <c r="H24" s="6">
        <f>VLOOKUP(F24,Data!F$2:G$8,2,TRUE)</f>
        <v>0</v>
      </c>
      <c r="I24" s="5">
        <f t="shared" si="0"/>
        <v>99</v>
      </c>
      <c r="J24" s="5">
        <f t="shared" si="1"/>
        <v>0</v>
      </c>
    </row>
    <row r="25" spans="1:10" x14ac:dyDescent="0.3">
      <c r="A25" t="s">
        <v>72</v>
      </c>
      <c r="B25" s="2" t="s">
        <v>73</v>
      </c>
      <c r="C25" s="3">
        <v>45169</v>
      </c>
      <c r="D25" t="s">
        <v>74</v>
      </c>
      <c r="E25" t="s">
        <v>26</v>
      </c>
      <c r="F25" s="4">
        <v>1680</v>
      </c>
      <c r="G25" s="5">
        <f>VLOOKUP(A25,Data!$B$2:$C$56,2,FALSE)</f>
        <v>65</v>
      </c>
      <c r="H25" s="6">
        <f>VLOOKUP(F25,Data!F$2:G$8,2,TRUE)</f>
        <v>0</v>
      </c>
      <c r="I25" s="5">
        <f t="shared" si="0"/>
        <v>65</v>
      </c>
      <c r="J25" s="5">
        <f t="shared" si="1"/>
        <v>109200</v>
      </c>
    </row>
    <row r="26" spans="1:10" x14ac:dyDescent="0.3">
      <c r="A26" t="s">
        <v>75</v>
      </c>
      <c r="B26" s="2" t="s">
        <v>76</v>
      </c>
      <c r="C26" s="3">
        <v>45159</v>
      </c>
      <c r="D26" t="s">
        <v>33</v>
      </c>
      <c r="E26" t="s">
        <v>34</v>
      </c>
      <c r="F26" s="4">
        <v>3120</v>
      </c>
      <c r="G26" s="5">
        <f>VLOOKUP(A26,Data!$B$2:$C$56,2,FALSE)</f>
        <v>119</v>
      </c>
      <c r="H26" s="6">
        <f>VLOOKUP(F26,Data!F$2:G$8,2,TRUE)</f>
        <v>0</v>
      </c>
      <c r="I26" s="5">
        <f t="shared" si="0"/>
        <v>119</v>
      </c>
      <c r="J26" s="5">
        <f t="shared" si="1"/>
        <v>371280</v>
      </c>
    </row>
    <row r="27" spans="1:10" x14ac:dyDescent="0.3">
      <c r="A27" t="s">
        <v>77</v>
      </c>
      <c r="B27" s="2" t="s">
        <v>78</v>
      </c>
      <c r="C27" s="3">
        <v>45184</v>
      </c>
      <c r="D27" t="s">
        <v>10</v>
      </c>
      <c r="E27" t="s">
        <v>11</v>
      </c>
      <c r="F27" s="4">
        <v>500</v>
      </c>
      <c r="G27" s="5">
        <f>VLOOKUP(A27,Data!$B$2:$C$56,2,FALSE)</f>
        <v>149</v>
      </c>
      <c r="H27" s="6">
        <f>VLOOKUP(F27,Data!F$2:G$8,2,TRUE)</f>
        <v>0.05</v>
      </c>
      <c r="I27" s="5">
        <f t="shared" si="0"/>
        <v>141.54999999999998</v>
      </c>
      <c r="J27" s="5">
        <f t="shared" si="1"/>
        <v>70774.999999999985</v>
      </c>
    </row>
    <row r="28" spans="1:10" x14ac:dyDescent="0.3">
      <c r="A28" t="s">
        <v>16</v>
      </c>
      <c r="B28" s="2" t="s">
        <v>79</v>
      </c>
      <c r="C28" s="3">
        <v>45176</v>
      </c>
      <c r="D28" t="s">
        <v>74</v>
      </c>
      <c r="E28" t="s">
        <v>26</v>
      </c>
      <c r="F28" s="4">
        <v>2125</v>
      </c>
      <c r="G28" s="5">
        <f>VLOOKUP(A28,Data!$B$2:$C$56,2,FALSE)</f>
        <v>229</v>
      </c>
      <c r="H28" s="6">
        <f>VLOOKUP(F28,Data!F$2:G$8,2,TRUE)</f>
        <v>0</v>
      </c>
      <c r="I28" s="5">
        <f t="shared" si="0"/>
        <v>229</v>
      </c>
      <c r="J28" s="5">
        <f t="shared" si="1"/>
        <v>486625</v>
      </c>
    </row>
    <row r="29" spans="1:10" x14ac:dyDescent="0.3">
      <c r="A29" t="s">
        <v>80</v>
      </c>
      <c r="B29" s="2" t="s">
        <v>81</v>
      </c>
      <c r="C29" s="3">
        <v>45171</v>
      </c>
      <c r="D29" t="s">
        <v>29</v>
      </c>
      <c r="E29" t="s">
        <v>30</v>
      </c>
      <c r="F29" s="4">
        <v>5150</v>
      </c>
      <c r="G29" s="5">
        <f>VLOOKUP(A29,Data!$B$2:$C$56,2,FALSE)</f>
        <v>80</v>
      </c>
      <c r="H29" s="6">
        <f>VLOOKUP(F29,Data!F$2:G$8,2,TRUE)</f>
        <v>0.2</v>
      </c>
      <c r="I29" s="5">
        <f t="shared" si="0"/>
        <v>64</v>
      </c>
      <c r="J29" s="5">
        <f t="shared" si="1"/>
        <v>329600</v>
      </c>
    </row>
    <row r="30" spans="1:10" x14ac:dyDescent="0.3">
      <c r="A30" t="s">
        <v>82</v>
      </c>
      <c r="B30" s="2" t="s">
        <v>83</v>
      </c>
      <c r="C30" s="3">
        <v>45188</v>
      </c>
      <c r="D30" t="s">
        <v>37</v>
      </c>
      <c r="E30" t="s">
        <v>38</v>
      </c>
      <c r="F30" s="4">
        <v>1560</v>
      </c>
      <c r="G30" s="5">
        <f>VLOOKUP(A30,Data!$B$2:$C$56,2,FALSE)</f>
        <v>25</v>
      </c>
      <c r="H30" s="6">
        <f>VLOOKUP(F30,Data!F$2:G$8,2,TRUE)</f>
        <v>0</v>
      </c>
      <c r="I30" s="5">
        <f t="shared" si="0"/>
        <v>25</v>
      </c>
      <c r="J30" s="5">
        <f t="shared" si="1"/>
        <v>39000</v>
      </c>
    </row>
    <row r="31" spans="1:10" ht="15" thickBot="1" x14ac:dyDescent="0.35">
      <c r="A31" s="7" t="s">
        <v>84</v>
      </c>
      <c r="B31" s="8" t="s">
        <v>85</v>
      </c>
      <c r="C31" s="9">
        <v>45163</v>
      </c>
      <c r="D31" s="7" t="s">
        <v>74</v>
      </c>
      <c r="E31" s="7" t="s">
        <v>26</v>
      </c>
      <c r="F31" s="10">
        <v>9850</v>
      </c>
      <c r="G31" s="5">
        <f>VLOOKUP(A31,Data!$B$2:$C$56,2,FALSE)</f>
        <v>10</v>
      </c>
      <c r="H31" s="6">
        <f>VLOOKUP(F31,Data!F$2:G$8,2,TRUE)</f>
        <v>0.2</v>
      </c>
      <c r="I31" s="11">
        <f t="shared" si="0"/>
        <v>8</v>
      </c>
      <c r="J31" s="11">
        <f t="shared" si="1"/>
        <v>78800</v>
      </c>
    </row>
  </sheetData>
  <dataValidations count="2">
    <dataValidation type="whole" allowBlank="1" showInputMessage="1" showErrorMessage="1" sqref="F1" xr:uid="{BEA73786-B302-453D-B4DB-D2F74EE59567}">
      <formula1>1</formula1>
      <formula2>10000</formula2>
    </dataValidation>
    <dataValidation type="whole" showInputMessage="1" showErrorMessage="1" sqref="F2:F31" xr:uid="{A872D791-B2B0-466B-9B44-E9EBF416891F}">
      <formula1>1</formula1>
      <formula2>10000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9479-4709-4F3F-BB6C-068C038EC255}">
  <dimension ref="A1:G56"/>
  <sheetViews>
    <sheetView tabSelected="1" workbookViewId="0">
      <selection activeCell="G2" sqref="G2:G4"/>
    </sheetView>
  </sheetViews>
  <sheetFormatPr defaultRowHeight="14.4" x14ac:dyDescent="0.3"/>
  <cols>
    <col min="1" max="3" width="13.5546875" customWidth="1"/>
    <col min="6" max="6" width="15.6640625" customWidth="1"/>
    <col min="7" max="7" width="8.6640625" bestFit="1" customWidth="1"/>
  </cols>
  <sheetData>
    <row r="1" spans="1:7" ht="29.4" thickBot="1" x14ac:dyDescent="0.35">
      <c r="A1" s="1" t="s">
        <v>119</v>
      </c>
      <c r="B1" s="12" t="s">
        <v>118</v>
      </c>
      <c r="C1" s="12" t="s">
        <v>5</v>
      </c>
      <c r="F1" s="1" t="s">
        <v>86</v>
      </c>
      <c r="G1" s="12" t="s">
        <v>6</v>
      </c>
    </row>
    <row r="2" spans="1:7" x14ac:dyDescent="0.3">
      <c r="A2" s="16" t="s">
        <v>120</v>
      </c>
      <c r="B2" s="16" t="s">
        <v>87</v>
      </c>
      <c r="C2" s="17">
        <v>219</v>
      </c>
      <c r="F2" s="13">
        <v>0</v>
      </c>
      <c r="G2" s="14">
        <v>0</v>
      </c>
    </row>
    <row r="3" spans="1:7" x14ac:dyDescent="0.3">
      <c r="A3" t="s">
        <v>121</v>
      </c>
      <c r="B3" t="s">
        <v>88</v>
      </c>
      <c r="C3" s="5">
        <v>139</v>
      </c>
      <c r="F3" s="4">
        <v>500</v>
      </c>
      <c r="G3" s="14">
        <v>0.05</v>
      </c>
    </row>
    <row r="4" spans="1:7" x14ac:dyDescent="0.3">
      <c r="A4" t="s">
        <v>122</v>
      </c>
      <c r="B4" t="s">
        <v>89</v>
      </c>
      <c r="C4" s="5">
        <v>449</v>
      </c>
      <c r="F4" s="4">
        <v>1000</v>
      </c>
      <c r="G4" s="14"/>
    </row>
    <row r="5" spans="1:7" x14ac:dyDescent="0.3">
      <c r="A5" t="s">
        <v>123</v>
      </c>
      <c r="B5" t="s">
        <v>90</v>
      </c>
      <c r="C5" s="5">
        <v>199</v>
      </c>
      <c r="F5" s="4">
        <v>2000</v>
      </c>
      <c r="G5" s="14"/>
    </row>
    <row r="6" spans="1:7" x14ac:dyDescent="0.3">
      <c r="A6" t="s">
        <v>124</v>
      </c>
      <c r="B6" t="s">
        <v>56</v>
      </c>
      <c r="C6" s="5">
        <v>15</v>
      </c>
      <c r="F6" s="4">
        <v>3000</v>
      </c>
      <c r="G6" s="14"/>
    </row>
    <row r="7" spans="1:7" x14ac:dyDescent="0.3">
      <c r="A7" t="s">
        <v>125</v>
      </c>
      <c r="B7" t="s">
        <v>91</v>
      </c>
      <c r="C7" s="5">
        <v>35</v>
      </c>
      <c r="F7" s="4">
        <v>5000</v>
      </c>
      <c r="G7" s="14">
        <v>0.2</v>
      </c>
    </row>
    <row r="8" spans="1:7" ht="15" thickBot="1" x14ac:dyDescent="0.35">
      <c r="A8" t="s">
        <v>126</v>
      </c>
      <c r="B8" t="s">
        <v>27</v>
      </c>
      <c r="C8" s="5">
        <v>59</v>
      </c>
      <c r="F8" s="10">
        <v>10000</v>
      </c>
      <c r="G8" s="15">
        <v>0.25</v>
      </c>
    </row>
    <row r="9" spans="1:7" x14ac:dyDescent="0.3">
      <c r="A9" t="s">
        <v>127</v>
      </c>
      <c r="B9" t="s">
        <v>92</v>
      </c>
      <c r="C9" s="5">
        <v>60</v>
      </c>
    </row>
    <row r="10" spans="1:7" x14ac:dyDescent="0.3">
      <c r="A10" t="s">
        <v>128</v>
      </c>
      <c r="B10" t="s">
        <v>70</v>
      </c>
      <c r="C10" s="5">
        <v>99</v>
      </c>
    </row>
    <row r="11" spans="1:7" x14ac:dyDescent="0.3">
      <c r="A11" t="s">
        <v>129</v>
      </c>
      <c r="B11" t="s">
        <v>93</v>
      </c>
      <c r="C11" s="5">
        <v>549</v>
      </c>
    </row>
    <row r="12" spans="1:7" x14ac:dyDescent="0.3">
      <c r="A12" t="s">
        <v>130</v>
      </c>
      <c r="B12" t="s">
        <v>94</v>
      </c>
      <c r="C12" s="5">
        <v>75</v>
      </c>
    </row>
    <row r="13" spans="1:7" x14ac:dyDescent="0.3">
      <c r="A13" t="s">
        <v>131</v>
      </c>
      <c r="B13" t="s">
        <v>95</v>
      </c>
      <c r="C13" s="5">
        <v>799</v>
      </c>
    </row>
    <row r="14" spans="1:7" x14ac:dyDescent="0.3">
      <c r="A14" t="s">
        <v>132</v>
      </c>
      <c r="B14" t="s">
        <v>82</v>
      </c>
      <c r="C14" s="5">
        <v>25</v>
      </c>
    </row>
    <row r="15" spans="1:7" x14ac:dyDescent="0.3">
      <c r="A15" t="s">
        <v>133</v>
      </c>
      <c r="B15" t="s">
        <v>68</v>
      </c>
      <c r="C15" s="5">
        <v>749</v>
      </c>
    </row>
    <row r="16" spans="1:7" x14ac:dyDescent="0.3">
      <c r="A16" t="s">
        <v>134</v>
      </c>
      <c r="B16" t="s">
        <v>45</v>
      </c>
      <c r="C16" s="5">
        <v>549</v>
      </c>
    </row>
    <row r="17" spans="1:3" x14ac:dyDescent="0.3">
      <c r="A17" t="s">
        <v>135</v>
      </c>
      <c r="B17" t="s">
        <v>96</v>
      </c>
      <c r="C17" s="5">
        <v>100</v>
      </c>
    </row>
    <row r="18" spans="1:3" x14ac:dyDescent="0.3">
      <c r="A18" t="s">
        <v>136</v>
      </c>
      <c r="B18" t="s">
        <v>97</v>
      </c>
      <c r="C18" s="5">
        <v>599</v>
      </c>
    </row>
    <row r="19" spans="1:3" x14ac:dyDescent="0.3">
      <c r="A19" t="s">
        <v>137</v>
      </c>
      <c r="B19" t="s">
        <v>31</v>
      </c>
      <c r="C19" s="5">
        <v>179</v>
      </c>
    </row>
    <row r="20" spans="1:3" x14ac:dyDescent="0.3">
      <c r="A20" t="s">
        <v>138</v>
      </c>
      <c r="B20" t="s">
        <v>98</v>
      </c>
      <c r="C20" s="5">
        <v>40</v>
      </c>
    </row>
    <row r="21" spans="1:3" x14ac:dyDescent="0.3">
      <c r="A21" t="s">
        <v>139</v>
      </c>
      <c r="B21" t="s">
        <v>12</v>
      </c>
      <c r="C21" s="5">
        <v>399</v>
      </c>
    </row>
    <row r="22" spans="1:3" x14ac:dyDescent="0.3">
      <c r="A22" t="s">
        <v>140</v>
      </c>
      <c r="B22" t="s">
        <v>75</v>
      </c>
      <c r="C22" s="5">
        <v>119</v>
      </c>
    </row>
    <row r="23" spans="1:3" x14ac:dyDescent="0.3">
      <c r="A23" t="s">
        <v>141</v>
      </c>
      <c r="B23" t="s">
        <v>39</v>
      </c>
      <c r="C23" s="5">
        <v>799</v>
      </c>
    </row>
    <row r="24" spans="1:3" x14ac:dyDescent="0.3">
      <c r="A24" t="s">
        <v>142</v>
      </c>
      <c r="B24" t="s">
        <v>23</v>
      </c>
      <c r="C24" s="5">
        <v>399</v>
      </c>
    </row>
    <row r="25" spans="1:3" x14ac:dyDescent="0.3">
      <c r="A25" t="s">
        <v>143</v>
      </c>
      <c r="B25" t="s">
        <v>72</v>
      </c>
      <c r="C25" s="5">
        <v>65</v>
      </c>
    </row>
    <row r="26" spans="1:3" x14ac:dyDescent="0.3">
      <c r="A26" t="s">
        <v>144</v>
      </c>
      <c r="B26" t="s">
        <v>99</v>
      </c>
      <c r="C26" s="5">
        <v>699</v>
      </c>
    </row>
    <row r="27" spans="1:3" x14ac:dyDescent="0.3">
      <c r="A27" t="s">
        <v>145</v>
      </c>
      <c r="B27" t="s">
        <v>80</v>
      </c>
      <c r="C27" s="5">
        <v>80</v>
      </c>
    </row>
    <row r="28" spans="1:3" x14ac:dyDescent="0.3">
      <c r="A28" t="s">
        <v>146</v>
      </c>
      <c r="B28" t="s">
        <v>100</v>
      </c>
      <c r="C28" s="5">
        <v>699</v>
      </c>
    </row>
    <row r="29" spans="1:3" x14ac:dyDescent="0.3">
      <c r="A29" t="s">
        <v>147</v>
      </c>
      <c r="B29" t="s">
        <v>63</v>
      </c>
      <c r="C29" s="5">
        <v>649</v>
      </c>
    </row>
    <row r="30" spans="1:3" x14ac:dyDescent="0.3">
      <c r="A30" t="s">
        <v>148</v>
      </c>
      <c r="B30" t="s">
        <v>101</v>
      </c>
      <c r="C30" s="5">
        <v>88</v>
      </c>
    </row>
    <row r="31" spans="1:3" x14ac:dyDescent="0.3">
      <c r="A31" t="s">
        <v>149</v>
      </c>
      <c r="B31" t="s">
        <v>80</v>
      </c>
      <c r="C31" s="5">
        <v>90</v>
      </c>
    </row>
    <row r="32" spans="1:3" x14ac:dyDescent="0.3">
      <c r="A32" t="s">
        <v>150</v>
      </c>
      <c r="B32" t="s">
        <v>16</v>
      </c>
      <c r="C32" s="5">
        <v>229</v>
      </c>
    </row>
    <row r="33" spans="1:3" x14ac:dyDescent="0.3">
      <c r="A33" t="s">
        <v>151</v>
      </c>
      <c r="B33" t="s">
        <v>65</v>
      </c>
      <c r="C33" s="5">
        <v>299</v>
      </c>
    </row>
    <row r="34" spans="1:3" x14ac:dyDescent="0.3">
      <c r="A34" t="s">
        <v>152</v>
      </c>
      <c r="B34" t="s">
        <v>102</v>
      </c>
      <c r="C34" s="5">
        <v>599</v>
      </c>
    </row>
    <row r="35" spans="1:3" x14ac:dyDescent="0.3">
      <c r="A35" t="s">
        <v>153</v>
      </c>
      <c r="B35" t="s">
        <v>19</v>
      </c>
      <c r="C35" s="5">
        <v>449</v>
      </c>
    </row>
    <row r="36" spans="1:3" x14ac:dyDescent="0.3">
      <c r="A36" t="s">
        <v>154</v>
      </c>
      <c r="B36" t="s">
        <v>103</v>
      </c>
      <c r="C36" s="5">
        <v>45</v>
      </c>
    </row>
    <row r="37" spans="1:3" x14ac:dyDescent="0.3">
      <c r="A37" t="s">
        <v>155</v>
      </c>
      <c r="B37" t="s">
        <v>104</v>
      </c>
      <c r="C37" s="5">
        <v>119</v>
      </c>
    </row>
    <row r="38" spans="1:3" x14ac:dyDescent="0.3">
      <c r="A38" t="s">
        <v>156</v>
      </c>
      <c r="B38" t="s">
        <v>105</v>
      </c>
      <c r="C38" s="5">
        <v>65</v>
      </c>
    </row>
    <row r="39" spans="1:3" x14ac:dyDescent="0.3">
      <c r="A39" t="s">
        <v>157</v>
      </c>
      <c r="B39" t="s">
        <v>35</v>
      </c>
      <c r="C39" s="5">
        <v>199</v>
      </c>
    </row>
    <row r="40" spans="1:3" x14ac:dyDescent="0.3">
      <c r="A40" t="s">
        <v>158</v>
      </c>
      <c r="B40" t="s">
        <v>106</v>
      </c>
      <c r="C40" s="5">
        <v>109</v>
      </c>
    </row>
    <row r="41" spans="1:3" x14ac:dyDescent="0.3">
      <c r="A41" t="s">
        <v>159</v>
      </c>
      <c r="B41" t="s">
        <v>8</v>
      </c>
      <c r="C41" s="5">
        <v>299</v>
      </c>
    </row>
    <row r="42" spans="1:3" x14ac:dyDescent="0.3">
      <c r="A42" t="s">
        <v>160</v>
      </c>
      <c r="B42" t="s">
        <v>77</v>
      </c>
      <c r="C42" s="5">
        <v>149</v>
      </c>
    </row>
    <row r="43" spans="1:3" x14ac:dyDescent="0.3">
      <c r="A43" t="s">
        <v>161</v>
      </c>
      <c r="B43" t="s">
        <v>47</v>
      </c>
      <c r="C43" s="5">
        <v>349</v>
      </c>
    </row>
    <row r="44" spans="1:3" x14ac:dyDescent="0.3">
      <c r="A44" t="s">
        <v>162</v>
      </c>
      <c r="B44" t="s">
        <v>49</v>
      </c>
      <c r="C44" s="5">
        <v>15</v>
      </c>
    </row>
    <row r="45" spans="1:3" x14ac:dyDescent="0.3">
      <c r="A45" t="s">
        <v>163</v>
      </c>
      <c r="B45" t="s">
        <v>107</v>
      </c>
      <c r="C45" s="5">
        <v>149</v>
      </c>
    </row>
    <row r="46" spans="1:3" x14ac:dyDescent="0.3">
      <c r="A46" t="s">
        <v>164</v>
      </c>
      <c r="B46" t="s">
        <v>108</v>
      </c>
      <c r="C46" s="5">
        <v>119</v>
      </c>
    </row>
    <row r="47" spans="1:3" x14ac:dyDescent="0.3">
      <c r="A47" t="s">
        <v>165</v>
      </c>
      <c r="B47" t="s">
        <v>51</v>
      </c>
      <c r="C47" s="5">
        <v>99</v>
      </c>
    </row>
    <row r="48" spans="1:3" x14ac:dyDescent="0.3">
      <c r="A48" t="s">
        <v>166</v>
      </c>
      <c r="B48" t="s">
        <v>109</v>
      </c>
      <c r="C48" s="5">
        <v>99</v>
      </c>
    </row>
    <row r="49" spans="1:3" x14ac:dyDescent="0.3">
      <c r="A49" t="s">
        <v>167</v>
      </c>
      <c r="B49" t="s">
        <v>110</v>
      </c>
      <c r="C49" s="5">
        <v>129</v>
      </c>
    </row>
    <row r="50" spans="1:3" x14ac:dyDescent="0.3">
      <c r="A50" t="s">
        <v>168</v>
      </c>
      <c r="B50" t="s">
        <v>111</v>
      </c>
      <c r="C50" s="5">
        <v>999</v>
      </c>
    </row>
    <row r="51" spans="1:3" x14ac:dyDescent="0.3">
      <c r="A51" t="s">
        <v>169</v>
      </c>
      <c r="B51" t="s">
        <v>43</v>
      </c>
      <c r="C51" s="5">
        <v>399</v>
      </c>
    </row>
    <row r="52" spans="1:3" x14ac:dyDescent="0.3">
      <c r="A52" t="s">
        <v>170</v>
      </c>
      <c r="B52" t="s">
        <v>112</v>
      </c>
      <c r="C52" s="5">
        <v>499</v>
      </c>
    </row>
    <row r="53" spans="1:3" x14ac:dyDescent="0.3">
      <c r="A53" t="s">
        <v>171</v>
      </c>
      <c r="B53" t="s">
        <v>84</v>
      </c>
      <c r="C53" s="5">
        <v>10</v>
      </c>
    </row>
    <row r="54" spans="1:3" x14ac:dyDescent="0.3">
      <c r="A54" t="s">
        <v>172</v>
      </c>
      <c r="B54" t="s">
        <v>113</v>
      </c>
      <c r="C54" s="5">
        <v>55</v>
      </c>
    </row>
    <row r="55" spans="1:3" x14ac:dyDescent="0.3">
      <c r="A55" t="s">
        <v>173</v>
      </c>
      <c r="B55" t="s">
        <v>114</v>
      </c>
      <c r="C55" s="5">
        <v>75</v>
      </c>
    </row>
    <row r="56" spans="1:3" ht="15" thickBot="1" x14ac:dyDescent="0.35">
      <c r="A56" s="7" t="s">
        <v>174</v>
      </c>
      <c r="B56" s="7" t="s">
        <v>115</v>
      </c>
      <c r="C56" s="11">
        <v>519</v>
      </c>
    </row>
  </sheetData>
  <dataValidations count="1">
    <dataValidation type="decimal" allowBlank="1" showInputMessage="1" showErrorMessage="1" sqref="G1:G8" xr:uid="{B9BAE3A3-86B4-436C-A01B-C7310F9B88D0}">
      <formula1>0</formula1>
      <formula2>0.9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2026-02-02T14:26:50Z</dcterms:modified>
</cp:coreProperties>
</file>
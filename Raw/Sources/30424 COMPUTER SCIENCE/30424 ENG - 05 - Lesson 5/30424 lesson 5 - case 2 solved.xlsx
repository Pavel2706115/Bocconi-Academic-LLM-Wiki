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mau\Desktop\30424\2024-2025\Lezioni draft\30424 ENG - 05 - Lesson 5 v.2.0\2. To upload on BBoard\"/>
    </mc:Choice>
  </mc:AlternateContent>
  <xr:revisionPtr revIDLastSave="0" documentId="13_ncr:1_{DE673974-494B-4923-90F4-8A5215460601}" xr6:coauthVersionLast="47" xr6:coauthVersionMax="47" xr10:uidLastSave="{00000000-0000-0000-0000-000000000000}"/>
  <bookViews>
    <workbookView xWindow="-120" yWindow="-120" windowWidth="29040" windowHeight="15840" xr2:uid="{00000000-000D-0000-FFFF-FFFF00000000}"/>
  </bookViews>
  <sheets>
    <sheet name="Case development" sheetId="9" r:id="rId1"/>
    <sheet name="Solar panels" sheetId="10" r:id="rId2"/>
  </sheets>
  <definedNames>
    <definedName name="_xlnm._FilterDatabase" localSheetId="1" hidden="1">'Solar panels'!$A$1:$G$94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10" l="1"/>
  <c r="J4" i="10"/>
  <c r="J5" i="10"/>
  <c r="J6" i="10"/>
  <c r="J7" i="10"/>
  <c r="J8" i="10"/>
  <c r="J9" i="10"/>
  <c r="J10" i="10"/>
  <c r="J11" i="10"/>
  <c r="J12" i="10"/>
  <c r="J13" i="10"/>
  <c r="J14" i="10"/>
  <c r="J15" i="10"/>
  <c r="J16" i="10"/>
  <c r="J17" i="10"/>
  <c r="J18" i="10"/>
  <c r="J19" i="10"/>
  <c r="J20" i="10"/>
  <c r="J21" i="10"/>
  <c r="J22" i="10"/>
  <c r="J23" i="10"/>
  <c r="J24" i="10"/>
  <c r="J25" i="10"/>
  <c r="J26" i="10"/>
  <c r="J27" i="10"/>
  <c r="J28" i="10"/>
  <c r="J29" i="10"/>
  <c r="J30" i="10"/>
  <c r="J31" i="10"/>
  <c r="J32" i="10"/>
  <c r="J33" i="10"/>
  <c r="J34" i="10"/>
  <c r="J35" i="10"/>
  <c r="J36" i="10"/>
  <c r="J37" i="10"/>
  <c r="J38" i="10"/>
  <c r="J39" i="10"/>
  <c r="J40" i="10"/>
  <c r="J41" i="10"/>
  <c r="J42" i="10"/>
  <c r="J43" i="10"/>
  <c r="J44" i="10"/>
  <c r="J45" i="10"/>
  <c r="J46" i="10"/>
  <c r="J47" i="10"/>
  <c r="J48" i="10"/>
  <c r="J49" i="10"/>
  <c r="J50" i="10"/>
  <c r="J51" i="10"/>
  <c r="J52" i="10"/>
  <c r="J53" i="10"/>
  <c r="J54" i="10"/>
  <c r="J55" i="10"/>
  <c r="J56" i="10"/>
  <c r="J57" i="10"/>
  <c r="J58" i="10"/>
  <c r="J59" i="10"/>
  <c r="J60" i="10"/>
  <c r="J61" i="10"/>
  <c r="J62" i="10"/>
  <c r="J63" i="10"/>
  <c r="J64" i="10"/>
  <c r="J65" i="10"/>
  <c r="J66" i="10"/>
  <c r="J67" i="10"/>
  <c r="J68" i="10"/>
  <c r="J69" i="10"/>
  <c r="J70" i="10"/>
  <c r="J71" i="10"/>
  <c r="J72" i="10"/>
  <c r="J73" i="10"/>
  <c r="J74" i="10"/>
  <c r="J75" i="10"/>
  <c r="J76" i="10"/>
  <c r="J77" i="10"/>
  <c r="J78" i="10"/>
  <c r="J79" i="10"/>
  <c r="J80" i="10"/>
  <c r="J81" i="10"/>
  <c r="J82" i="10"/>
  <c r="J83" i="10"/>
  <c r="J84" i="10"/>
  <c r="J85" i="10"/>
  <c r="J86" i="10"/>
  <c r="J87" i="10"/>
  <c r="J88" i="10"/>
  <c r="J89" i="10"/>
  <c r="J90" i="10"/>
  <c r="J91" i="10"/>
  <c r="J92" i="10"/>
  <c r="J93" i="10"/>
  <c r="J94" i="10"/>
  <c r="J2" i="10"/>
  <c r="I3" i="10"/>
  <c r="I4" i="10"/>
  <c r="I5" i="10"/>
  <c r="I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57" i="10"/>
  <c r="I58" i="10"/>
  <c r="I59" i="10"/>
  <c r="I60" i="10"/>
  <c r="I61" i="10"/>
  <c r="I62" i="10"/>
  <c r="I63" i="10"/>
  <c r="I64" i="10"/>
  <c r="I65" i="10"/>
  <c r="I66" i="10"/>
  <c r="I67" i="10"/>
  <c r="I68" i="10"/>
  <c r="I69" i="10"/>
  <c r="I70" i="10"/>
  <c r="I71" i="10"/>
  <c r="I72" i="10"/>
  <c r="I73" i="10"/>
  <c r="I74" i="10"/>
  <c r="I75" i="10"/>
  <c r="I76" i="10"/>
  <c r="I77" i="10"/>
  <c r="I78" i="10"/>
  <c r="I79" i="10"/>
  <c r="I80" i="10"/>
  <c r="I81" i="10"/>
  <c r="I82" i="10"/>
  <c r="I83" i="10"/>
  <c r="I84" i="10"/>
  <c r="I85" i="10"/>
  <c r="I86" i="10"/>
  <c r="I87" i="10"/>
  <c r="I88" i="10"/>
  <c r="I89" i="10"/>
  <c r="I90" i="10"/>
  <c r="I91" i="10"/>
  <c r="I92" i="10"/>
  <c r="I93" i="10"/>
  <c r="I94" i="10"/>
  <c r="I2" i="10" l="1"/>
</calcChain>
</file>

<file path=xl/sharedStrings.xml><?xml version="1.0" encoding="utf-8"?>
<sst xmlns="http://schemas.openxmlformats.org/spreadsheetml/2006/main" count="357" uniqueCount="151">
  <si>
    <t>To solve the case we need to:</t>
  </si>
  <si>
    <t>1.</t>
  </si>
  <si>
    <t>2.</t>
  </si>
  <si>
    <t>3.</t>
  </si>
  <si>
    <t>4.</t>
  </si>
  <si>
    <t>My personal notes:</t>
  </si>
  <si>
    <t>Model</t>
  </si>
  <si>
    <t>Producer</t>
  </si>
  <si>
    <t>Made in</t>
  </si>
  <si>
    <t>Quantity available</t>
  </si>
  <si>
    <t>List Price</t>
  </si>
  <si>
    <t>Shipping cost</t>
  </si>
  <si>
    <t>BP3125J</t>
  </si>
  <si>
    <t>BP Solar</t>
  </si>
  <si>
    <t>India</t>
  </si>
  <si>
    <t>KD135GX-LPU</t>
  </si>
  <si>
    <t>Kyocera</t>
  </si>
  <si>
    <t>Japan</t>
  </si>
  <si>
    <t>Y85</t>
  </si>
  <si>
    <t>Yingli</t>
  </si>
  <si>
    <t>China</t>
  </si>
  <si>
    <t>KD215GX-LPU</t>
  </si>
  <si>
    <t>REC210AE-US Silver</t>
  </si>
  <si>
    <t>Rec Solar</t>
  </si>
  <si>
    <t>Norway</t>
  </si>
  <si>
    <t>Sharp NU-U240F1</t>
  </si>
  <si>
    <t>Sharp</t>
  </si>
  <si>
    <t>USA</t>
  </si>
  <si>
    <t>G-SA060</t>
  </si>
  <si>
    <t>Kaneka</t>
  </si>
  <si>
    <t>PN 210N/HIP-210NKHA6</t>
  </si>
  <si>
    <t>Sanyo</t>
  </si>
  <si>
    <t>MF125UE5N</t>
  </si>
  <si>
    <t>Mitsubishi</t>
  </si>
  <si>
    <t>HIT-N215A01</t>
  </si>
  <si>
    <t>Germany</t>
  </si>
  <si>
    <t>KD135SX-UPU</t>
  </si>
  <si>
    <t>ST 85</t>
  </si>
  <si>
    <t>SunTech</t>
  </si>
  <si>
    <t>HiS-S227SG Module</t>
  </si>
  <si>
    <t>Hyundai</t>
  </si>
  <si>
    <t>South Korea</t>
  </si>
  <si>
    <t>REC205AE-US Black</t>
  </si>
  <si>
    <t>HIT-N220A01</t>
  </si>
  <si>
    <t>BPSX160B</t>
  </si>
  <si>
    <t>LPC238SM</t>
  </si>
  <si>
    <t>Samsung</t>
  </si>
  <si>
    <t>REC230PE-US - Black</t>
  </si>
  <si>
    <t>BP375J</t>
  </si>
  <si>
    <t>BSP30</t>
  </si>
  <si>
    <t>PowerUp Solar</t>
  </si>
  <si>
    <t>CON.E 175</t>
  </si>
  <si>
    <t>Conergy</t>
  </si>
  <si>
    <t>S142</t>
  </si>
  <si>
    <t>SW SW130</t>
  </si>
  <si>
    <t>SunWize</t>
  </si>
  <si>
    <t>REC220AE-US Black</t>
  </si>
  <si>
    <t>Sharp ND-224UC1</t>
  </si>
  <si>
    <t>S175</t>
  </si>
  <si>
    <t>KD225GX-LFB</t>
  </si>
  <si>
    <t>Mexico</t>
  </si>
  <si>
    <t>S80</t>
  </si>
  <si>
    <t>REC230AE-US Silver</t>
  </si>
  <si>
    <t>ES-A-200-FA3 (black)</t>
  </si>
  <si>
    <t>Evergreen Solar</t>
  </si>
  <si>
    <t>SB 220/01</t>
  </si>
  <si>
    <t>Solon Blue</t>
  </si>
  <si>
    <t>NB Solar NB-P180</t>
  </si>
  <si>
    <t>NB Solar</t>
  </si>
  <si>
    <t>CS CSI CS6P-230</t>
  </si>
  <si>
    <t>Canadian Solar</t>
  </si>
  <si>
    <t>Sharp ND-U235F1</t>
  </si>
  <si>
    <t>REC215AE-US Black</t>
  </si>
  <si>
    <t>Singapore</t>
  </si>
  <si>
    <t>T230 TSM-PAO5</t>
  </si>
  <si>
    <t>Trina Solar</t>
  </si>
  <si>
    <t>SW 245</t>
  </si>
  <si>
    <t>Solar World</t>
  </si>
  <si>
    <t>PN 215N/HIP-215NKHA6</t>
  </si>
  <si>
    <t>SW SW75</t>
  </si>
  <si>
    <t>REC205AE-US Silver</t>
  </si>
  <si>
    <t>SW 175</t>
  </si>
  <si>
    <t>PM230 Black Frame</t>
  </si>
  <si>
    <t>Ritek</t>
  </si>
  <si>
    <t>Taiwan</t>
  </si>
  <si>
    <t xml:space="preserve">SB 225/01 2BB </t>
  </si>
  <si>
    <t>T235 TSM-PAO5 BB</t>
  </si>
  <si>
    <t>KD235GX-LFB</t>
  </si>
  <si>
    <t>REC220AE-US Silver</t>
  </si>
  <si>
    <t>REC210AE-US Black</t>
  </si>
  <si>
    <t>CS CSI CS6P-190</t>
  </si>
  <si>
    <t>T225 TSM-PAO5</t>
  </si>
  <si>
    <t>REC225AE-US Black</t>
  </si>
  <si>
    <t>SB 225/01 3BB</t>
  </si>
  <si>
    <t>100-watt Mono-crystalline SM</t>
  </si>
  <si>
    <t>UPG</t>
  </si>
  <si>
    <t>40-watt Mono-crystalline SM</t>
  </si>
  <si>
    <t>ST 175</t>
  </si>
  <si>
    <t>KC 85T</t>
  </si>
  <si>
    <t>Neptune TWES-(225)60P</t>
  </si>
  <si>
    <t>EcoSolargy</t>
  </si>
  <si>
    <t>REC215AE-US Silver</t>
  </si>
  <si>
    <t xml:space="preserve">KD135GX-LFBS </t>
  </si>
  <si>
    <t>T230 TSM-DAO5</t>
  </si>
  <si>
    <t>ES-A-210-FA3 (black)</t>
  </si>
  <si>
    <t>PN 205N/HIP-205NKHA5</t>
  </si>
  <si>
    <t>HIT-200BA19 HIT</t>
  </si>
  <si>
    <t>BP340J</t>
  </si>
  <si>
    <t xml:space="preserve">NE-170UC1 </t>
  </si>
  <si>
    <t>BP350J</t>
  </si>
  <si>
    <t>BPSX170B</t>
  </si>
  <si>
    <t>KD230GX-LFB</t>
  </si>
  <si>
    <t>LPC241SM</t>
  </si>
  <si>
    <t>REC230AE-US Black</t>
  </si>
  <si>
    <t>SW 240</t>
  </si>
  <si>
    <t>REC230PE-US - Silver</t>
  </si>
  <si>
    <t>CS CSI CS6P-220</t>
  </si>
  <si>
    <t>CS CSI CS6P-235</t>
  </si>
  <si>
    <t>BSP100</t>
  </si>
  <si>
    <t>SB 230/01</t>
  </si>
  <si>
    <t>MF185UD5</t>
  </si>
  <si>
    <t>BSP40</t>
  </si>
  <si>
    <t xml:space="preserve">Sharp NU-U230F3 </t>
  </si>
  <si>
    <t>ES-A-200* -B Grade</t>
  </si>
  <si>
    <t>REC215PE-US</t>
  </si>
  <si>
    <t>SW 230</t>
  </si>
  <si>
    <t>HIT-N210A01</t>
  </si>
  <si>
    <t>P-LE055</t>
  </si>
  <si>
    <t>SW SW175</t>
  </si>
  <si>
    <t>S180</t>
  </si>
  <si>
    <t>ES-A-205-FA3 (black)</t>
  </si>
  <si>
    <t>HIT-N205A01</t>
  </si>
  <si>
    <t>REC225AE-US Sllver</t>
  </si>
  <si>
    <t>BSP150</t>
  </si>
  <si>
    <t>US64</t>
  </si>
  <si>
    <t>UniSolar</t>
  </si>
  <si>
    <t>T235 TSM-PAO5</t>
  </si>
  <si>
    <t>YL230</t>
  </si>
  <si>
    <t>SW 225</t>
  </si>
  <si>
    <t>Not available</t>
  </si>
  <si>
    <t>Extra warranty</t>
  </si>
  <si>
    <t>Yes</t>
  </si>
  <si>
    <t>Lesson 5 - Case 2</t>
  </si>
  <si>
    <t>Discount</t>
  </si>
  <si>
    <t>Final price</t>
  </si>
  <si>
    <t>Updating</t>
  </si>
  <si>
    <t>Ranking</t>
  </si>
  <si>
    <t>Use conditional formatting to automatically highlight the Producer column cells when corresponding to models with no discount and with shipping costs not available or currently being updated</t>
  </si>
  <si>
    <t>Use the RANK.EQ function to calculate in a new column named Ranking the rank of each final price so that the highest rank corresponds to the lowest value</t>
  </si>
  <si>
    <t xml:space="preserve">Use IF and ISBLANK functions to calculate in a new column named Final price the final price of each solar panel, considering the discount </t>
  </si>
  <si>
    <t>Use conditional formatting to automatically highlight cells of the Model column  when the solar panel is made in USA or Japan and the model’s rank is one of the first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</si>
</sst>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quot;"/>
  </numFmts>
  <fonts count="5" x14ac:knownFonts="1">
    <font>
      <sz val="11"/>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sz val="18"/>
      <color theme="0"/>
      <name val="Calibri"/>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theme="4" tint="-0.499984740745262"/>
        <bgColor indexed="64"/>
      </patternFill>
    </fill>
    <fill>
      <patternFill patternType="solid">
        <fgColor theme="7" tint="0.79998168889431442"/>
        <bgColor indexed="64"/>
      </patternFill>
    </fill>
    <fill>
      <patternFill patternType="solid">
        <fgColor theme="7" tint="0.39997558519241921"/>
        <bgColor indexed="64"/>
      </patternFill>
    </fill>
  </fills>
  <borders count="3">
    <border>
      <left/>
      <right/>
      <top/>
      <bottom/>
      <diagonal/>
    </border>
    <border>
      <left/>
      <right/>
      <top/>
      <bottom style="dotted">
        <color auto="1"/>
      </bottom>
      <diagonal/>
    </border>
    <border>
      <left/>
      <right/>
      <top style="dotted">
        <color auto="1"/>
      </top>
      <bottom style="dotted">
        <color auto="1"/>
      </bottom>
      <diagonal/>
    </border>
  </borders>
  <cellStyleXfs count="1">
    <xf numFmtId="0" fontId="0" fillId="0" borderId="0"/>
  </cellStyleXfs>
  <cellXfs count="14">
    <xf numFmtId="0" fontId="0" fillId="0" borderId="0" xfId="0"/>
    <xf numFmtId="0" fontId="1" fillId="0" borderId="0" xfId="0" applyFont="1"/>
    <xf numFmtId="0" fontId="0" fillId="2" borderId="0" xfId="0" applyFill="1"/>
    <xf numFmtId="0" fontId="2" fillId="2" borderId="0" xfId="0" applyFont="1" applyFill="1" applyAlignment="1">
      <alignment vertical="center"/>
    </xf>
    <xf numFmtId="0" fontId="2" fillId="2" borderId="0" xfId="0" applyFont="1" applyFill="1" applyAlignment="1">
      <alignment horizontal="right" vertical="top"/>
    </xf>
    <xf numFmtId="0" fontId="3" fillId="2" borderId="0" xfId="0" applyFont="1" applyFill="1" applyAlignment="1">
      <alignment horizontal="justify" vertical="top" wrapText="1"/>
    </xf>
    <xf numFmtId="0" fontId="0" fillId="4" borderId="0" xfId="0" applyFill="1"/>
    <xf numFmtId="0" fontId="0" fillId="4" borderId="1" xfId="0" applyFill="1" applyBorder="1"/>
    <xf numFmtId="0" fontId="0" fillId="4" borderId="2" xfId="0" applyFill="1" applyBorder="1"/>
    <xf numFmtId="0" fontId="0" fillId="5" borderId="0" xfId="0" applyFill="1"/>
    <xf numFmtId="0" fontId="0" fillId="5" borderId="0" xfId="0" applyFill="1" applyAlignment="1">
      <alignment vertical="center"/>
    </xf>
    <xf numFmtId="164" fontId="0" fillId="0" borderId="0" xfId="0" applyNumberFormat="1"/>
    <xf numFmtId="9" fontId="0" fillId="0" borderId="0" xfId="0" applyNumberFormat="1"/>
    <xf numFmtId="0" fontId="4" fillId="3" borderId="0" xfId="0" applyFont="1" applyFill="1" applyAlignment="1">
      <alignment horizontal="center" vertical="center"/>
    </xf>
  </cellXfs>
  <cellStyles count="1">
    <cellStyle name="Normale" xfId="0" builtinId="0"/>
  </cellStyles>
  <dxfs count="2">
    <dxf>
      <fill>
        <patternFill>
          <bgColor theme="5" tint="0.39994506668294322"/>
        </patternFill>
      </fill>
    </dxf>
    <dxf>
      <fill>
        <patternFill>
          <bgColor theme="9"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E55CC-F343-4FFB-A9C4-D0BB48924A53}">
  <dimension ref="A1:H10"/>
  <sheetViews>
    <sheetView showGridLines="0" tabSelected="1" zoomScale="130" zoomScaleNormal="130" workbookViewId="0"/>
  </sheetViews>
  <sheetFormatPr defaultRowHeight="15" x14ac:dyDescent="0.25"/>
  <cols>
    <col min="1" max="1" width="3.7109375" customWidth="1"/>
    <col min="2" max="2" width="4.7109375" customWidth="1"/>
    <col min="3" max="3" width="82.42578125" customWidth="1"/>
    <col min="4" max="6" width="3.7109375" customWidth="1"/>
    <col min="7" max="7" width="58.42578125" customWidth="1"/>
    <col min="8" max="8" width="3.7109375" customWidth="1"/>
  </cols>
  <sheetData>
    <row r="1" spans="1:8" x14ac:dyDescent="0.25">
      <c r="A1" s="2"/>
      <c r="B1" s="2"/>
      <c r="C1" s="2"/>
      <c r="D1" s="2"/>
    </row>
    <row r="2" spans="1:8" ht="25.5" customHeight="1" x14ac:dyDescent="0.25">
      <c r="A2" s="2"/>
      <c r="B2" s="13" t="s">
        <v>142</v>
      </c>
      <c r="C2" s="13"/>
      <c r="D2" s="2"/>
    </row>
    <row r="3" spans="1:8" ht="21.75" customHeight="1" x14ac:dyDescent="0.25">
      <c r="A3" s="2"/>
      <c r="B3" s="2"/>
      <c r="C3" s="2"/>
      <c r="D3" s="2"/>
      <c r="F3" s="9"/>
      <c r="G3" s="10" t="s">
        <v>5</v>
      </c>
      <c r="H3" s="9"/>
    </row>
    <row r="4" spans="1:8" ht="23.25" customHeight="1" x14ac:dyDescent="0.25">
      <c r="A4" s="2"/>
      <c r="B4" s="3" t="s">
        <v>0</v>
      </c>
      <c r="C4" s="2"/>
      <c r="D4" s="2"/>
      <c r="F4" s="6"/>
      <c r="G4" s="7"/>
      <c r="H4" s="6"/>
    </row>
    <row r="5" spans="1:8" ht="37.5" customHeight="1" x14ac:dyDescent="0.25">
      <c r="A5" s="2"/>
      <c r="B5" s="4" t="s">
        <v>1</v>
      </c>
      <c r="C5" s="5" t="s">
        <v>149</v>
      </c>
      <c r="D5" s="2"/>
      <c r="F5" s="6"/>
      <c r="G5" s="8"/>
      <c r="H5" s="6"/>
    </row>
    <row r="6" spans="1:8" ht="54.75" customHeight="1" x14ac:dyDescent="0.25">
      <c r="A6" s="2"/>
      <c r="B6" s="4" t="s">
        <v>2</v>
      </c>
      <c r="C6" s="5" t="s">
        <v>147</v>
      </c>
      <c r="D6" s="2"/>
      <c r="F6" s="6"/>
      <c r="G6" s="8"/>
      <c r="H6" s="6"/>
    </row>
    <row r="7" spans="1:8" ht="41.25" customHeight="1" x14ac:dyDescent="0.25">
      <c r="A7" s="2"/>
      <c r="B7" s="4" t="s">
        <v>3</v>
      </c>
      <c r="C7" s="5" t="s">
        <v>148</v>
      </c>
      <c r="D7" s="2"/>
      <c r="F7" s="6"/>
      <c r="G7" s="8"/>
      <c r="H7" s="6"/>
    </row>
    <row r="8" spans="1:8" ht="29.25" customHeight="1" x14ac:dyDescent="0.25">
      <c r="A8" s="2"/>
      <c r="B8" s="4" t="s">
        <v>4</v>
      </c>
      <c r="C8" s="5" t="s">
        <v>150</v>
      </c>
      <c r="D8" s="2"/>
      <c r="F8" s="6"/>
      <c r="G8" s="8"/>
      <c r="H8" s="6"/>
    </row>
    <row r="9" spans="1:8" ht="56.25" customHeight="1" x14ac:dyDescent="0.25">
      <c r="A9" s="2"/>
      <c r="B9" s="4"/>
      <c r="C9" s="5"/>
      <c r="D9" s="2"/>
      <c r="F9" s="6"/>
      <c r="G9" s="8"/>
      <c r="H9" s="6"/>
    </row>
    <row r="10" spans="1:8" x14ac:dyDescent="0.25">
      <c r="A10" s="2"/>
      <c r="B10" s="2"/>
      <c r="C10" s="2"/>
      <c r="D10" s="2"/>
      <c r="F10" s="6"/>
      <c r="G10" s="6"/>
      <c r="H10" s="6"/>
    </row>
  </sheetData>
  <mergeCells count="1">
    <mergeCell ref="B2:C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AF5F4-B3FD-4710-82B7-B4895CF944CD}">
  <dimension ref="A1:J94"/>
  <sheetViews>
    <sheetView workbookViewId="0"/>
  </sheetViews>
  <sheetFormatPr defaultRowHeight="15" x14ac:dyDescent="0.25"/>
  <cols>
    <col min="1" max="1" width="27.85546875" bestFit="1" customWidth="1"/>
    <col min="2" max="2" width="15" bestFit="1" customWidth="1"/>
    <col min="3" max="3" width="11.7109375" bestFit="1" customWidth="1"/>
    <col min="4" max="4" width="17.42578125" bestFit="1" customWidth="1"/>
    <col min="5" max="5" width="8.85546875" bestFit="1" customWidth="1"/>
    <col min="6" max="6" width="15.140625" customWidth="1"/>
    <col min="8" max="8" width="13.85546875" bestFit="1" customWidth="1"/>
    <col min="9" max="9" width="9.7109375" bestFit="1" customWidth="1"/>
    <col min="10" max="10" width="10" customWidth="1"/>
  </cols>
  <sheetData>
    <row r="1" spans="1:10" x14ac:dyDescent="0.25">
      <c r="A1" s="1" t="s">
        <v>6</v>
      </c>
      <c r="B1" s="1" t="s">
        <v>7</v>
      </c>
      <c r="C1" s="1" t="s">
        <v>8</v>
      </c>
      <c r="D1" s="1" t="s">
        <v>9</v>
      </c>
      <c r="E1" s="1" t="s">
        <v>10</v>
      </c>
      <c r="F1" s="1" t="s">
        <v>11</v>
      </c>
      <c r="G1" s="1" t="s">
        <v>143</v>
      </c>
      <c r="H1" s="1" t="s">
        <v>140</v>
      </c>
      <c r="I1" s="1" t="s">
        <v>144</v>
      </c>
      <c r="J1" s="1" t="s">
        <v>146</v>
      </c>
    </row>
    <row r="2" spans="1:10" x14ac:dyDescent="0.25">
      <c r="A2" t="s">
        <v>12</v>
      </c>
      <c r="B2" t="s">
        <v>13</v>
      </c>
      <c r="C2" t="s">
        <v>14</v>
      </c>
      <c r="D2">
        <v>57</v>
      </c>
      <c r="E2" s="11">
        <v>695</v>
      </c>
      <c r="F2">
        <v>246</v>
      </c>
      <c r="G2" s="12">
        <v>0.1</v>
      </c>
      <c r="I2" s="11">
        <f>IF(ISBLANK(G2),E2,E2*(1-G2))</f>
        <v>625.5</v>
      </c>
      <c r="J2">
        <f>_xlfn.RANK.EQ(I2,$I$2:$I$94,1)</f>
        <v>77</v>
      </c>
    </row>
    <row r="3" spans="1:10" x14ac:dyDescent="0.25">
      <c r="A3" t="s">
        <v>15</v>
      </c>
      <c r="B3" t="s">
        <v>16</v>
      </c>
      <c r="C3" t="s">
        <v>17</v>
      </c>
      <c r="D3">
        <v>325</v>
      </c>
      <c r="E3" s="11">
        <v>555.5</v>
      </c>
      <c r="F3">
        <v>206</v>
      </c>
      <c r="G3" s="12">
        <v>0.25</v>
      </c>
      <c r="H3" t="s">
        <v>141</v>
      </c>
      <c r="I3" s="11">
        <f t="shared" ref="I3:I66" si="0">IF(ISBLANK(G3),E3,E3*(1-G3))</f>
        <v>416.625</v>
      </c>
      <c r="J3">
        <f t="shared" ref="J3:J66" si="1">_xlfn.RANK.EQ(I3,$I$2:$I$94,1)</f>
        <v>15</v>
      </c>
    </row>
    <row r="4" spans="1:10" x14ac:dyDescent="0.25">
      <c r="A4" t="s">
        <v>18</v>
      </c>
      <c r="B4" t="s">
        <v>19</v>
      </c>
      <c r="C4" t="s">
        <v>20</v>
      </c>
      <c r="D4">
        <v>356</v>
      </c>
      <c r="E4" s="11">
        <v>533</v>
      </c>
      <c r="F4">
        <v>218</v>
      </c>
      <c r="G4" s="12">
        <v>0.3</v>
      </c>
      <c r="I4" s="11">
        <f t="shared" si="0"/>
        <v>373.09999999999997</v>
      </c>
      <c r="J4">
        <f t="shared" si="1"/>
        <v>9</v>
      </c>
    </row>
    <row r="5" spans="1:10" x14ac:dyDescent="0.25">
      <c r="A5" t="s">
        <v>21</v>
      </c>
      <c r="B5" t="s">
        <v>16</v>
      </c>
      <c r="C5" t="s">
        <v>17</v>
      </c>
      <c r="E5" s="11">
        <v>590.6</v>
      </c>
      <c r="F5" t="s">
        <v>139</v>
      </c>
      <c r="I5" s="11">
        <f t="shared" si="0"/>
        <v>590.6</v>
      </c>
      <c r="J5">
        <f t="shared" si="1"/>
        <v>67</v>
      </c>
    </row>
    <row r="6" spans="1:10" x14ac:dyDescent="0.25">
      <c r="A6" t="s">
        <v>22</v>
      </c>
      <c r="B6" t="s">
        <v>23</v>
      </c>
      <c r="C6" t="s">
        <v>24</v>
      </c>
      <c r="D6">
        <v>130</v>
      </c>
      <c r="E6" s="11">
        <v>594.99</v>
      </c>
      <c r="F6">
        <v>195</v>
      </c>
      <c r="G6" s="12">
        <v>0.25</v>
      </c>
      <c r="H6" t="s">
        <v>141</v>
      </c>
      <c r="I6" s="11">
        <f t="shared" si="0"/>
        <v>446.24250000000001</v>
      </c>
      <c r="J6">
        <f t="shared" si="1"/>
        <v>27</v>
      </c>
    </row>
    <row r="7" spans="1:10" x14ac:dyDescent="0.25">
      <c r="A7" t="s">
        <v>25</v>
      </c>
      <c r="B7" t="s">
        <v>26</v>
      </c>
      <c r="C7" t="s">
        <v>27</v>
      </c>
      <c r="D7">
        <v>294</v>
      </c>
      <c r="E7" s="11">
        <v>741.99</v>
      </c>
      <c r="F7">
        <v>179</v>
      </c>
      <c r="G7" s="12">
        <v>0.1</v>
      </c>
      <c r="I7" s="11">
        <f t="shared" si="0"/>
        <v>667.79100000000005</v>
      </c>
      <c r="J7">
        <f t="shared" si="1"/>
        <v>85</v>
      </c>
    </row>
    <row r="8" spans="1:10" x14ac:dyDescent="0.25">
      <c r="A8" t="s">
        <v>28</v>
      </c>
      <c r="B8" t="s">
        <v>29</v>
      </c>
      <c r="C8" t="s">
        <v>17</v>
      </c>
      <c r="E8" s="11">
        <v>536</v>
      </c>
      <c r="F8" t="s">
        <v>145</v>
      </c>
      <c r="G8" s="12">
        <v>0.15</v>
      </c>
      <c r="I8" s="11">
        <f t="shared" si="0"/>
        <v>455.59999999999997</v>
      </c>
      <c r="J8">
        <f t="shared" si="1"/>
        <v>33</v>
      </c>
    </row>
    <row r="9" spans="1:10" x14ac:dyDescent="0.25">
      <c r="A9" t="s">
        <v>30</v>
      </c>
      <c r="B9" t="s">
        <v>31</v>
      </c>
      <c r="C9" t="s">
        <v>27</v>
      </c>
      <c r="D9">
        <v>286</v>
      </c>
      <c r="E9" s="11">
        <v>629.72</v>
      </c>
      <c r="F9">
        <v>234</v>
      </c>
      <c r="G9" s="12">
        <v>0.3</v>
      </c>
      <c r="H9" t="s">
        <v>141</v>
      </c>
      <c r="I9" s="11">
        <f t="shared" si="0"/>
        <v>440.80399999999997</v>
      </c>
      <c r="J9">
        <f t="shared" si="1"/>
        <v>22</v>
      </c>
    </row>
    <row r="10" spans="1:10" x14ac:dyDescent="0.25">
      <c r="A10" t="s">
        <v>32</v>
      </c>
      <c r="B10" t="s">
        <v>33</v>
      </c>
      <c r="C10" t="s">
        <v>17</v>
      </c>
      <c r="D10">
        <v>183</v>
      </c>
      <c r="E10" s="11">
        <v>612.82000000000005</v>
      </c>
      <c r="F10">
        <v>167</v>
      </c>
      <c r="G10" s="12">
        <v>0.05</v>
      </c>
      <c r="H10" t="s">
        <v>141</v>
      </c>
      <c r="I10" s="11">
        <f t="shared" si="0"/>
        <v>582.17899999999997</v>
      </c>
      <c r="J10">
        <f t="shared" si="1"/>
        <v>61</v>
      </c>
    </row>
    <row r="11" spans="1:10" x14ac:dyDescent="0.25">
      <c r="A11" t="s">
        <v>34</v>
      </c>
      <c r="B11" t="s">
        <v>31</v>
      </c>
      <c r="C11" t="s">
        <v>35</v>
      </c>
      <c r="D11">
        <v>300</v>
      </c>
      <c r="E11" s="11">
        <v>848.99</v>
      </c>
      <c r="F11">
        <v>175</v>
      </c>
      <c r="G11" s="12">
        <v>0.25</v>
      </c>
      <c r="H11" t="s">
        <v>141</v>
      </c>
      <c r="I11" s="11">
        <f t="shared" si="0"/>
        <v>636.74250000000006</v>
      </c>
      <c r="J11">
        <f t="shared" si="1"/>
        <v>78</v>
      </c>
    </row>
    <row r="12" spans="1:10" x14ac:dyDescent="0.25">
      <c r="A12" t="s">
        <v>36</v>
      </c>
      <c r="B12" t="s">
        <v>16</v>
      </c>
      <c r="C12" t="s">
        <v>17</v>
      </c>
      <c r="D12">
        <v>176</v>
      </c>
      <c r="E12" s="11">
        <v>678.99</v>
      </c>
      <c r="F12">
        <v>173</v>
      </c>
      <c r="G12" s="12">
        <v>0.1</v>
      </c>
      <c r="I12" s="11">
        <f t="shared" si="0"/>
        <v>611.09100000000001</v>
      </c>
      <c r="J12">
        <f t="shared" si="1"/>
        <v>74</v>
      </c>
    </row>
    <row r="13" spans="1:10" x14ac:dyDescent="0.25">
      <c r="A13" t="s">
        <v>37</v>
      </c>
      <c r="B13" t="s">
        <v>38</v>
      </c>
      <c r="C13" t="s">
        <v>20</v>
      </c>
      <c r="D13">
        <v>174</v>
      </c>
      <c r="E13" s="11">
        <v>617</v>
      </c>
      <c r="F13">
        <v>262</v>
      </c>
      <c r="G13" s="12"/>
      <c r="I13" s="11">
        <f t="shared" si="0"/>
        <v>617</v>
      </c>
      <c r="J13">
        <f t="shared" si="1"/>
        <v>76</v>
      </c>
    </row>
    <row r="14" spans="1:10" x14ac:dyDescent="0.25">
      <c r="A14" t="s">
        <v>39</v>
      </c>
      <c r="B14" t="s">
        <v>40</v>
      </c>
      <c r="C14" t="s">
        <v>41</v>
      </c>
      <c r="D14">
        <v>224</v>
      </c>
      <c r="E14" s="11">
        <v>638.99</v>
      </c>
      <c r="F14">
        <v>198</v>
      </c>
      <c r="G14" s="12">
        <v>0.3</v>
      </c>
      <c r="I14" s="11">
        <f t="shared" si="0"/>
        <v>447.29300000000001</v>
      </c>
      <c r="J14">
        <f t="shared" si="1"/>
        <v>31</v>
      </c>
    </row>
    <row r="15" spans="1:10" x14ac:dyDescent="0.25">
      <c r="A15" t="s">
        <v>42</v>
      </c>
      <c r="B15" t="s">
        <v>23</v>
      </c>
      <c r="C15" t="s">
        <v>24</v>
      </c>
      <c r="D15">
        <v>105</v>
      </c>
      <c r="E15" s="11">
        <v>554.99</v>
      </c>
      <c r="F15" t="s">
        <v>139</v>
      </c>
      <c r="I15" s="11">
        <f t="shared" si="0"/>
        <v>554.99</v>
      </c>
      <c r="J15">
        <f t="shared" si="1"/>
        <v>52</v>
      </c>
    </row>
    <row r="16" spans="1:10" x14ac:dyDescent="0.25">
      <c r="A16" t="s">
        <v>43</v>
      </c>
      <c r="B16" t="s">
        <v>31</v>
      </c>
      <c r="C16" t="s">
        <v>35</v>
      </c>
      <c r="E16" s="11">
        <v>867.99</v>
      </c>
      <c r="F16">
        <v>231</v>
      </c>
      <c r="G16" s="12">
        <v>0.25</v>
      </c>
      <c r="I16" s="11">
        <f t="shared" si="0"/>
        <v>650.99250000000006</v>
      </c>
      <c r="J16">
        <f t="shared" si="1"/>
        <v>82</v>
      </c>
    </row>
    <row r="17" spans="1:10" x14ac:dyDescent="0.25">
      <c r="A17" t="s">
        <v>44</v>
      </c>
      <c r="B17" t="s">
        <v>13</v>
      </c>
      <c r="C17" t="s">
        <v>14</v>
      </c>
      <c r="D17">
        <v>356</v>
      </c>
      <c r="E17" s="11">
        <v>781</v>
      </c>
      <c r="F17">
        <v>263</v>
      </c>
      <c r="G17" s="12">
        <v>0.3</v>
      </c>
      <c r="H17" t="s">
        <v>141</v>
      </c>
      <c r="I17" s="11">
        <f t="shared" si="0"/>
        <v>546.69999999999993</v>
      </c>
      <c r="J17">
        <f t="shared" si="1"/>
        <v>50</v>
      </c>
    </row>
    <row r="18" spans="1:10" x14ac:dyDescent="0.25">
      <c r="A18" t="s">
        <v>45</v>
      </c>
      <c r="B18" t="s">
        <v>46</v>
      </c>
      <c r="C18" t="s">
        <v>41</v>
      </c>
      <c r="D18">
        <v>228</v>
      </c>
      <c r="E18" s="11">
        <v>678.99</v>
      </c>
      <c r="F18">
        <v>254</v>
      </c>
      <c r="G18" s="12">
        <v>0.05</v>
      </c>
      <c r="I18" s="11">
        <f t="shared" si="0"/>
        <v>645.04049999999995</v>
      </c>
      <c r="J18">
        <f t="shared" si="1"/>
        <v>79</v>
      </c>
    </row>
    <row r="19" spans="1:10" x14ac:dyDescent="0.25">
      <c r="A19" t="s">
        <v>47</v>
      </c>
      <c r="B19" t="s">
        <v>23</v>
      </c>
      <c r="C19" t="s">
        <v>27</v>
      </c>
      <c r="E19" s="11">
        <v>586.79999999999995</v>
      </c>
      <c r="F19">
        <v>182</v>
      </c>
      <c r="I19" s="11">
        <f t="shared" si="0"/>
        <v>586.79999999999995</v>
      </c>
      <c r="J19">
        <f t="shared" si="1"/>
        <v>64</v>
      </c>
    </row>
    <row r="20" spans="1:10" x14ac:dyDescent="0.25">
      <c r="A20" t="s">
        <v>48</v>
      </c>
      <c r="B20" t="s">
        <v>13</v>
      </c>
      <c r="C20" t="s">
        <v>20</v>
      </c>
      <c r="D20">
        <v>225</v>
      </c>
      <c r="E20" s="11">
        <v>490.99</v>
      </c>
      <c r="F20">
        <v>162</v>
      </c>
      <c r="G20" s="12">
        <v>0.3</v>
      </c>
      <c r="H20" t="s">
        <v>141</v>
      </c>
      <c r="I20" s="11">
        <f t="shared" si="0"/>
        <v>343.69299999999998</v>
      </c>
      <c r="J20">
        <f t="shared" si="1"/>
        <v>4</v>
      </c>
    </row>
    <row r="21" spans="1:10" x14ac:dyDescent="0.25">
      <c r="A21" t="s">
        <v>49</v>
      </c>
      <c r="B21" t="s">
        <v>50</v>
      </c>
      <c r="C21" t="s">
        <v>20</v>
      </c>
      <c r="D21">
        <v>161</v>
      </c>
      <c r="E21" s="11">
        <v>334</v>
      </c>
      <c r="F21">
        <v>182</v>
      </c>
      <c r="G21" s="12">
        <v>0.3</v>
      </c>
      <c r="H21" t="s">
        <v>141</v>
      </c>
      <c r="I21" s="11">
        <f t="shared" si="0"/>
        <v>233.79999999999998</v>
      </c>
      <c r="J21">
        <f t="shared" si="1"/>
        <v>2</v>
      </c>
    </row>
    <row r="22" spans="1:10" x14ac:dyDescent="0.25">
      <c r="A22" t="s">
        <v>51</v>
      </c>
      <c r="B22" t="s">
        <v>52</v>
      </c>
      <c r="C22" t="s">
        <v>20</v>
      </c>
      <c r="D22">
        <v>243</v>
      </c>
      <c r="E22" s="11">
        <v>725</v>
      </c>
      <c r="F22" t="s">
        <v>145</v>
      </c>
      <c r="G22" s="12"/>
      <c r="H22" t="s">
        <v>141</v>
      </c>
      <c r="I22" s="11">
        <f t="shared" si="0"/>
        <v>725</v>
      </c>
      <c r="J22">
        <f t="shared" si="1"/>
        <v>89</v>
      </c>
    </row>
    <row r="23" spans="1:10" x14ac:dyDescent="0.25">
      <c r="A23" t="s">
        <v>53</v>
      </c>
      <c r="B23" t="s">
        <v>26</v>
      </c>
      <c r="C23" t="s">
        <v>27</v>
      </c>
      <c r="D23">
        <v>393</v>
      </c>
      <c r="E23" s="11">
        <v>495</v>
      </c>
      <c r="F23">
        <v>214</v>
      </c>
      <c r="G23" s="12">
        <v>0.25</v>
      </c>
      <c r="H23" t="s">
        <v>141</v>
      </c>
      <c r="I23" s="11">
        <f t="shared" si="0"/>
        <v>371.25</v>
      </c>
      <c r="J23">
        <f t="shared" si="1"/>
        <v>8</v>
      </c>
    </row>
    <row r="24" spans="1:10" x14ac:dyDescent="0.25">
      <c r="A24" t="s">
        <v>54</v>
      </c>
      <c r="B24" t="s">
        <v>55</v>
      </c>
      <c r="C24" t="s">
        <v>20</v>
      </c>
      <c r="D24">
        <v>218</v>
      </c>
      <c r="E24" s="11">
        <v>785.58</v>
      </c>
      <c r="F24">
        <v>201</v>
      </c>
      <c r="G24" s="12"/>
      <c r="H24" t="s">
        <v>141</v>
      </c>
      <c r="I24" s="11">
        <f t="shared" si="0"/>
        <v>785.58</v>
      </c>
      <c r="J24">
        <f t="shared" si="1"/>
        <v>93</v>
      </c>
    </row>
    <row r="25" spans="1:10" x14ac:dyDescent="0.25">
      <c r="A25" t="s">
        <v>56</v>
      </c>
      <c r="B25" t="s">
        <v>23</v>
      </c>
      <c r="C25" t="s">
        <v>24</v>
      </c>
      <c r="D25">
        <v>252</v>
      </c>
      <c r="E25" s="11">
        <v>594.99</v>
      </c>
      <c r="F25">
        <v>222</v>
      </c>
      <c r="G25" s="12"/>
      <c r="H25" t="s">
        <v>141</v>
      </c>
      <c r="I25" s="11">
        <f t="shared" si="0"/>
        <v>594.99</v>
      </c>
      <c r="J25">
        <f t="shared" si="1"/>
        <v>69</v>
      </c>
    </row>
    <row r="26" spans="1:10" x14ac:dyDescent="0.25">
      <c r="A26" t="s">
        <v>57</v>
      </c>
      <c r="B26" t="s">
        <v>26</v>
      </c>
      <c r="C26" t="s">
        <v>27</v>
      </c>
      <c r="D26">
        <v>243</v>
      </c>
      <c r="E26" s="11">
        <v>631.79999999999995</v>
      </c>
      <c r="F26">
        <v>229</v>
      </c>
      <c r="G26" s="12">
        <v>0.3</v>
      </c>
      <c r="I26" s="11">
        <f t="shared" si="0"/>
        <v>442.25999999999993</v>
      </c>
      <c r="J26">
        <f t="shared" si="1"/>
        <v>23</v>
      </c>
    </row>
    <row r="27" spans="1:10" x14ac:dyDescent="0.25">
      <c r="A27" t="s">
        <v>58</v>
      </c>
      <c r="B27" t="s">
        <v>26</v>
      </c>
      <c r="C27" t="s">
        <v>27</v>
      </c>
      <c r="E27" s="11">
        <v>780</v>
      </c>
      <c r="F27">
        <v>238</v>
      </c>
      <c r="G27" s="12"/>
      <c r="I27" s="11">
        <f t="shared" si="0"/>
        <v>780</v>
      </c>
      <c r="J27">
        <f t="shared" si="1"/>
        <v>91</v>
      </c>
    </row>
    <row r="28" spans="1:10" x14ac:dyDescent="0.25">
      <c r="A28" t="s">
        <v>59</v>
      </c>
      <c r="B28" t="s">
        <v>16</v>
      </c>
      <c r="C28" t="s">
        <v>60</v>
      </c>
      <c r="D28">
        <v>410</v>
      </c>
      <c r="E28" s="11">
        <v>555.4</v>
      </c>
      <c r="F28">
        <v>228</v>
      </c>
      <c r="G28" s="12">
        <v>0.05</v>
      </c>
      <c r="I28" s="11">
        <f t="shared" si="0"/>
        <v>527.63</v>
      </c>
      <c r="J28">
        <f t="shared" si="1"/>
        <v>48</v>
      </c>
    </row>
    <row r="29" spans="1:10" x14ac:dyDescent="0.25">
      <c r="A29" t="s">
        <v>61</v>
      </c>
      <c r="B29" t="s">
        <v>26</v>
      </c>
      <c r="C29" t="s">
        <v>27</v>
      </c>
      <c r="E29" s="11">
        <v>350.99</v>
      </c>
      <c r="F29" t="s">
        <v>139</v>
      </c>
      <c r="H29" t="s">
        <v>141</v>
      </c>
      <c r="I29" s="11">
        <f t="shared" si="0"/>
        <v>350.99</v>
      </c>
      <c r="J29">
        <f t="shared" si="1"/>
        <v>5</v>
      </c>
    </row>
    <row r="30" spans="1:10" x14ac:dyDescent="0.25">
      <c r="A30" t="s">
        <v>62</v>
      </c>
      <c r="B30" t="s">
        <v>23</v>
      </c>
      <c r="C30" t="s">
        <v>27</v>
      </c>
      <c r="D30">
        <v>311</v>
      </c>
      <c r="E30" s="11">
        <v>590</v>
      </c>
      <c r="F30">
        <v>240</v>
      </c>
      <c r="G30" s="12"/>
      <c r="I30" s="11">
        <f t="shared" si="0"/>
        <v>590</v>
      </c>
      <c r="J30">
        <f t="shared" si="1"/>
        <v>66</v>
      </c>
    </row>
    <row r="31" spans="1:10" x14ac:dyDescent="0.25">
      <c r="A31" t="s">
        <v>63</v>
      </c>
      <c r="B31" t="s">
        <v>64</v>
      </c>
      <c r="C31" t="s">
        <v>20</v>
      </c>
      <c r="D31">
        <v>173</v>
      </c>
      <c r="E31" s="11">
        <v>595.99</v>
      </c>
      <c r="F31">
        <v>238</v>
      </c>
      <c r="G31" s="12">
        <v>0.25</v>
      </c>
      <c r="H31" t="s">
        <v>141</v>
      </c>
      <c r="I31" s="11">
        <f t="shared" si="0"/>
        <v>446.99250000000001</v>
      </c>
      <c r="J31">
        <f t="shared" si="1"/>
        <v>30</v>
      </c>
    </row>
    <row r="32" spans="1:10" x14ac:dyDescent="0.25">
      <c r="A32" t="s">
        <v>65</v>
      </c>
      <c r="B32" t="s">
        <v>66</v>
      </c>
      <c r="C32" t="s">
        <v>27</v>
      </c>
      <c r="D32">
        <v>325</v>
      </c>
      <c r="E32" s="11">
        <v>594.99</v>
      </c>
      <c r="F32">
        <v>225</v>
      </c>
      <c r="G32" s="12">
        <v>0.25</v>
      </c>
      <c r="H32" t="s">
        <v>141</v>
      </c>
      <c r="I32" s="11">
        <f t="shared" si="0"/>
        <v>446.24250000000001</v>
      </c>
      <c r="J32">
        <f t="shared" si="1"/>
        <v>27</v>
      </c>
    </row>
    <row r="33" spans="1:10" x14ac:dyDescent="0.25">
      <c r="A33" t="s">
        <v>67</v>
      </c>
      <c r="B33" t="s">
        <v>68</v>
      </c>
      <c r="C33" t="s">
        <v>20</v>
      </c>
      <c r="D33">
        <v>265</v>
      </c>
      <c r="E33" s="11">
        <v>438.99</v>
      </c>
      <c r="F33" t="s">
        <v>139</v>
      </c>
      <c r="G33" s="12"/>
      <c r="H33" t="s">
        <v>141</v>
      </c>
      <c r="I33" s="11">
        <f t="shared" si="0"/>
        <v>438.99</v>
      </c>
      <c r="J33">
        <f t="shared" si="1"/>
        <v>20</v>
      </c>
    </row>
    <row r="34" spans="1:10" x14ac:dyDescent="0.25">
      <c r="A34" t="s">
        <v>69</v>
      </c>
      <c r="B34" t="s">
        <v>70</v>
      </c>
      <c r="C34" t="s">
        <v>20</v>
      </c>
      <c r="D34">
        <v>400</v>
      </c>
      <c r="E34" s="11">
        <v>624.99</v>
      </c>
      <c r="F34">
        <v>182</v>
      </c>
      <c r="G34" s="12">
        <v>0.05</v>
      </c>
      <c r="I34" s="11">
        <f t="shared" si="0"/>
        <v>593.7405</v>
      </c>
      <c r="J34">
        <f t="shared" si="1"/>
        <v>68</v>
      </c>
    </row>
    <row r="35" spans="1:10" x14ac:dyDescent="0.25">
      <c r="A35" t="s">
        <v>71</v>
      </c>
      <c r="B35" t="s">
        <v>26</v>
      </c>
      <c r="C35" t="s">
        <v>27</v>
      </c>
      <c r="D35">
        <v>221</v>
      </c>
      <c r="E35" s="11">
        <v>690.99</v>
      </c>
      <c r="F35">
        <v>242</v>
      </c>
      <c r="G35" s="12">
        <v>0.3</v>
      </c>
      <c r="I35" s="11">
        <f t="shared" si="0"/>
        <v>483.69299999999998</v>
      </c>
      <c r="J35">
        <f t="shared" si="1"/>
        <v>37</v>
      </c>
    </row>
    <row r="36" spans="1:10" x14ac:dyDescent="0.25">
      <c r="A36" t="s">
        <v>72</v>
      </c>
      <c r="B36" t="s">
        <v>23</v>
      </c>
      <c r="C36" t="s">
        <v>73</v>
      </c>
      <c r="E36" s="11">
        <v>580.99</v>
      </c>
      <c r="F36">
        <v>251</v>
      </c>
      <c r="G36" s="12"/>
      <c r="H36" t="s">
        <v>141</v>
      </c>
      <c r="I36" s="11">
        <f t="shared" si="0"/>
        <v>580.99</v>
      </c>
      <c r="J36">
        <f t="shared" si="1"/>
        <v>60</v>
      </c>
    </row>
    <row r="37" spans="1:10" x14ac:dyDescent="0.25">
      <c r="A37" t="s">
        <v>74</v>
      </c>
      <c r="B37" t="s">
        <v>75</v>
      </c>
      <c r="C37" t="s">
        <v>20</v>
      </c>
      <c r="D37">
        <v>380</v>
      </c>
      <c r="E37" s="11">
        <v>564.99</v>
      </c>
      <c r="F37">
        <v>247</v>
      </c>
      <c r="G37" s="12">
        <v>0.1</v>
      </c>
      <c r="I37" s="11">
        <f t="shared" si="0"/>
        <v>508.49100000000004</v>
      </c>
      <c r="J37">
        <f t="shared" si="1"/>
        <v>42</v>
      </c>
    </row>
    <row r="38" spans="1:10" x14ac:dyDescent="0.25">
      <c r="A38" t="s">
        <v>76</v>
      </c>
      <c r="B38" t="s">
        <v>77</v>
      </c>
      <c r="C38" t="s">
        <v>27</v>
      </c>
      <c r="D38">
        <v>388</v>
      </c>
      <c r="E38" s="11">
        <v>680.49</v>
      </c>
      <c r="F38">
        <v>214</v>
      </c>
      <c r="G38" s="12">
        <v>0.25</v>
      </c>
      <c r="I38" s="11">
        <f t="shared" si="0"/>
        <v>510.36750000000001</v>
      </c>
      <c r="J38">
        <f t="shared" si="1"/>
        <v>43</v>
      </c>
    </row>
    <row r="39" spans="1:10" x14ac:dyDescent="0.25">
      <c r="A39" t="s">
        <v>78</v>
      </c>
      <c r="B39" t="s">
        <v>31</v>
      </c>
      <c r="C39" t="s">
        <v>27</v>
      </c>
      <c r="E39" s="11">
        <v>719</v>
      </c>
      <c r="F39" t="s">
        <v>145</v>
      </c>
      <c r="G39" s="12">
        <v>0.3</v>
      </c>
      <c r="I39" s="11">
        <f t="shared" si="0"/>
        <v>503.29999999999995</v>
      </c>
      <c r="J39">
        <f t="shared" si="1"/>
        <v>40</v>
      </c>
    </row>
    <row r="40" spans="1:10" x14ac:dyDescent="0.25">
      <c r="A40" t="s">
        <v>79</v>
      </c>
      <c r="B40" t="s">
        <v>55</v>
      </c>
      <c r="C40" t="s">
        <v>20</v>
      </c>
      <c r="D40">
        <v>160</v>
      </c>
      <c r="E40" s="11">
        <v>682.16</v>
      </c>
      <c r="F40">
        <v>181</v>
      </c>
      <c r="G40" s="12">
        <v>0.25</v>
      </c>
      <c r="H40" t="s">
        <v>141</v>
      </c>
      <c r="I40" s="11">
        <f t="shared" si="0"/>
        <v>511.62</v>
      </c>
      <c r="J40">
        <f t="shared" si="1"/>
        <v>44</v>
      </c>
    </row>
    <row r="41" spans="1:10" x14ac:dyDescent="0.25">
      <c r="A41" t="s">
        <v>80</v>
      </c>
      <c r="B41" t="s">
        <v>23</v>
      </c>
      <c r="C41" t="s">
        <v>24</v>
      </c>
      <c r="D41">
        <v>193</v>
      </c>
      <c r="E41" s="11">
        <v>554.99</v>
      </c>
      <c r="F41">
        <v>172</v>
      </c>
      <c r="G41" s="12">
        <v>0.25</v>
      </c>
      <c r="I41" s="11">
        <f t="shared" si="0"/>
        <v>416.24250000000001</v>
      </c>
      <c r="J41">
        <f t="shared" si="1"/>
        <v>14</v>
      </c>
    </row>
    <row r="42" spans="1:10" x14ac:dyDescent="0.25">
      <c r="A42" t="s">
        <v>81</v>
      </c>
      <c r="B42" t="s">
        <v>77</v>
      </c>
      <c r="C42" t="s">
        <v>27</v>
      </c>
      <c r="D42">
        <v>113</v>
      </c>
      <c r="E42" s="11">
        <v>526</v>
      </c>
      <c r="F42">
        <v>229</v>
      </c>
      <c r="G42" s="12">
        <v>0.25</v>
      </c>
      <c r="H42" t="s">
        <v>141</v>
      </c>
      <c r="I42" s="11">
        <f t="shared" si="0"/>
        <v>394.5</v>
      </c>
      <c r="J42">
        <f t="shared" si="1"/>
        <v>12</v>
      </c>
    </row>
    <row r="43" spans="1:10" x14ac:dyDescent="0.25">
      <c r="A43" t="s">
        <v>82</v>
      </c>
      <c r="B43" t="s">
        <v>83</v>
      </c>
      <c r="C43" t="s">
        <v>84</v>
      </c>
      <c r="E43" s="11">
        <v>586</v>
      </c>
      <c r="F43">
        <v>220</v>
      </c>
      <c r="G43" s="12"/>
      <c r="H43" t="s">
        <v>141</v>
      </c>
      <c r="I43" s="11">
        <f t="shared" si="0"/>
        <v>586</v>
      </c>
      <c r="J43">
        <f t="shared" si="1"/>
        <v>63</v>
      </c>
    </row>
    <row r="44" spans="1:10" x14ac:dyDescent="0.25">
      <c r="A44" t="s">
        <v>85</v>
      </c>
      <c r="B44" t="s">
        <v>66</v>
      </c>
      <c r="C44" t="s">
        <v>27</v>
      </c>
      <c r="D44">
        <v>370</v>
      </c>
      <c r="E44" s="11">
        <v>720</v>
      </c>
      <c r="F44">
        <v>239</v>
      </c>
      <c r="G44" s="12">
        <v>0.05</v>
      </c>
      <c r="H44" t="s">
        <v>141</v>
      </c>
      <c r="I44" s="11">
        <f t="shared" si="0"/>
        <v>684</v>
      </c>
      <c r="J44">
        <f t="shared" si="1"/>
        <v>87</v>
      </c>
    </row>
    <row r="45" spans="1:10" x14ac:dyDescent="0.25">
      <c r="A45" t="s">
        <v>86</v>
      </c>
      <c r="B45" t="s">
        <v>75</v>
      </c>
      <c r="C45" t="s">
        <v>20</v>
      </c>
      <c r="D45">
        <v>187</v>
      </c>
      <c r="E45" s="11">
        <v>564</v>
      </c>
      <c r="F45" t="s">
        <v>139</v>
      </c>
      <c r="G45" s="12"/>
      <c r="H45" t="s">
        <v>141</v>
      </c>
      <c r="I45" s="11">
        <f t="shared" si="0"/>
        <v>564</v>
      </c>
      <c r="J45">
        <f t="shared" si="1"/>
        <v>54</v>
      </c>
    </row>
    <row r="46" spans="1:10" x14ac:dyDescent="0.25">
      <c r="A46" t="s">
        <v>87</v>
      </c>
      <c r="B46" t="s">
        <v>16</v>
      </c>
      <c r="C46" t="s">
        <v>60</v>
      </c>
      <c r="E46" s="11">
        <v>595.89</v>
      </c>
      <c r="F46">
        <v>208</v>
      </c>
      <c r="G46" s="12">
        <v>0.1</v>
      </c>
      <c r="I46" s="11">
        <f t="shared" si="0"/>
        <v>536.30100000000004</v>
      </c>
      <c r="J46">
        <f t="shared" si="1"/>
        <v>49</v>
      </c>
    </row>
    <row r="47" spans="1:10" x14ac:dyDescent="0.25">
      <c r="A47" t="s">
        <v>88</v>
      </c>
      <c r="B47" t="s">
        <v>23</v>
      </c>
      <c r="C47" t="s">
        <v>24</v>
      </c>
      <c r="D47">
        <v>261</v>
      </c>
      <c r="E47" s="11">
        <v>594.99</v>
      </c>
      <c r="F47">
        <v>162</v>
      </c>
      <c r="G47" s="12">
        <v>0.15</v>
      </c>
      <c r="I47" s="11">
        <f t="shared" si="0"/>
        <v>505.74149999999997</v>
      </c>
      <c r="J47">
        <f t="shared" si="1"/>
        <v>41</v>
      </c>
    </row>
    <row r="48" spans="1:10" x14ac:dyDescent="0.25">
      <c r="A48" t="s">
        <v>89</v>
      </c>
      <c r="B48" t="s">
        <v>23</v>
      </c>
      <c r="C48" t="s">
        <v>73</v>
      </c>
      <c r="D48">
        <v>327</v>
      </c>
      <c r="E48" s="11">
        <v>594.99</v>
      </c>
      <c r="F48">
        <v>199</v>
      </c>
      <c r="G48" s="12">
        <v>0.25</v>
      </c>
      <c r="I48" s="11">
        <f t="shared" si="0"/>
        <v>446.24250000000001</v>
      </c>
      <c r="J48">
        <f t="shared" si="1"/>
        <v>27</v>
      </c>
    </row>
    <row r="49" spans="1:10" x14ac:dyDescent="0.25">
      <c r="A49" t="s">
        <v>90</v>
      </c>
      <c r="B49" t="s">
        <v>70</v>
      </c>
      <c r="C49" t="s">
        <v>20</v>
      </c>
      <c r="D49">
        <v>65</v>
      </c>
      <c r="E49" s="11">
        <v>550.99</v>
      </c>
      <c r="F49">
        <v>238</v>
      </c>
      <c r="G49" s="12">
        <v>0.05</v>
      </c>
      <c r="H49" t="s">
        <v>141</v>
      </c>
      <c r="I49" s="11">
        <f t="shared" si="0"/>
        <v>523.44049999999993</v>
      </c>
      <c r="J49">
        <f t="shared" si="1"/>
        <v>46</v>
      </c>
    </row>
    <row r="50" spans="1:10" x14ac:dyDescent="0.25">
      <c r="A50" t="s">
        <v>91</v>
      </c>
      <c r="B50" t="s">
        <v>75</v>
      </c>
      <c r="C50" t="s">
        <v>20</v>
      </c>
      <c r="D50">
        <v>389</v>
      </c>
      <c r="E50" s="11">
        <v>552.99</v>
      </c>
      <c r="F50">
        <v>212</v>
      </c>
      <c r="G50" s="12">
        <v>0.15</v>
      </c>
      <c r="H50" t="s">
        <v>141</v>
      </c>
      <c r="I50" s="11">
        <f t="shared" si="0"/>
        <v>470.04149999999998</v>
      </c>
      <c r="J50">
        <f t="shared" si="1"/>
        <v>34</v>
      </c>
    </row>
    <row r="51" spans="1:10" x14ac:dyDescent="0.25">
      <c r="A51" t="s">
        <v>92</v>
      </c>
      <c r="B51" t="s">
        <v>23</v>
      </c>
      <c r="C51" t="s">
        <v>73</v>
      </c>
      <c r="D51">
        <v>195</v>
      </c>
      <c r="E51" s="11">
        <v>607</v>
      </c>
      <c r="F51">
        <v>234</v>
      </c>
      <c r="G51" s="12"/>
      <c r="H51" t="s">
        <v>141</v>
      </c>
      <c r="I51" s="11">
        <f t="shared" si="0"/>
        <v>607</v>
      </c>
      <c r="J51">
        <f t="shared" si="1"/>
        <v>72</v>
      </c>
    </row>
    <row r="52" spans="1:10" x14ac:dyDescent="0.25">
      <c r="A52" t="s">
        <v>93</v>
      </c>
      <c r="B52" t="s">
        <v>66</v>
      </c>
      <c r="C52" t="s">
        <v>35</v>
      </c>
      <c r="E52" s="11">
        <v>620.99</v>
      </c>
      <c r="F52">
        <v>159</v>
      </c>
      <c r="G52" s="12">
        <v>0.1</v>
      </c>
      <c r="I52" s="11">
        <f t="shared" si="0"/>
        <v>558.89100000000008</v>
      </c>
      <c r="J52">
        <f t="shared" si="1"/>
        <v>53</v>
      </c>
    </row>
    <row r="53" spans="1:10" x14ac:dyDescent="0.25">
      <c r="A53" t="s">
        <v>94</v>
      </c>
      <c r="B53" t="s">
        <v>95</v>
      </c>
      <c r="C53" t="s">
        <v>20</v>
      </c>
      <c r="D53">
        <v>250</v>
      </c>
      <c r="E53" s="11">
        <v>650</v>
      </c>
      <c r="F53">
        <v>252</v>
      </c>
      <c r="G53" s="12">
        <v>0.1</v>
      </c>
      <c r="I53" s="11">
        <f t="shared" si="0"/>
        <v>585</v>
      </c>
      <c r="J53">
        <f t="shared" si="1"/>
        <v>62</v>
      </c>
    </row>
    <row r="54" spans="1:10" x14ac:dyDescent="0.25">
      <c r="A54" t="s">
        <v>96</v>
      </c>
      <c r="B54" t="s">
        <v>95</v>
      </c>
      <c r="C54" t="s">
        <v>20</v>
      </c>
      <c r="D54">
        <v>398</v>
      </c>
      <c r="E54" s="11">
        <v>499.99</v>
      </c>
      <c r="F54">
        <v>221</v>
      </c>
      <c r="G54" s="12"/>
      <c r="H54" t="s">
        <v>141</v>
      </c>
      <c r="I54" s="11">
        <f t="shared" si="0"/>
        <v>499.99</v>
      </c>
      <c r="J54">
        <f t="shared" si="1"/>
        <v>39</v>
      </c>
    </row>
    <row r="55" spans="1:10" x14ac:dyDescent="0.25">
      <c r="A55" t="s">
        <v>97</v>
      </c>
      <c r="B55" t="s">
        <v>38</v>
      </c>
      <c r="C55" t="s">
        <v>20</v>
      </c>
      <c r="D55">
        <v>381</v>
      </c>
      <c r="E55" s="11">
        <v>512.79999999999995</v>
      </c>
      <c r="F55" t="s">
        <v>145</v>
      </c>
      <c r="G55" s="12">
        <v>0.05</v>
      </c>
      <c r="H55" t="s">
        <v>141</v>
      </c>
      <c r="I55" s="11">
        <f t="shared" si="0"/>
        <v>487.15999999999991</v>
      </c>
      <c r="J55">
        <f t="shared" si="1"/>
        <v>38</v>
      </c>
    </row>
    <row r="56" spans="1:10" x14ac:dyDescent="0.25">
      <c r="A56" t="s">
        <v>98</v>
      </c>
      <c r="B56" t="s">
        <v>16</v>
      </c>
      <c r="C56" t="s">
        <v>17</v>
      </c>
      <c r="D56">
        <v>302</v>
      </c>
      <c r="E56" s="11">
        <v>365.2</v>
      </c>
      <c r="F56">
        <v>189</v>
      </c>
      <c r="G56" s="12"/>
      <c r="I56" s="11">
        <f t="shared" si="0"/>
        <v>365.2</v>
      </c>
      <c r="J56">
        <f t="shared" si="1"/>
        <v>6</v>
      </c>
    </row>
    <row r="57" spans="1:10" x14ac:dyDescent="0.25">
      <c r="A57" t="s">
        <v>99</v>
      </c>
      <c r="B57" t="s">
        <v>100</v>
      </c>
      <c r="C57" t="s">
        <v>20</v>
      </c>
      <c r="E57" s="11">
        <v>644.5</v>
      </c>
      <c r="F57">
        <v>179</v>
      </c>
      <c r="G57" s="12">
        <v>0.05</v>
      </c>
      <c r="I57" s="11">
        <f t="shared" si="0"/>
        <v>612.27499999999998</v>
      </c>
      <c r="J57">
        <f t="shared" si="1"/>
        <v>75</v>
      </c>
    </row>
    <row r="58" spans="1:10" x14ac:dyDescent="0.25">
      <c r="A58" t="s">
        <v>101</v>
      </c>
      <c r="B58" t="s">
        <v>23</v>
      </c>
      <c r="C58" t="s">
        <v>27</v>
      </c>
      <c r="E58" s="11">
        <v>580.99</v>
      </c>
      <c r="F58">
        <v>234</v>
      </c>
      <c r="G58" s="12">
        <v>0.25</v>
      </c>
      <c r="H58" t="s">
        <v>141</v>
      </c>
      <c r="I58" s="11">
        <f t="shared" si="0"/>
        <v>435.74250000000001</v>
      </c>
      <c r="J58">
        <f t="shared" si="1"/>
        <v>19</v>
      </c>
    </row>
    <row r="59" spans="1:10" x14ac:dyDescent="0.25">
      <c r="A59" t="s">
        <v>102</v>
      </c>
      <c r="B59" t="s">
        <v>16</v>
      </c>
      <c r="C59" t="s">
        <v>60</v>
      </c>
      <c r="D59">
        <v>152</v>
      </c>
      <c r="E59" s="11">
        <v>375.4</v>
      </c>
      <c r="F59">
        <v>163</v>
      </c>
      <c r="G59" s="12"/>
      <c r="I59" s="11">
        <f t="shared" si="0"/>
        <v>375.4</v>
      </c>
      <c r="J59">
        <f t="shared" si="1"/>
        <v>10</v>
      </c>
    </row>
    <row r="60" spans="1:10" x14ac:dyDescent="0.25">
      <c r="A60" t="s">
        <v>103</v>
      </c>
      <c r="B60" t="s">
        <v>75</v>
      </c>
      <c r="C60" t="s">
        <v>20</v>
      </c>
      <c r="D60">
        <v>186</v>
      </c>
      <c r="E60" s="11">
        <v>610</v>
      </c>
      <c r="F60">
        <v>228</v>
      </c>
      <c r="G60" s="12">
        <v>0.05</v>
      </c>
      <c r="H60" t="s">
        <v>141</v>
      </c>
      <c r="I60" s="11">
        <f t="shared" si="0"/>
        <v>579.5</v>
      </c>
      <c r="J60">
        <f t="shared" si="1"/>
        <v>59</v>
      </c>
    </row>
    <row r="61" spans="1:10" x14ac:dyDescent="0.25">
      <c r="A61" t="s">
        <v>104</v>
      </c>
      <c r="B61" t="s">
        <v>64</v>
      </c>
      <c r="C61" t="s">
        <v>27</v>
      </c>
      <c r="D61">
        <v>220</v>
      </c>
      <c r="E61" s="11">
        <v>611.99</v>
      </c>
      <c r="F61">
        <v>260</v>
      </c>
      <c r="G61" s="12">
        <v>0.15</v>
      </c>
      <c r="H61" t="s">
        <v>141</v>
      </c>
      <c r="I61" s="11">
        <f t="shared" si="0"/>
        <v>520.19150000000002</v>
      </c>
      <c r="J61">
        <f t="shared" si="1"/>
        <v>45</v>
      </c>
    </row>
    <row r="62" spans="1:10" x14ac:dyDescent="0.25">
      <c r="A62" t="s">
        <v>105</v>
      </c>
      <c r="B62" t="s">
        <v>31</v>
      </c>
      <c r="C62" t="s">
        <v>60</v>
      </c>
      <c r="D62">
        <v>303</v>
      </c>
      <c r="E62" s="11">
        <v>570.45000000000005</v>
      </c>
      <c r="F62" t="s">
        <v>139</v>
      </c>
      <c r="G62" s="12"/>
      <c r="I62" s="11">
        <f t="shared" si="0"/>
        <v>570.45000000000005</v>
      </c>
      <c r="J62">
        <f t="shared" si="1"/>
        <v>57</v>
      </c>
    </row>
    <row r="63" spans="1:10" x14ac:dyDescent="0.25">
      <c r="A63" t="s">
        <v>106</v>
      </c>
      <c r="B63" t="s">
        <v>31</v>
      </c>
      <c r="C63" t="s">
        <v>35</v>
      </c>
      <c r="D63">
        <v>409</v>
      </c>
      <c r="E63" s="11">
        <v>590.82000000000005</v>
      </c>
      <c r="F63">
        <v>256</v>
      </c>
      <c r="G63" s="12">
        <v>0.25</v>
      </c>
      <c r="I63" s="11">
        <f t="shared" si="0"/>
        <v>443.11500000000001</v>
      </c>
      <c r="J63">
        <f t="shared" si="1"/>
        <v>26</v>
      </c>
    </row>
    <row r="64" spans="1:10" x14ac:dyDescent="0.25">
      <c r="A64" t="s">
        <v>107</v>
      </c>
      <c r="B64" t="s">
        <v>13</v>
      </c>
      <c r="C64" t="s">
        <v>14</v>
      </c>
      <c r="D64">
        <v>194</v>
      </c>
      <c r="E64" s="11">
        <v>177</v>
      </c>
      <c r="F64">
        <v>239</v>
      </c>
      <c r="G64" s="12">
        <v>0.15</v>
      </c>
      <c r="H64" t="s">
        <v>141</v>
      </c>
      <c r="I64" s="11">
        <f t="shared" si="0"/>
        <v>150.44999999999999</v>
      </c>
      <c r="J64">
        <f t="shared" si="1"/>
        <v>1</v>
      </c>
    </row>
    <row r="65" spans="1:10" x14ac:dyDescent="0.25">
      <c r="A65" t="s">
        <v>108</v>
      </c>
      <c r="B65" t="s">
        <v>26</v>
      </c>
      <c r="C65" t="s">
        <v>27</v>
      </c>
      <c r="D65">
        <v>333</v>
      </c>
      <c r="E65" s="11">
        <v>524.99</v>
      </c>
      <c r="F65">
        <v>235</v>
      </c>
      <c r="G65" s="12">
        <v>0.1</v>
      </c>
      <c r="I65" s="11">
        <f t="shared" si="0"/>
        <v>472.49100000000004</v>
      </c>
      <c r="J65">
        <f t="shared" si="1"/>
        <v>35</v>
      </c>
    </row>
    <row r="66" spans="1:10" x14ac:dyDescent="0.25">
      <c r="A66" t="s">
        <v>109</v>
      </c>
      <c r="B66" t="s">
        <v>13</v>
      </c>
      <c r="C66" t="s">
        <v>20</v>
      </c>
      <c r="D66">
        <v>289</v>
      </c>
      <c r="E66" s="11">
        <v>260.99</v>
      </c>
      <c r="F66">
        <v>155</v>
      </c>
      <c r="G66" s="12">
        <v>0.05</v>
      </c>
      <c r="H66" t="s">
        <v>141</v>
      </c>
      <c r="I66" s="11">
        <f t="shared" si="0"/>
        <v>247.94049999999999</v>
      </c>
      <c r="J66">
        <f t="shared" si="1"/>
        <v>3</v>
      </c>
    </row>
    <row r="67" spans="1:10" x14ac:dyDescent="0.25">
      <c r="A67" t="s">
        <v>110</v>
      </c>
      <c r="B67" t="s">
        <v>13</v>
      </c>
      <c r="C67" t="s">
        <v>14</v>
      </c>
      <c r="E67" s="11">
        <v>641</v>
      </c>
      <c r="F67">
        <v>186</v>
      </c>
      <c r="G67" s="12">
        <v>0.3</v>
      </c>
      <c r="H67" t="s">
        <v>141</v>
      </c>
      <c r="I67" s="11">
        <f t="shared" ref="I67:I94" si="2">IF(ISBLANK(G67),E67,E67*(1-G67))</f>
        <v>448.7</v>
      </c>
      <c r="J67">
        <f t="shared" ref="J67:J94" si="3">_xlfn.RANK.EQ(I67,$I$2:$I$94,1)</f>
        <v>32</v>
      </c>
    </row>
    <row r="68" spans="1:10" x14ac:dyDescent="0.25">
      <c r="A68" t="s">
        <v>111</v>
      </c>
      <c r="B68" t="s">
        <v>16</v>
      </c>
      <c r="C68" t="s">
        <v>60</v>
      </c>
      <c r="D68">
        <v>115</v>
      </c>
      <c r="E68" s="11">
        <v>575.99</v>
      </c>
      <c r="F68">
        <v>260</v>
      </c>
      <c r="G68" s="12">
        <v>0.3</v>
      </c>
      <c r="H68" t="s">
        <v>141</v>
      </c>
      <c r="I68" s="11">
        <f t="shared" si="2"/>
        <v>403.19299999999998</v>
      </c>
      <c r="J68">
        <f t="shared" si="3"/>
        <v>13</v>
      </c>
    </row>
    <row r="69" spans="1:10" x14ac:dyDescent="0.25">
      <c r="A69" t="s">
        <v>112</v>
      </c>
      <c r="B69" t="s">
        <v>46</v>
      </c>
      <c r="C69" t="s">
        <v>41</v>
      </c>
      <c r="D69">
        <v>166</v>
      </c>
      <c r="E69" s="11">
        <v>632.99</v>
      </c>
      <c r="F69" t="s">
        <v>145</v>
      </c>
      <c r="G69" s="12">
        <v>0.3</v>
      </c>
      <c r="I69" s="11">
        <f t="shared" si="2"/>
        <v>443.09299999999996</v>
      </c>
      <c r="J69">
        <f t="shared" si="3"/>
        <v>25</v>
      </c>
    </row>
    <row r="70" spans="1:10" x14ac:dyDescent="0.25">
      <c r="A70" t="s">
        <v>113</v>
      </c>
      <c r="B70" t="s">
        <v>23</v>
      </c>
      <c r="C70" t="s">
        <v>73</v>
      </c>
      <c r="D70">
        <v>369</v>
      </c>
      <c r="E70" s="11">
        <v>590.29999999999995</v>
      </c>
      <c r="F70">
        <v>214</v>
      </c>
      <c r="G70" s="12">
        <v>0.25</v>
      </c>
      <c r="I70" s="11">
        <f t="shared" si="2"/>
        <v>442.72499999999997</v>
      </c>
      <c r="J70">
        <f t="shared" si="3"/>
        <v>24</v>
      </c>
    </row>
    <row r="71" spans="1:10" x14ac:dyDescent="0.25">
      <c r="A71" t="s">
        <v>114</v>
      </c>
      <c r="B71" t="s">
        <v>77</v>
      </c>
      <c r="C71" t="s">
        <v>27</v>
      </c>
      <c r="D71">
        <v>143</v>
      </c>
      <c r="E71" s="11">
        <v>668.7</v>
      </c>
      <c r="F71">
        <v>193</v>
      </c>
      <c r="G71" s="12">
        <v>0.1</v>
      </c>
      <c r="I71" s="11">
        <f t="shared" si="2"/>
        <v>601.83000000000004</v>
      </c>
      <c r="J71">
        <f t="shared" si="3"/>
        <v>71</v>
      </c>
    </row>
    <row r="72" spans="1:10" x14ac:dyDescent="0.25">
      <c r="A72" t="s">
        <v>115</v>
      </c>
      <c r="B72" t="s">
        <v>23</v>
      </c>
      <c r="C72" t="s">
        <v>24</v>
      </c>
      <c r="D72">
        <v>326</v>
      </c>
      <c r="E72" s="11">
        <v>586.99</v>
      </c>
      <c r="F72">
        <v>209</v>
      </c>
      <c r="G72" s="12"/>
      <c r="H72" t="s">
        <v>141</v>
      </c>
      <c r="I72" s="11">
        <f t="shared" si="2"/>
        <v>586.99</v>
      </c>
      <c r="J72">
        <f t="shared" si="3"/>
        <v>65</v>
      </c>
    </row>
    <row r="73" spans="1:10" x14ac:dyDescent="0.25">
      <c r="A73" t="s">
        <v>116</v>
      </c>
      <c r="B73" t="s">
        <v>70</v>
      </c>
      <c r="C73" t="s">
        <v>20</v>
      </c>
      <c r="D73">
        <v>147</v>
      </c>
      <c r="E73" s="11">
        <v>597.29999999999995</v>
      </c>
      <c r="F73" t="s">
        <v>139</v>
      </c>
      <c r="G73" s="12"/>
      <c r="I73" s="11">
        <f t="shared" si="2"/>
        <v>597.29999999999995</v>
      </c>
      <c r="J73">
        <f t="shared" si="3"/>
        <v>70</v>
      </c>
    </row>
    <row r="74" spans="1:10" x14ac:dyDescent="0.25">
      <c r="A74" t="s">
        <v>117</v>
      </c>
      <c r="B74" t="s">
        <v>70</v>
      </c>
      <c r="C74" t="s">
        <v>20</v>
      </c>
      <c r="D74">
        <v>170</v>
      </c>
      <c r="E74" s="11">
        <v>632.99</v>
      </c>
      <c r="F74">
        <v>165</v>
      </c>
      <c r="G74" s="12">
        <v>0.1</v>
      </c>
      <c r="I74" s="11">
        <f t="shared" si="2"/>
        <v>569.69100000000003</v>
      </c>
      <c r="J74">
        <f t="shared" si="3"/>
        <v>56</v>
      </c>
    </row>
    <row r="75" spans="1:10" x14ac:dyDescent="0.25">
      <c r="A75" t="s">
        <v>118</v>
      </c>
      <c r="B75" t="s">
        <v>50</v>
      </c>
      <c r="C75" t="s">
        <v>20</v>
      </c>
      <c r="D75">
        <v>338</v>
      </c>
      <c r="E75" s="11">
        <v>759</v>
      </c>
      <c r="F75">
        <v>237</v>
      </c>
      <c r="G75" s="12">
        <v>0.25</v>
      </c>
      <c r="I75" s="11">
        <f t="shared" si="2"/>
        <v>569.25</v>
      </c>
      <c r="J75">
        <f t="shared" si="3"/>
        <v>55</v>
      </c>
    </row>
    <row r="76" spans="1:10" x14ac:dyDescent="0.25">
      <c r="A76" t="s">
        <v>119</v>
      </c>
      <c r="B76" t="s">
        <v>66</v>
      </c>
      <c r="C76" t="s">
        <v>35</v>
      </c>
      <c r="E76" s="11">
        <v>759</v>
      </c>
      <c r="F76">
        <v>182</v>
      </c>
      <c r="G76" s="12">
        <v>0.15</v>
      </c>
      <c r="I76" s="11">
        <f t="shared" si="2"/>
        <v>645.15</v>
      </c>
      <c r="J76">
        <f t="shared" si="3"/>
        <v>80</v>
      </c>
    </row>
    <row r="77" spans="1:10" x14ac:dyDescent="0.25">
      <c r="A77" t="s">
        <v>120</v>
      </c>
      <c r="B77" t="s">
        <v>33</v>
      </c>
      <c r="C77" t="s">
        <v>17</v>
      </c>
      <c r="D77">
        <v>228</v>
      </c>
      <c r="E77" s="11">
        <v>783.25</v>
      </c>
      <c r="F77">
        <v>245</v>
      </c>
      <c r="G77" s="12"/>
      <c r="H77" t="s">
        <v>141</v>
      </c>
      <c r="I77" s="11">
        <f t="shared" si="2"/>
        <v>783.25</v>
      </c>
      <c r="J77">
        <f t="shared" si="3"/>
        <v>92</v>
      </c>
    </row>
    <row r="78" spans="1:10" x14ac:dyDescent="0.25">
      <c r="A78" t="s">
        <v>121</v>
      </c>
      <c r="B78" t="s">
        <v>50</v>
      </c>
      <c r="C78" t="s">
        <v>20</v>
      </c>
      <c r="D78">
        <v>359</v>
      </c>
      <c r="E78" s="11">
        <v>417</v>
      </c>
      <c r="F78">
        <v>244</v>
      </c>
      <c r="G78" s="12"/>
      <c r="H78" t="s">
        <v>141</v>
      </c>
      <c r="I78" s="11">
        <f t="shared" si="2"/>
        <v>417</v>
      </c>
      <c r="J78">
        <f t="shared" si="3"/>
        <v>16</v>
      </c>
    </row>
    <row r="79" spans="1:10" x14ac:dyDescent="0.25">
      <c r="A79" t="s">
        <v>122</v>
      </c>
      <c r="B79" t="s">
        <v>26</v>
      </c>
      <c r="C79" t="s">
        <v>27</v>
      </c>
      <c r="D79">
        <v>321</v>
      </c>
      <c r="E79" s="11">
        <v>499.99</v>
      </c>
      <c r="F79">
        <v>235</v>
      </c>
      <c r="G79" s="12">
        <v>0.05</v>
      </c>
      <c r="H79" t="s">
        <v>141</v>
      </c>
      <c r="I79" s="11">
        <f t="shared" si="2"/>
        <v>474.9905</v>
      </c>
      <c r="J79">
        <f t="shared" si="3"/>
        <v>36</v>
      </c>
    </row>
    <row r="80" spans="1:10" x14ac:dyDescent="0.25">
      <c r="A80" t="s">
        <v>123</v>
      </c>
      <c r="B80" t="s">
        <v>64</v>
      </c>
      <c r="C80" t="s">
        <v>27</v>
      </c>
      <c r="D80">
        <v>248</v>
      </c>
      <c r="E80" s="11">
        <v>611.99</v>
      </c>
      <c r="F80">
        <v>187</v>
      </c>
      <c r="G80" s="12">
        <v>0.3</v>
      </c>
      <c r="I80" s="11">
        <f t="shared" si="2"/>
        <v>428.39299999999997</v>
      </c>
      <c r="J80">
        <f t="shared" si="3"/>
        <v>18</v>
      </c>
    </row>
    <row r="81" spans="1:10" x14ac:dyDescent="0.25">
      <c r="A81" t="s">
        <v>124</v>
      </c>
      <c r="B81" t="s">
        <v>23</v>
      </c>
      <c r="C81" t="s">
        <v>24</v>
      </c>
      <c r="D81">
        <v>256</v>
      </c>
      <c r="E81" s="11">
        <v>556.49</v>
      </c>
      <c r="F81">
        <v>251</v>
      </c>
      <c r="G81" s="12">
        <v>0.25</v>
      </c>
      <c r="I81" s="11">
        <f t="shared" si="2"/>
        <v>417.36750000000001</v>
      </c>
      <c r="J81">
        <f t="shared" si="3"/>
        <v>17</v>
      </c>
    </row>
    <row r="82" spans="1:10" x14ac:dyDescent="0.25">
      <c r="A82" t="s">
        <v>125</v>
      </c>
      <c r="B82" t="s">
        <v>77</v>
      </c>
      <c r="C82" t="s">
        <v>27</v>
      </c>
      <c r="D82">
        <v>177</v>
      </c>
      <c r="E82" s="11">
        <v>668.2</v>
      </c>
      <c r="F82">
        <v>184</v>
      </c>
      <c r="G82" s="12"/>
      <c r="I82" s="11">
        <f t="shared" si="2"/>
        <v>668.2</v>
      </c>
      <c r="J82">
        <f t="shared" si="3"/>
        <v>86</v>
      </c>
    </row>
    <row r="83" spans="1:10" x14ac:dyDescent="0.25">
      <c r="A83" t="s">
        <v>126</v>
      </c>
      <c r="B83" t="s">
        <v>31</v>
      </c>
      <c r="C83" t="s">
        <v>17</v>
      </c>
      <c r="D83">
        <v>124</v>
      </c>
      <c r="E83" s="11">
        <v>702</v>
      </c>
      <c r="F83" t="s">
        <v>139</v>
      </c>
      <c r="G83" s="12">
        <v>0.05</v>
      </c>
      <c r="I83" s="11">
        <f t="shared" si="2"/>
        <v>666.9</v>
      </c>
      <c r="J83">
        <f t="shared" si="3"/>
        <v>84</v>
      </c>
    </row>
    <row r="84" spans="1:10" x14ac:dyDescent="0.25">
      <c r="A84" t="s">
        <v>127</v>
      </c>
      <c r="B84" t="s">
        <v>29</v>
      </c>
      <c r="C84" t="s">
        <v>17</v>
      </c>
      <c r="D84">
        <v>130</v>
      </c>
      <c r="E84" s="11">
        <v>494</v>
      </c>
      <c r="F84">
        <v>170</v>
      </c>
      <c r="G84" s="12">
        <v>0.25</v>
      </c>
      <c r="I84" s="11">
        <f t="shared" si="2"/>
        <v>370.5</v>
      </c>
      <c r="J84">
        <f t="shared" si="3"/>
        <v>7</v>
      </c>
    </row>
    <row r="85" spans="1:10" x14ac:dyDescent="0.25">
      <c r="A85" t="s">
        <v>128</v>
      </c>
      <c r="B85" t="s">
        <v>55</v>
      </c>
      <c r="C85" t="s">
        <v>20</v>
      </c>
      <c r="D85">
        <v>67</v>
      </c>
      <c r="E85" s="11">
        <v>778.92</v>
      </c>
      <c r="F85">
        <v>256</v>
      </c>
      <c r="G85" s="12">
        <v>0.1</v>
      </c>
      <c r="I85" s="11">
        <f t="shared" si="2"/>
        <v>701.02800000000002</v>
      </c>
      <c r="J85">
        <f t="shared" si="3"/>
        <v>88</v>
      </c>
    </row>
    <row r="86" spans="1:10" x14ac:dyDescent="0.25">
      <c r="A86" t="s">
        <v>129</v>
      </c>
      <c r="B86" t="s">
        <v>26</v>
      </c>
      <c r="C86" t="s">
        <v>27</v>
      </c>
      <c r="E86" s="11">
        <v>524</v>
      </c>
      <c r="F86">
        <v>211</v>
      </c>
      <c r="G86" s="12">
        <v>0.25</v>
      </c>
      <c r="H86" t="s">
        <v>141</v>
      </c>
      <c r="I86" s="11">
        <f t="shared" si="2"/>
        <v>393</v>
      </c>
      <c r="J86">
        <f t="shared" si="3"/>
        <v>11</v>
      </c>
    </row>
    <row r="87" spans="1:10" x14ac:dyDescent="0.25">
      <c r="A87" t="s">
        <v>130</v>
      </c>
      <c r="B87" t="s">
        <v>64</v>
      </c>
      <c r="C87" t="s">
        <v>20</v>
      </c>
      <c r="D87">
        <v>391</v>
      </c>
      <c r="E87" s="11">
        <v>649</v>
      </c>
      <c r="F87">
        <v>265</v>
      </c>
      <c r="G87" s="12"/>
      <c r="I87" s="11">
        <f t="shared" si="2"/>
        <v>649</v>
      </c>
      <c r="J87">
        <f t="shared" si="3"/>
        <v>81</v>
      </c>
    </row>
    <row r="88" spans="1:10" x14ac:dyDescent="0.25">
      <c r="A88" t="s">
        <v>131</v>
      </c>
      <c r="B88" t="s">
        <v>31</v>
      </c>
      <c r="C88" t="s">
        <v>17</v>
      </c>
      <c r="D88">
        <v>132</v>
      </c>
      <c r="E88" s="11">
        <v>748</v>
      </c>
      <c r="F88">
        <v>256</v>
      </c>
      <c r="G88" s="12"/>
      <c r="H88" t="s">
        <v>141</v>
      </c>
      <c r="I88" s="11">
        <f t="shared" si="2"/>
        <v>748</v>
      </c>
      <c r="J88">
        <f t="shared" si="3"/>
        <v>90</v>
      </c>
    </row>
    <row r="89" spans="1:10" x14ac:dyDescent="0.25">
      <c r="A89" t="s">
        <v>132</v>
      </c>
      <c r="B89" t="s">
        <v>23</v>
      </c>
      <c r="C89" t="s">
        <v>73</v>
      </c>
      <c r="D89">
        <v>403</v>
      </c>
      <c r="E89" s="11">
        <v>607.99</v>
      </c>
      <c r="F89" t="s">
        <v>145</v>
      </c>
      <c r="G89" s="12"/>
      <c r="H89" t="s">
        <v>141</v>
      </c>
      <c r="I89" s="11">
        <f t="shared" si="2"/>
        <v>607.99</v>
      </c>
      <c r="J89">
        <f t="shared" si="3"/>
        <v>73</v>
      </c>
    </row>
    <row r="90" spans="1:10" x14ac:dyDescent="0.25">
      <c r="A90" t="s">
        <v>133</v>
      </c>
      <c r="B90" t="s">
        <v>50</v>
      </c>
      <c r="C90" t="s">
        <v>20</v>
      </c>
      <c r="D90">
        <v>245</v>
      </c>
      <c r="E90" s="11">
        <v>776</v>
      </c>
      <c r="F90">
        <v>230</v>
      </c>
      <c r="G90" s="12">
        <v>0.15</v>
      </c>
      <c r="H90" t="s">
        <v>141</v>
      </c>
      <c r="I90" s="11">
        <f t="shared" si="2"/>
        <v>659.6</v>
      </c>
      <c r="J90">
        <f t="shared" si="3"/>
        <v>83</v>
      </c>
    </row>
    <row r="91" spans="1:10" x14ac:dyDescent="0.25">
      <c r="A91" t="s">
        <v>134</v>
      </c>
      <c r="B91" t="s">
        <v>135</v>
      </c>
      <c r="C91" t="s">
        <v>20</v>
      </c>
      <c r="E91" s="11">
        <v>615</v>
      </c>
      <c r="F91">
        <v>169</v>
      </c>
      <c r="G91" s="12">
        <v>0.1</v>
      </c>
      <c r="I91" s="11">
        <f t="shared" si="2"/>
        <v>553.5</v>
      </c>
      <c r="J91">
        <f t="shared" si="3"/>
        <v>51</v>
      </c>
    </row>
    <row r="92" spans="1:10" x14ac:dyDescent="0.25">
      <c r="A92" t="s">
        <v>136</v>
      </c>
      <c r="B92" t="s">
        <v>75</v>
      </c>
      <c r="C92" t="s">
        <v>20</v>
      </c>
      <c r="D92">
        <v>131</v>
      </c>
      <c r="E92" s="11">
        <v>575.99</v>
      </c>
      <c r="F92">
        <v>216</v>
      </c>
      <c r="G92" s="12"/>
      <c r="I92" s="11">
        <f t="shared" si="2"/>
        <v>575.99</v>
      </c>
      <c r="J92">
        <f t="shared" si="3"/>
        <v>58</v>
      </c>
    </row>
    <row r="93" spans="1:10" x14ac:dyDescent="0.25">
      <c r="A93" t="s">
        <v>137</v>
      </c>
      <c r="B93" t="s">
        <v>19</v>
      </c>
      <c r="C93" t="s">
        <v>20</v>
      </c>
      <c r="D93">
        <v>245</v>
      </c>
      <c r="E93" s="11">
        <v>585.99</v>
      </c>
      <c r="F93">
        <v>246</v>
      </c>
      <c r="G93" s="12">
        <v>0.25</v>
      </c>
      <c r="H93" t="s">
        <v>141</v>
      </c>
      <c r="I93" s="11">
        <f t="shared" si="2"/>
        <v>439.49250000000001</v>
      </c>
      <c r="J93">
        <f t="shared" si="3"/>
        <v>21</v>
      </c>
    </row>
    <row r="94" spans="1:10" x14ac:dyDescent="0.25">
      <c r="A94" t="s">
        <v>138</v>
      </c>
      <c r="B94" t="s">
        <v>77</v>
      </c>
      <c r="C94" t="s">
        <v>27</v>
      </c>
      <c r="D94">
        <v>216</v>
      </c>
      <c r="E94" s="11">
        <v>699.7</v>
      </c>
      <c r="F94">
        <v>248</v>
      </c>
      <c r="G94" s="12">
        <v>0.25</v>
      </c>
      <c r="I94" s="11">
        <f t="shared" si="2"/>
        <v>524.77500000000009</v>
      </c>
      <c r="J94">
        <f t="shared" si="3"/>
        <v>47</v>
      </c>
    </row>
  </sheetData>
  <conditionalFormatting sqref="A2:A94">
    <cfRule type="expression" dxfId="1" priority="1">
      <formula>AND(J2&lt;=15,OR(C2="USA",C2="Japan"))</formula>
    </cfRule>
  </conditionalFormatting>
  <conditionalFormatting sqref="B2:B94">
    <cfRule type="expression" dxfId="0" priority="2">
      <formula>AND(ISBLANK(G2),ISTEXT(F2))</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Case development</vt:lpstr>
      <vt:lpstr>Solar panels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dc:creator>
  <cp:lastModifiedBy>Maurizio De Pra</cp:lastModifiedBy>
  <dcterms:created xsi:type="dcterms:W3CDTF">2015-06-05T18:17:20Z</dcterms:created>
  <dcterms:modified xsi:type="dcterms:W3CDTF">2025-01-29T17:30:42Z</dcterms:modified>
</cp:coreProperties>
</file>